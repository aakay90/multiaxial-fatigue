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imula\Desktop\DATA_SET\"/>
    </mc:Choice>
  </mc:AlternateContent>
  <xr:revisionPtr revIDLastSave="0" documentId="13_ncr:1_{649E7DAB-6507-46A4-9989-DDA6D3F015B6}" xr6:coauthVersionLast="47" xr6:coauthVersionMax="47" xr10:uidLastSave="{00000000-0000-0000-0000-000000000000}"/>
  <bookViews>
    <workbookView xWindow="28680" yWindow="-120" windowWidth="29040" windowHeight="15840" tabRatio="189" activeTab="1" xr2:uid="{00000000-000D-0000-FFFF-FFFF00000000}"/>
  </bookViews>
  <sheets>
    <sheet name="Summary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63" i="2" l="1"/>
  <c r="Z162" i="2"/>
  <c r="Z154" i="2"/>
  <c r="Z151" i="2"/>
  <c r="Z147" i="2"/>
  <c r="Z146" i="2"/>
  <c r="Z145" i="2"/>
  <c r="Z142" i="2"/>
  <c r="Z138" i="2"/>
  <c r="Z137" i="2"/>
  <c r="Z130" i="2"/>
  <c r="Z129" i="2"/>
  <c r="Z126" i="2"/>
  <c r="Z121" i="2"/>
  <c r="AN118" i="2"/>
  <c r="Z113" i="2"/>
  <c r="Z103" i="2"/>
  <c r="Z99" i="2"/>
  <c r="Z94" i="2"/>
  <c r="Z87" i="2"/>
  <c r="Z82" i="2"/>
  <c r="Z78" i="2"/>
  <c r="AO73" i="2"/>
  <c r="Z73" i="2"/>
  <c r="AQ65" i="2"/>
  <c r="AN65" i="2"/>
  <c r="O76" i="2"/>
  <c r="AJ76" i="2" s="1"/>
  <c r="O77" i="2"/>
  <c r="AK77" i="2" s="1"/>
  <c r="O78" i="2"/>
  <c r="AJ78" i="2" s="1"/>
  <c r="O79" i="2"/>
  <c r="AJ79" i="2" s="1"/>
  <c r="O80" i="2"/>
  <c r="AJ80" i="2" s="1"/>
  <c r="O81" i="2"/>
  <c r="AK81" i="2" s="1"/>
  <c r="O82" i="2"/>
  <c r="AJ82" i="2" s="1"/>
  <c r="O83" i="2"/>
  <c r="AK83" i="2" s="1"/>
  <c r="O84" i="2"/>
  <c r="AJ84" i="2" s="1"/>
  <c r="O85" i="2"/>
  <c r="AJ85" i="2" s="1"/>
  <c r="O86" i="2"/>
  <c r="AK86" i="2" s="1"/>
  <c r="O87" i="2"/>
  <c r="AJ87" i="2" s="1"/>
  <c r="O88" i="2"/>
  <c r="AJ88" i="2" s="1"/>
  <c r="O89" i="2"/>
  <c r="O90" i="2"/>
  <c r="AJ90" i="2" s="1"/>
  <c r="O91" i="2"/>
  <c r="AK91" i="2" s="1"/>
  <c r="O92" i="2"/>
  <c r="O93" i="2"/>
  <c r="AJ93" i="2" s="1"/>
  <c r="O94" i="2"/>
  <c r="AK94" i="2" s="1"/>
  <c r="O95" i="2"/>
  <c r="AJ95" i="2" s="1"/>
  <c r="O96" i="2"/>
  <c r="AJ96" i="2" s="1"/>
  <c r="O97" i="2"/>
  <c r="AK97" i="2" s="1"/>
  <c r="O98" i="2"/>
  <c r="AJ98" i="2" s="1"/>
  <c r="O99" i="2"/>
  <c r="AJ99" i="2" s="1"/>
  <c r="O100" i="2"/>
  <c r="AJ100" i="2" s="1"/>
  <c r="O101" i="2"/>
  <c r="AJ101" i="2" s="1"/>
  <c r="O102" i="2"/>
  <c r="AK102" i="2" s="1"/>
  <c r="O103" i="2"/>
  <c r="AJ103" i="2" s="1"/>
  <c r="O104" i="2"/>
  <c r="AJ104" i="2" s="1"/>
  <c r="O105" i="2"/>
  <c r="O106" i="2"/>
  <c r="O107" i="2"/>
  <c r="AK107" i="2" s="1"/>
  <c r="O108" i="2"/>
  <c r="O109" i="2"/>
  <c r="AK109" i="2" s="1"/>
  <c r="O110" i="2"/>
  <c r="AK110" i="2" s="1"/>
  <c r="O111" i="2"/>
  <c r="AJ111" i="2" s="1"/>
  <c r="O112" i="2"/>
  <c r="AJ112" i="2" s="1"/>
  <c r="O113" i="2"/>
  <c r="O114" i="2"/>
  <c r="AJ114" i="2" s="1"/>
  <c r="O115" i="2"/>
  <c r="AK115" i="2" s="1"/>
  <c r="O116" i="2"/>
  <c r="AJ116" i="2" s="1"/>
  <c r="O117" i="2"/>
  <c r="AJ117" i="2" s="1"/>
  <c r="O118" i="2"/>
  <c r="AK118" i="2" s="1"/>
  <c r="O119" i="2"/>
  <c r="AJ119" i="2" s="1"/>
  <c r="O120" i="2"/>
  <c r="AJ120" i="2" s="1"/>
  <c r="O121" i="2"/>
  <c r="O122" i="2"/>
  <c r="O123" i="2"/>
  <c r="AK123" i="2" s="1"/>
  <c r="O124" i="2"/>
  <c r="O125" i="2"/>
  <c r="AK125" i="2" s="1"/>
  <c r="O126" i="2"/>
  <c r="AJ126" i="2" s="1"/>
  <c r="O127" i="2"/>
  <c r="AJ127" i="2" s="1"/>
  <c r="O128" i="2"/>
  <c r="AJ128" i="2" s="1"/>
  <c r="O129" i="2"/>
  <c r="O130" i="2"/>
  <c r="AJ130" i="2" s="1"/>
  <c r="O131" i="2"/>
  <c r="AJ131" i="2" s="1"/>
  <c r="O132" i="2"/>
  <c r="AJ132" i="2" s="1"/>
  <c r="O133" i="2"/>
  <c r="AJ133" i="2" s="1"/>
  <c r="O134" i="2"/>
  <c r="AK134" i="2" s="1"/>
  <c r="O135" i="2"/>
  <c r="AJ135" i="2" s="1"/>
  <c r="O136" i="2"/>
  <c r="AJ136" i="2" s="1"/>
  <c r="O137" i="2"/>
  <c r="O138" i="2"/>
  <c r="AJ138" i="2" s="1"/>
  <c r="O139" i="2"/>
  <c r="AK139" i="2" s="1"/>
  <c r="O140" i="2"/>
  <c r="O141" i="2"/>
  <c r="AK141" i="2" s="1"/>
  <c r="O142" i="2"/>
  <c r="AK142" i="2" s="1"/>
  <c r="O143" i="2"/>
  <c r="AJ143" i="2" s="1"/>
  <c r="O144" i="2"/>
  <c r="AJ144" i="2" s="1"/>
  <c r="O145" i="2"/>
  <c r="AJ145" i="2" s="1"/>
  <c r="O146" i="2"/>
  <c r="AJ146" i="2" s="1"/>
  <c r="O147" i="2"/>
  <c r="AJ147" i="2" s="1"/>
  <c r="O148" i="2"/>
  <c r="AK148" i="2" s="1"/>
  <c r="O149" i="2"/>
  <c r="O150" i="2"/>
  <c r="AK150" i="2" s="1"/>
  <c r="O151" i="2"/>
  <c r="AJ151" i="2" s="1"/>
  <c r="O152" i="2"/>
  <c r="AJ152" i="2" s="1"/>
  <c r="O153" i="2"/>
  <c r="O154" i="2"/>
  <c r="O155" i="2"/>
  <c r="AK155" i="2" s="1"/>
  <c r="O156" i="2"/>
  <c r="O157" i="2"/>
  <c r="O158" i="2"/>
  <c r="AK158" i="2" s="1"/>
  <c r="O159" i="2"/>
  <c r="AJ159" i="2" s="1"/>
  <c r="O160" i="2"/>
  <c r="AJ160" i="2" s="1"/>
  <c r="O161" i="2"/>
  <c r="AJ161" i="2" s="1"/>
  <c r="O162" i="2"/>
  <c r="AJ162" i="2" s="1"/>
  <c r="O163" i="2"/>
  <c r="AK163" i="2" s="1"/>
  <c r="O164" i="2"/>
  <c r="AJ164" i="2" s="1"/>
  <c r="O165" i="2"/>
  <c r="AJ165" i="2" s="1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Q76" i="2"/>
  <c r="AO76" i="2" s="1"/>
  <c r="Q77" i="2"/>
  <c r="Q78" i="2"/>
  <c r="AO78" i="2" s="1"/>
  <c r="Q79" i="2"/>
  <c r="AN79" i="2" s="1"/>
  <c r="Q80" i="2"/>
  <c r="Q81" i="2"/>
  <c r="AN81" i="2" s="1"/>
  <c r="Q82" i="2"/>
  <c r="Q83" i="2"/>
  <c r="Q84" i="2"/>
  <c r="Q85" i="2"/>
  <c r="Q86" i="2"/>
  <c r="AN86" i="2" s="1"/>
  <c r="Q87" i="2"/>
  <c r="Q88" i="2"/>
  <c r="Q89" i="2"/>
  <c r="Q90" i="2"/>
  <c r="AN90" i="2" s="1"/>
  <c r="Q91" i="2"/>
  <c r="Q92" i="2"/>
  <c r="AO92" i="2" s="1"/>
  <c r="Q93" i="2"/>
  <c r="Q94" i="2"/>
  <c r="AO94" i="2" s="1"/>
  <c r="Q95" i="2"/>
  <c r="AN95" i="2" s="1"/>
  <c r="Q96" i="2"/>
  <c r="Q97" i="2"/>
  <c r="Q98" i="2"/>
  <c r="AN98" i="2" s="1"/>
  <c r="Q99" i="2"/>
  <c r="Q100" i="2"/>
  <c r="Q101" i="2"/>
  <c r="Q102" i="2"/>
  <c r="AN102" i="2" s="1"/>
  <c r="Q103" i="2"/>
  <c r="Q104" i="2"/>
  <c r="Q105" i="2"/>
  <c r="Q106" i="2"/>
  <c r="AO106" i="2" s="1"/>
  <c r="Q107" i="2"/>
  <c r="Q108" i="2"/>
  <c r="AO108" i="2" s="1"/>
  <c r="Q109" i="2"/>
  <c r="Q110" i="2"/>
  <c r="AN110" i="2" s="1"/>
  <c r="Q111" i="2"/>
  <c r="AO111" i="2" s="1"/>
  <c r="Q112" i="2"/>
  <c r="Q113" i="2"/>
  <c r="Q114" i="2"/>
  <c r="Q115" i="2"/>
  <c r="AN115" i="2" s="1"/>
  <c r="Q116" i="2"/>
  <c r="Q117" i="2"/>
  <c r="Q118" i="2"/>
  <c r="Q119" i="2"/>
  <c r="AN119" i="2" s="1"/>
  <c r="Q120" i="2"/>
  <c r="Q121" i="2"/>
  <c r="Q122" i="2"/>
  <c r="AN122" i="2" s="1"/>
  <c r="Q123" i="2"/>
  <c r="Q124" i="2"/>
  <c r="AO124" i="2" s="1"/>
  <c r="Q125" i="2"/>
  <c r="Q126" i="2"/>
  <c r="AO126" i="2" s="1"/>
  <c r="Q127" i="2"/>
  <c r="AO127" i="2" s="1"/>
  <c r="Q128" i="2"/>
  <c r="Q129" i="2"/>
  <c r="Q130" i="2"/>
  <c r="Q131" i="2"/>
  <c r="Q132" i="2"/>
  <c r="Q133" i="2"/>
  <c r="Q134" i="2"/>
  <c r="AN134" i="2" s="1"/>
  <c r="Q135" i="2"/>
  <c r="Q136" i="2"/>
  <c r="Q137" i="2"/>
  <c r="Q138" i="2"/>
  <c r="AN138" i="2" s="1"/>
  <c r="Q139" i="2"/>
  <c r="Q140" i="2"/>
  <c r="AN140" i="2" s="1"/>
  <c r="Q141" i="2"/>
  <c r="Q142" i="2"/>
  <c r="AO142" i="2" s="1"/>
  <c r="Q143" i="2"/>
  <c r="AN143" i="2" s="1"/>
  <c r="Q144" i="2"/>
  <c r="Q145" i="2"/>
  <c r="Q146" i="2"/>
  <c r="Q147" i="2"/>
  <c r="Q148" i="2"/>
  <c r="Q149" i="2"/>
  <c r="Q150" i="2"/>
  <c r="AN150" i="2" s="1"/>
  <c r="Q151" i="2"/>
  <c r="Q152" i="2"/>
  <c r="Q153" i="2"/>
  <c r="AN153" i="2" s="1"/>
  <c r="Q154" i="2"/>
  <c r="AO154" i="2" s="1"/>
  <c r="Q155" i="2"/>
  <c r="Q156" i="2"/>
  <c r="AN156" i="2" s="1"/>
  <c r="Q157" i="2"/>
  <c r="Q158" i="2"/>
  <c r="AN158" i="2" s="1"/>
  <c r="Q159" i="2"/>
  <c r="AN159" i="2" s="1"/>
  <c r="Q160" i="2"/>
  <c r="Q161" i="2"/>
  <c r="AN161" i="2" s="1"/>
  <c r="Q162" i="2"/>
  <c r="Q163" i="2"/>
  <c r="Q164" i="2"/>
  <c r="Q16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Z76" i="2"/>
  <c r="Z77" i="2"/>
  <c r="Z79" i="2"/>
  <c r="Z80" i="2"/>
  <c r="Z81" i="2"/>
  <c r="Z83" i="2"/>
  <c r="Z84" i="2"/>
  <c r="Z85" i="2"/>
  <c r="Z88" i="2"/>
  <c r="Z89" i="2"/>
  <c r="Z90" i="2"/>
  <c r="Z91" i="2"/>
  <c r="Z92" i="2"/>
  <c r="Z93" i="2"/>
  <c r="Z95" i="2"/>
  <c r="Z96" i="2"/>
  <c r="Z97" i="2"/>
  <c r="Z98" i="2"/>
  <c r="Z100" i="2"/>
  <c r="Z101" i="2"/>
  <c r="Z104" i="2"/>
  <c r="Z105" i="2"/>
  <c r="Z106" i="2"/>
  <c r="Z107" i="2"/>
  <c r="Z108" i="2"/>
  <c r="Z109" i="2"/>
  <c r="Z110" i="2"/>
  <c r="Z111" i="2"/>
  <c r="Z112" i="2"/>
  <c r="Z114" i="2"/>
  <c r="Z115" i="2"/>
  <c r="Z116" i="2"/>
  <c r="Z117" i="2"/>
  <c r="Z119" i="2"/>
  <c r="Z120" i="2"/>
  <c r="Z122" i="2"/>
  <c r="Z123" i="2"/>
  <c r="Z124" i="2"/>
  <c r="Z125" i="2"/>
  <c r="Z127" i="2"/>
  <c r="Z128" i="2"/>
  <c r="Z131" i="2"/>
  <c r="Z132" i="2"/>
  <c r="Z133" i="2"/>
  <c r="Z135" i="2"/>
  <c r="Z136" i="2"/>
  <c r="Z139" i="2"/>
  <c r="Z140" i="2"/>
  <c r="Z141" i="2"/>
  <c r="Z143" i="2"/>
  <c r="Z144" i="2"/>
  <c r="Z148" i="2"/>
  <c r="Z149" i="2"/>
  <c r="Z152" i="2"/>
  <c r="Z153" i="2"/>
  <c r="Z155" i="2"/>
  <c r="Z156" i="2"/>
  <c r="Z157" i="2"/>
  <c r="Z158" i="2"/>
  <c r="Z159" i="2"/>
  <c r="Z160" i="2"/>
  <c r="Z161" i="2"/>
  <c r="Z164" i="2"/>
  <c r="Z16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J77" i="2"/>
  <c r="AJ81" i="2"/>
  <c r="AJ89" i="2"/>
  <c r="AJ91" i="2"/>
  <c r="AJ92" i="2"/>
  <c r="AJ97" i="2"/>
  <c r="AJ105" i="2"/>
  <c r="AJ106" i="2"/>
  <c r="AJ107" i="2"/>
  <c r="AJ108" i="2"/>
  <c r="AJ113" i="2"/>
  <c r="AJ118" i="2"/>
  <c r="AJ121" i="2"/>
  <c r="AJ122" i="2"/>
  <c r="AJ123" i="2"/>
  <c r="AJ124" i="2"/>
  <c r="AJ125" i="2"/>
  <c r="AJ129" i="2"/>
  <c r="AJ137" i="2"/>
  <c r="AJ140" i="2"/>
  <c r="AJ148" i="2"/>
  <c r="AJ149" i="2"/>
  <c r="AJ153" i="2"/>
  <c r="AJ154" i="2"/>
  <c r="AJ156" i="2"/>
  <c r="AJ157" i="2"/>
  <c r="AK84" i="2"/>
  <c r="AK85" i="2"/>
  <c r="AK88" i="2"/>
  <c r="AK89" i="2"/>
  <c r="AK90" i="2"/>
  <c r="AK92" i="2"/>
  <c r="AK93" i="2"/>
  <c r="AK100" i="2"/>
  <c r="AK101" i="2"/>
  <c r="AK104" i="2"/>
  <c r="AK105" i="2"/>
  <c r="AK106" i="2"/>
  <c r="AK108" i="2"/>
  <c r="AK113" i="2"/>
  <c r="AK116" i="2"/>
  <c r="AK117" i="2"/>
  <c r="AK120" i="2"/>
  <c r="AK121" i="2"/>
  <c r="AK122" i="2"/>
  <c r="AK124" i="2"/>
  <c r="AK129" i="2"/>
  <c r="AK132" i="2"/>
  <c r="AK133" i="2"/>
  <c r="AK135" i="2"/>
  <c r="AK136" i="2"/>
  <c r="AK137" i="2"/>
  <c r="AK138" i="2"/>
  <c r="AK140" i="2"/>
  <c r="AK145" i="2"/>
  <c r="AK149" i="2"/>
  <c r="AK153" i="2"/>
  <c r="AK154" i="2"/>
  <c r="AK156" i="2"/>
  <c r="AK157" i="2"/>
  <c r="AK161" i="2"/>
  <c r="AK164" i="2"/>
  <c r="AK16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N77" i="2"/>
  <c r="AN80" i="2"/>
  <c r="AN82" i="2"/>
  <c r="AN83" i="2"/>
  <c r="AN84" i="2"/>
  <c r="AN85" i="2"/>
  <c r="AN88" i="2"/>
  <c r="AN89" i="2"/>
  <c r="AN91" i="2"/>
  <c r="AN92" i="2"/>
  <c r="AN93" i="2"/>
  <c r="AN96" i="2"/>
  <c r="AN97" i="2"/>
  <c r="AN99" i="2"/>
  <c r="AN100" i="2"/>
  <c r="AN101" i="2"/>
  <c r="AN104" i="2"/>
  <c r="AN105" i="2"/>
  <c r="AN107" i="2"/>
  <c r="AN109" i="2"/>
  <c r="AN112" i="2"/>
  <c r="AN113" i="2"/>
  <c r="AN114" i="2"/>
  <c r="AN116" i="2"/>
  <c r="AN117" i="2"/>
  <c r="AN120" i="2"/>
  <c r="AN121" i="2"/>
  <c r="AN123" i="2"/>
  <c r="AN125" i="2"/>
  <c r="AN128" i="2"/>
  <c r="AN130" i="2"/>
  <c r="AN131" i="2"/>
  <c r="AN132" i="2"/>
  <c r="AN133" i="2"/>
  <c r="AN135" i="2"/>
  <c r="AN136" i="2"/>
  <c r="AN139" i="2"/>
  <c r="AN141" i="2"/>
  <c r="AN144" i="2"/>
  <c r="AN147" i="2"/>
  <c r="AN148" i="2"/>
  <c r="AN149" i="2"/>
  <c r="AN151" i="2"/>
  <c r="AN152" i="2"/>
  <c r="AN155" i="2"/>
  <c r="AN157" i="2"/>
  <c r="AN160" i="2"/>
  <c r="AN164" i="2"/>
  <c r="AN165" i="2"/>
  <c r="AO77" i="2"/>
  <c r="AO80" i="2"/>
  <c r="AO81" i="2"/>
  <c r="AO82" i="2"/>
  <c r="AO83" i="2"/>
  <c r="AO84" i="2"/>
  <c r="AO85" i="2"/>
  <c r="AO86" i="2"/>
  <c r="AO87" i="2"/>
  <c r="AO88" i="2"/>
  <c r="AO89" i="2"/>
  <c r="AO91" i="2"/>
  <c r="AO93" i="2"/>
  <c r="AO96" i="2"/>
  <c r="AO97" i="2"/>
  <c r="AO98" i="2"/>
  <c r="AO99" i="2"/>
  <c r="AO100" i="2"/>
  <c r="AO101" i="2"/>
  <c r="AO102" i="2"/>
  <c r="AO103" i="2"/>
  <c r="AO104" i="2"/>
  <c r="AO105" i="2"/>
  <c r="AO107" i="2"/>
  <c r="AO109" i="2"/>
  <c r="AO112" i="2"/>
  <c r="AO113" i="2"/>
  <c r="AO114" i="2"/>
  <c r="AO115" i="2"/>
  <c r="AO116" i="2"/>
  <c r="AO117" i="2"/>
  <c r="AO118" i="2"/>
  <c r="AO119" i="2"/>
  <c r="AO120" i="2"/>
  <c r="AO121" i="2"/>
  <c r="AO123" i="2"/>
  <c r="AO125" i="2"/>
  <c r="AO128" i="2"/>
  <c r="AO129" i="2"/>
  <c r="AO130" i="2"/>
  <c r="AO131" i="2"/>
  <c r="AO132" i="2"/>
  <c r="AO133" i="2"/>
  <c r="AO134" i="2"/>
  <c r="AO135" i="2"/>
  <c r="AO136" i="2"/>
  <c r="AO137" i="2"/>
  <c r="AO139" i="2"/>
  <c r="AO141" i="2"/>
  <c r="AO144" i="2"/>
  <c r="AO145" i="2"/>
  <c r="AO146" i="2"/>
  <c r="AO147" i="2"/>
  <c r="AO148" i="2"/>
  <c r="AO149" i="2"/>
  <c r="AO150" i="2"/>
  <c r="AO151" i="2"/>
  <c r="AO152" i="2"/>
  <c r="AO153" i="2"/>
  <c r="AO155" i="2"/>
  <c r="AO157" i="2"/>
  <c r="AO160" i="2"/>
  <c r="AO161" i="2"/>
  <c r="AO162" i="2"/>
  <c r="AO163" i="2"/>
  <c r="AO164" i="2"/>
  <c r="AO165" i="2"/>
  <c r="AP76" i="2"/>
  <c r="AP77" i="2"/>
  <c r="AP78" i="2"/>
  <c r="AP79" i="2"/>
  <c r="AP80" i="2"/>
  <c r="AP81" i="2"/>
  <c r="AP82" i="2"/>
  <c r="AP83" i="2"/>
  <c r="AP84" i="2"/>
  <c r="AP85" i="2"/>
  <c r="AP86" i="2"/>
  <c r="AP87" i="2"/>
  <c r="AP88" i="2"/>
  <c r="AP89" i="2"/>
  <c r="AP90" i="2"/>
  <c r="AP91" i="2"/>
  <c r="AP92" i="2"/>
  <c r="AP93" i="2"/>
  <c r="AP94" i="2"/>
  <c r="AP95" i="2"/>
  <c r="AP96" i="2"/>
  <c r="AP97" i="2"/>
  <c r="AP98" i="2"/>
  <c r="AP99" i="2"/>
  <c r="AP100" i="2"/>
  <c r="AP101" i="2"/>
  <c r="AP102" i="2"/>
  <c r="AP103" i="2"/>
  <c r="AP104" i="2"/>
  <c r="AP105" i="2"/>
  <c r="AP106" i="2"/>
  <c r="AP107" i="2"/>
  <c r="AP108" i="2"/>
  <c r="AP109" i="2"/>
  <c r="AP110" i="2"/>
  <c r="AP111" i="2"/>
  <c r="AP112" i="2"/>
  <c r="AP113" i="2"/>
  <c r="AP114" i="2"/>
  <c r="AP115" i="2"/>
  <c r="AP116" i="2"/>
  <c r="AP117" i="2"/>
  <c r="AP118" i="2"/>
  <c r="AP119" i="2"/>
  <c r="AP120" i="2"/>
  <c r="AP121" i="2"/>
  <c r="AP122" i="2"/>
  <c r="AP123" i="2"/>
  <c r="AP124" i="2"/>
  <c r="AP125" i="2"/>
  <c r="AP126" i="2"/>
  <c r="AP127" i="2"/>
  <c r="AP128" i="2"/>
  <c r="AP129" i="2"/>
  <c r="AP130" i="2"/>
  <c r="AP131" i="2"/>
  <c r="AP132" i="2"/>
  <c r="AP133" i="2"/>
  <c r="AP134" i="2"/>
  <c r="AP135" i="2"/>
  <c r="AP136" i="2"/>
  <c r="AP137" i="2"/>
  <c r="AP138" i="2"/>
  <c r="AP139" i="2"/>
  <c r="AP140" i="2"/>
  <c r="AP141" i="2"/>
  <c r="AP142" i="2"/>
  <c r="AP143" i="2"/>
  <c r="AP144" i="2"/>
  <c r="AP145" i="2"/>
  <c r="AP146" i="2"/>
  <c r="AP147" i="2"/>
  <c r="AP148" i="2"/>
  <c r="AP149" i="2"/>
  <c r="AP150" i="2"/>
  <c r="AP151" i="2"/>
  <c r="AP152" i="2"/>
  <c r="AP153" i="2"/>
  <c r="AP154" i="2"/>
  <c r="AP155" i="2"/>
  <c r="AP156" i="2"/>
  <c r="AP157" i="2"/>
  <c r="AP158" i="2"/>
  <c r="AP159" i="2"/>
  <c r="AP160" i="2"/>
  <c r="AP161" i="2"/>
  <c r="AP162" i="2"/>
  <c r="AP163" i="2"/>
  <c r="AP164" i="2"/>
  <c r="AP16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04" i="2"/>
  <c r="AQ105" i="2"/>
  <c r="AQ106" i="2"/>
  <c r="AQ107" i="2"/>
  <c r="AQ108" i="2"/>
  <c r="AQ109" i="2"/>
  <c r="AQ110" i="2"/>
  <c r="AQ111" i="2"/>
  <c r="AQ112" i="2"/>
  <c r="AQ113" i="2"/>
  <c r="AQ114" i="2"/>
  <c r="AQ115" i="2"/>
  <c r="AQ116" i="2"/>
  <c r="AQ117" i="2"/>
  <c r="AQ118" i="2"/>
  <c r="AQ119" i="2"/>
  <c r="AQ120" i="2"/>
  <c r="AQ121" i="2"/>
  <c r="AQ122" i="2"/>
  <c r="AQ123" i="2"/>
  <c r="AQ124" i="2"/>
  <c r="AQ125" i="2"/>
  <c r="AQ126" i="2"/>
  <c r="AQ127" i="2"/>
  <c r="AQ128" i="2"/>
  <c r="AQ129" i="2"/>
  <c r="AQ130" i="2"/>
  <c r="AQ131" i="2"/>
  <c r="AQ132" i="2"/>
  <c r="AQ133" i="2"/>
  <c r="AQ134" i="2"/>
  <c r="AQ135" i="2"/>
  <c r="AQ136" i="2"/>
  <c r="AQ137" i="2"/>
  <c r="AQ138" i="2"/>
  <c r="AQ139" i="2"/>
  <c r="AQ140" i="2"/>
  <c r="AQ141" i="2"/>
  <c r="AQ142" i="2"/>
  <c r="AQ143" i="2"/>
  <c r="AQ144" i="2"/>
  <c r="AQ145" i="2"/>
  <c r="AQ146" i="2"/>
  <c r="AQ147" i="2"/>
  <c r="AQ148" i="2"/>
  <c r="AQ149" i="2"/>
  <c r="AQ150" i="2"/>
  <c r="AQ151" i="2"/>
  <c r="AQ152" i="2"/>
  <c r="AQ153" i="2"/>
  <c r="AQ154" i="2"/>
  <c r="AQ155" i="2"/>
  <c r="AQ156" i="2"/>
  <c r="AQ157" i="2"/>
  <c r="AQ158" i="2"/>
  <c r="AQ159" i="2"/>
  <c r="AQ160" i="2"/>
  <c r="AQ161" i="2"/>
  <c r="AQ162" i="2"/>
  <c r="AQ163" i="2"/>
  <c r="AQ164" i="2"/>
  <c r="AQ165" i="2"/>
  <c r="Y75" i="2"/>
  <c r="Y73" i="2"/>
  <c r="AL70" i="2"/>
  <c r="Y68" i="2"/>
  <c r="Y66" i="2"/>
  <c r="AJ65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Y62" i="2"/>
  <c r="Y63" i="2"/>
  <c r="Y64" i="2"/>
  <c r="Y65" i="2"/>
  <c r="Y67" i="2"/>
  <c r="Y69" i="2"/>
  <c r="Y70" i="2"/>
  <c r="Y71" i="2"/>
  <c r="Y72" i="2"/>
  <c r="Y74" i="2"/>
  <c r="Z62" i="2"/>
  <c r="Z63" i="2"/>
  <c r="Z64" i="2"/>
  <c r="Z66" i="2"/>
  <c r="Z67" i="2"/>
  <c r="Z68" i="2"/>
  <c r="Z69" i="2"/>
  <c r="Z70" i="2"/>
  <c r="Z71" i="2"/>
  <c r="Z72" i="2"/>
  <c r="Z74" i="2"/>
  <c r="Z75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J62" i="2"/>
  <c r="AJ63" i="2"/>
  <c r="AJ64" i="2"/>
  <c r="AJ67" i="2"/>
  <c r="AJ68" i="2"/>
  <c r="AJ69" i="2"/>
  <c r="AJ70" i="2"/>
  <c r="AJ71" i="2"/>
  <c r="AJ72" i="2"/>
  <c r="AJ73" i="2"/>
  <c r="AJ74" i="2"/>
  <c r="AJ75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L62" i="2"/>
  <c r="AL63" i="2"/>
  <c r="AL64" i="2"/>
  <c r="AL65" i="2"/>
  <c r="AL67" i="2"/>
  <c r="AL69" i="2"/>
  <c r="AL71" i="2"/>
  <c r="AL72" i="2"/>
  <c r="AL74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N62" i="2"/>
  <c r="AN63" i="2"/>
  <c r="AN64" i="2"/>
  <c r="AN66" i="2"/>
  <c r="AN67" i="2"/>
  <c r="AN68" i="2"/>
  <c r="AN69" i="2"/>
  <c r="AN70" i="2"/>
  <c r="AN71" i="2"/>
  <c r="AN72" i="2"/>
  <c r="AN74" i="2"/>
  <c r="AN75" i="2"/>
  <c r="AO62" i="2"/>
  <c r="AO63" i="2"/>
  <c r="AO64" i="2"/>
  <c r="AO66" i="2"/>
  <c r="AO67" i="2"/>
  <c r="AO68" i="2"/>
  <c r="AO69" i="2"/>
  <c r="AO70" i="2"/>
  <c r="AO71" i="2"/>
  <c r="AO72" i="2"/>
  <c r="AO74" i="2"/>
  <c r="AO75" i="2"/>
  <c r="AP62" i="2"/>
  <c r="AP63" i="2"/>
  <c r="AP64" i="2"/>
  <c r="AP66" i="2"/>
  <c r="AP67" i="2"/>
  <c r="AP68" i="2"/>
  <c r="AP69" i="2"/>
  <c r="AP70" i="2"/>
  <c r="AP71" i="2"/>
  <c r="AP72" i="2"/>
  <c r="AP74" i="2"/>
  <c r="AP75" i="2"/>
  <c r="AQ62" i="2"/>
  <c r="AQ63" i="2"/>
  <c r="AQ64" i="2"/>
  <c r="AQ66" i="2"/>
  <c r="AQ67" i="2"/>
  <c r="AQ68" i="2"/>
  <c r="AQ69" i="2"/>
  <c r="AQ70" i="2"/>
  <c r="AQ71" i="2"/>
  <c r="AQ72" i="2"/>
  <c r="AQ73" i="2"/>
  <c r="AQ74" i="2"/>
  <c r="AQ75" i="2"/>
  <c r="AK103" i="2" l="1"/>
  <c r="AJ155" i="2"/>
  <c r="AO140" i="2"/>
  <c r="AK160" i="2"/>
  <c r="AJ109" i="2"/>
  <c r="AK96" i="2"/>
  <c r="AO156" i="2"/>
  <c r="AJ141" i="2"/>
  <c r="AN108" i="2"/>
  <c r="AK151" i="2"/>
  <c r="AK119" i="2"/>
  <c r="AJ102" i="2"/>
  <c r="AK87" i="2"/>
  <c r="AK112" i="2"/>
  <c r="AK80" i="2"/>
  <c r="AN124" i="2"/>
  <c r="AO90" i="2"/>
  <c r="AN106" i="2"/>
  <c r="AO122" i="2"/>
  <c r="AO138" i="2"/>
  <c r="AN76" i="2"/>
  <c r="AJ94" i="2"/>
  <c r="AK152" i="2"/>
  <c r="AK128" i="2"/>
  <c r="AK126" i="2"/>
  <c r="AJ142" i="2"/>
  <c r="AK78" i="2"/>
  <c r="AJ139" i="2"/>
  <c r="AK144" i="2"/>
  <c r="AJ110" i="2"/>
  <c r="AJ86" i="2"/>
  <c r="AJ158" i="2"/>
  <c r="AJ134" i="2"/>
  <c r="AJ150" i="2"/>
  <c r="AK76" i="2"/>
  <c r="AK99" i="2"/>
  <c r="AK162" i="2"/>
  <c r="AK146" i="2"/>
  <c r="AK130" i="2"/>
  <c r="AK114" i="2"/>
  <c r="AK98" i="2"/>
  <c r="AK82" i="2"/>
  <c r="AN111" i="2"/>
  <c r="AK131" i="2"/>
  <c r="AK147" i="2"/>
  <c r="AN127" i="2"/>
  <c r="AN126" i="2"/>
  <c r="AK159" i="2"/>
  <c r="AK143" i="2"/>
  <c r="AK127" i="2"/>
  <c r="AK111" i="2"/>
  <c r="AK95" i="2"/>
  <c r="AK79" i="2"/>
  <c r="AO159" i="2"/>
  <c r="AO143" i="2"/>
  <c r="AO95" i="2"/>
  <c r="AO79" i="2"/>
  <c r="AO110" i="2"/>
  <c r="AO158" i="2"/>
  <c r="AJ163" i="2"/>
  <c r="AJ115" i="2"/>
  <c r="AJ83" i="2"/>
  <c r="AN163" i="2"/>
  <c r="AN146" i="2"/>
  <c r="AN129" i="2"/>
  <c r="AN78" i="2"/>
  <c r="AP65" i="2"/>
  <c r="AN162" i="2"/>
  <c r="AN145" i="2"/>
  <c r="AN94" i="2"/>
  <c r="AO65" i="2"/>
  <c r="AN142" i="2"/>
  <c r="AN87" i="2"/>
  <c r="AP73" i="2"/>
  <c r="AN154" i="2"/>
  <c r="AN137" i="2"/>
  <c r="AN103" i="2"/>
  <c r="AN73" i="2"/>
  <c r="Z150" i="2"/>
  <c r="Z134" i="2"/>
  <c r="Z118" i="2"/>
  <c r="Z102" i="2"/>
  <c r="Z86" i="2"/>
  <c r="Z65" i="2"/>
  <c r="AL75" i="2"/>
  <c r="AL73" i="2"/>
  <c r="AJ66" i="2"/>
  <c r="AL68" i="2"/>
  <c r="AL66" i="2"/>
  <c r="AQ2" i="2" l="1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Q44" i="2"/>
  <c r="AP7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H6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O32" i="2"/>
  <c r="AJ32" i="2" s="1"/>
  <c r="O33" i="2"/>
  <c r="AK33" i="2" s="1"/>
  <c r="O34" i="2"/>
  <c r="AJ34" i="2" s="1"/>
  <c r="O35" i="2"/>
  <c r="AJ35" i="2" s="1"/>
  <c r="O36" i="2"/>
  <c r="AJ36" i="2" s="1"/>
  <c r="O37" i="2"/>
  <c r="AJ37" i="2" s="1"/>
  <c r="O38" i="2"/>
  <c r="AJ38" i="2" s="1"/>
  <c r="O39" i="2"/>
  <c r="AJ39" i="2" s="1"/>
  <c r="O40" i="2"/>
  <c r="AJ40" i="2" s="1"/>
  <c r="O41" i="2"/>
  <c r="AK41" i="2" s="1"/>
  <c r="O42" i="2"/>
  <c r="AK42" i="2" s="1"/>
  <c r="O43" i="2"/>
  <c r="AJ43" i="2" s="1"/>
  <c r="O44" i="2"/>
  <c r="AJ44" i="2" s="1"/>
  <c r="O45" i="2"/>
  <c r="AK45" i="2" s="1"/>
  <c r="O46" i="2"/>
  <c r="AJ46" i="2" s="1"/>
  <c r="O47" i="2"/>
  <c r="AJ47" i="2" s="1"/>
  <c r="O48" i="2"/>
  <c r="AJ48" i="2" s="1"/>
  <c r="O49" i="2"/>
  <c r="AK49" i="2" s="1"/>
  <c r="O50" i="2"/>
  <c r="AJ50" i="2" s="1"/>
  <c r="O51" i="2"/>
  <c r="AJ51" i="2" s="1"/>
  <c r="O52" i="2"/>
  <c r="AJ52" i="2" s="1"/>
  <c r="O53" i="2"/>
  <c r="AJ53" i="2" s="1"/>
  <c r="O54" i="2"/>
  <c r="AJ54" i="2" s="1"/>
  <c r="O55" i="2"/>
  <c r="AJ55" i="2" s="1"/>
  <c r="O56" i="2"/>
  <c r="AJ56" i="2" s="1"/>
  <c r="O57" i="2"/>
  <c r="AK57" i="2" s="1"/>
  <c r="O58" i="2"/>
  <c r="AK58" i="2" s="1"/>
  <c r="O59" i="2"/>
  <c r="AJ59" i="2" s="1"/>
  <c r="O60" i="2"/>
  <c r="AJ60" i="2" s="1"/>
  <c r="O61" i="2"/>
  <c r="AK61" i="2" s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2" i="2"/>
  <c r="Q2" i="2"/>
  <c r="AO2" i="2" s="1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Q32" i="2"/>
  <c r="AN32" i="2" s="1"/>
  <c r="Q33" i="2"/>
  <c r="AN33" i="2" s="1"/>
  <c r="Q34" i="2"/>
  <c r="AN34" i="2" s="1"/>
  <c r="Q35" i="2"/>
  <c r="AN35" i="2" s="1"/>
  <c r="Q36" i="2"/>
  <c r="AO36" i="2" s="1"/>
  <c r="Q37" i="2"/>
  <c r="AO37" i="2" s="1"/>
  <c r="Q38" i="2"/>
  <c r="AO38" i="2" s="1"/>
  <c r="Q39" i="2"/>
  <c r="AO39" i="2" s="1"/>
  <c r="Q40" i="2"/>
  <c r="AO40" i="2" s="1"/>
  <c r="Q41" i="2"/>
  <c r="AO41" i="2" s="1"/>
  <c r="Q42" i="2"/>
  <c r="AO42" i="2" s="1"/>
  <c r="Q43" i="2"/>
  <c r="AO43" i="2" s="1"/>
  <c r="Q44" i="2"/>
  <c r="AO44" i="2" s="1"/>
  <c r="Q45" i="2"/>
  <c r="AO45" i="2" s="1"/>
  <c r="Q46" i="2"/>
  <c r="AO46" i="2" s="1"/>
  <c r="Q47" i="2"/>
  <c r="AO47" i="2" s="1"/>
  <c r="Q48" i="2"/>
  <c r="AN48" i="2" s="1"/>
  <c r="Q49" i="2"/>
  <c r="AN49" i="2" s="1"/>
  <c r="Q50" i="2"/>
  <c r="AN50" i="2" s="1"/>
  <c r="Q51" i="2"/>
  <c r="AN51" i="2" s="1"/>
  <c r="Q52" i="2"/>
  <c r="AO52" i="2" s="1"/>
  <c r="Q53" i="2"/>
  <c r="AO53" i="2" s="1"/>
  <c r="Q54" i="2"/>
  <c r="AO54" i="2" s="1"/>
  <c r="Q55" i="2"/>
  <c r="AO55" i="2" s="1"/>
  <c r="Q56" i="2"/>
  <c r="AO56" i="2" s="1"/>
  <c r="Q57" i="2"/>
  <c r="AO57" i="2" s="1"/>
  <c r="Q58" i="2"/>
  <c r="AO58" i="2" s="1"/>
  <c r="Q59" i="2"/>
  <c r="AO59" i="2" s="1"/>
  <c r="Q60" i="2"/>
  <c r="AO60" i="2" s="1"/>
  <c r="Q61" i="2"/>
  <c r="AO61" i="2" s="1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46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AO51" i="2" l="1"/>
  <c r="AO35" i="2"/>
  <c r="AN47" i="2"/>
  <c r="AN2" i="2"/>
  <c r="AO50" i="2"/>
  <c r="AO34" i="2"/>
  <c r="AN46" i="2"/>
  <c r="AO49" i="2"/>
  <c r="AO33" i="2"/>
  <c r="AN61" i="2"/>
  <c r="AN45" i="2"/>
  <c r="AO48" i="2"/>
  <c r="AO32" i="2"/>
  <c r="AN60" i="2"/>
  <c r="AN44" i="2"/>
  <c r="AN59" i="2"/>
  <c r="AN43" i="2"/>
  <c r="AN58" i="2"/>
  <c r="AN42" i="2"/>
  <c r="AN57" i="2"/>
  <c r="AN41" i="2"/>
  <c r="AN56" i="2"/>
  <c r="AN40" i="2"/>
  <c r="AN55" i="2"/>
  <c r="AN39" i="2"/>
  <c r="AN54" i="2"/>
  <c r="AN38" i="2"/>
  <c r="AN53" i="2"/>
  <c r="AN37" i="2"/>
  <c r="AN52" i="2"/>
  <c r="AN36" i="2"/>
  <c r="AJ42" i="2"/>
  <c r="AK52" i="2"/>
  <c r="AJ41" i="2"/>
  <c r="AK36" i="2"/>
  <c r="AK53" i="2"/>
  <c r="AK44" i="2"/>
  <c r="AK43" i="2"/>
  <c r="AK37" i="2"/>
  <c r="AJ58" i="2"/>
  <c r="AJ57" i="2"/>
  <c r="AJ49" i="2"/>
  <c r="AK60" i="2"/>
  <c r="AJ33" i="2"/>
  <c r="AK59" i="2"/>
  <c r="AJ61" i="2"/>
  <c r="AJ45" i="2"/>
  <c r="AK56" i="2"/>
  <c r="AK40" i="2"/>
  <c r="AK55" i="2"/>
  <c r="AK39" i="2"/>
  <c r="AK54" i="2"/>
  <c r="AK38" i="2"/>
  <c r="AK51" i="2"/>
  <c r="AK35" i="2"/>
  <c r="AK50" i="2"/>
  <c r="AK34" i="2"/>
  <c r="AK48" i="2"/>
  <c r="AK32" i="2"/>
  <c r="AK47" i="2"/>
  <c r="AK46" i="2"/>
  <c r="AP3" i="2" l="1"/>
  <c r="AP4" i="2"/>
  <c r="AP5" i="2"/>
  <c r="AP6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2" i="2"/>
  <c r="Q4" i="2"/>
  <c r="Q3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P2" i="2"/>
  <c r="P3" i="2"/>
  <c r="AL3" i="2" s="1"/>
  <c r="P4" i="2"/>
  <c r="AL4" i="2" s="1"/>
  <c r="P5" i="2"/>
  <c r="AL5" i="2" s="1"/>
  <c r="P6" i="2"/>
  <c r="AL6" i="2" s="1"/>
  <c r="P7" i="2"/>
  <c r="AL7" i="2" s="1"/>
  <c r="P8" i="2"/>
  <c r="AL8" i="2" s="1"/>
  <c r="P9" i="2"/>
  <c r="AL9" i="2" s="1"/>
  <c r="P10" i="2"/>
  <c r="AL10" i="2" s="1"/>
  <c r="P11" i="2"/>
  <c r="AL11" i="2" s="1"/>
  <c r="P12" i="2"/>
  <c r="AL12" i="2" s="1"/>
  <c r="P13" i="2"/>
  <c r="AL13" i="2" s="1"/>
  <c r="P14" i="2"/>
  <c r="AL14" i="2" s="1"/>
  <c r="P15" i="2"/>
  <c r="AL15" i="2" s="1"/>
  <c r="P16" i="2"/>
  <c r="AL16" i="2" s="1"/>
  <c r="P17" i="2"/>
  <c r="AL17" i="2" s="1"/>
  <c r="P18" i="2"/>
  <c r="AL18" i="2" s="1"/>
  <c r="P19" i="2"/>
  <c r="AL19" i="2" s="1"/>
  <c r="P20" i="2"/>
  <c r="AL20" i="2" s="1"/>
  <c r="P21" i="2"/>
  <c r="AL21" i="2" s="1"/>
  <c r="P22" i="2"/>
  <c r="AL22" i="2" s="1"/>
  <c r="P23" i="2"/>
  <c r="AL23" i="2" s="1"/>
  <c r="P24" i="2"/>
  <c r="AL24" i="2" s="1"/>
  <c r="P25" i="2"/>
  <c r="AL25" i="2" s="1"/>
  <c r="P26" i="2"/>
  <c r="AL26" i="2" s="1"/>
  <c r="P27" i="2"/>
  <c r="AL27" i="2" s="1"/>
  <c r="P28" i="2"/>
  <c r="AL28" i="2" s="1"/>
  <c r="P29" i="2"/>
  <c r="AL29" i="2" s="1"/>
  <c r="P30" i="2"/>
  <c r="AL30" i="2" s="1"/>
  <c r="P31" i="2"/>
  <c r="AL31" i="2" s="1"/>
  <c r="M4" i="1"/>
  <c r="M3" i="1"/>
  <c r="AM2" i="2" l="1"/>
  <c r="AL2" i="2"/>
  <c r="AO20" i="2"/>
  <c r="AN20" i="2"/>
  <c r="AN3" i="2"/>
  <c r="AO3" i="2"/>
  <c r="AN17" i="2"/>
  <c r="AO17" i="2"/>
  <c r="AN16" i="2"/>
  <c r="AO16" i="2"/>
  <c r="AO15" i="2"/>
  <c r="AN15" i="2"/>
  <c r="AO14" i="2"/>
  <c r="AN14" i="2"/>
  <c r="AO29" i="2"/>
  <c r="AN29" i="2"/>
  <c r="AO13" i="2"/>
  <c r="AN13" i="2"/>
  <c r="AO28" i="2"/>
  <c r="AN28" i="2"/>
  <c r="AO12" i="2"/>
  <c r="AN12" i="2"/>
  <c r="AO5" i="2"/>
  <c r="AN5" i="2"/>
  <c r="AO27" i="2"/>
  <c r="AN27" i="2"/>
  <c r="AO11" i="2"/>
  <c r="AN11" i="2"/>
  <c r="AO30" i="2"/>
  <c r="AN30" i="2"/>
  <c r="AO26" i="2"/>
  <c r="AN26" i="2"/>
  <c r="AO10" i="2"/>
  <c r="AN10" i="2"/>
  <c r="AO4" i="2"/>
  <c r="AN4" i="2"/>
  <c r="AO25" i="2"/>
  <c r="AN25" i="2"/>
  <c r="AO9" i="2"/>
  <c r="AN9" i="2"/>
  <c r="AO21" i="2"/>
  <c r="AN21" i="2"/>
  <c r="AO24" i="2"/>
  <c r="AN24" i="2"/>
  <c r="AO8" i="2"/>
  <c r="AN8" i="2"/>
  <c r="AN18" i="2"/>
  <c r="AO18" i="2"/>
  <c r="AO23" i="2"/>
  <c r="AN23" i="2"/>
  <c r="AO7" i="2"/>
  <c r="AN7" i="2"/>
  <c r="AN19" i="2"/>
  <c r="AO19" i="2"/>
  <c r="AO31" i="2"/>
  <c r="AN31" i="2"/>
  <c r="AO22" i="2"/>
  <c r="AN22" i="2"/>
  <c r="AO6" i="2"/>
  <c r="AN6" i="2"/>
  <c r="AM26" i="2"/>
  <c r="AM10" i="2"/>
  <c r="AM21" i="2"/>
  <c r="AM5" i="2"/>
  <c r="AM20" i="2"/>
  <c r="AM4" i="2"/>
  <c r="AM11" i="2"/>
  <c r="AM3" i="2"/>
  <c r="AM17" i="2"/>
  <c r="AM16" i="2"/>
  <c r="AM15" i="2"/>
  <c r="AM30" i="2"/>
  <c r="AM19" i="2"/>
  <c r="AM18" i="2"/>
  <c r="AM31" i="2"/>
  <c r="AM14" i="2"/>
  <c r="AM29" i="2"/>
  <c r="AM13" i="2"/>
  <c r="AM28" i="2"/>
  <c r="AM12" i="2"/>
  <c r="AM25" i="2"/>
  <c r="AM24" i="2"/>
  <c r="AM23" i="2"/>
  <c r="AM27" i="2"/>
  <c r="AM9" i="2"/>
  <c r="AM8" i="2"/>
  <c r="AM7" i="2"/>
  <c r="AM22" i="2"/>
  <c r="AM6" i="2"/>
  <c r="F7" i="1" l="1"/>
  <c r="G7" i="1"/>
  <c r="H7" i="1"/>
  <c r="I7" i="1"/>
  <c r="E7" i="1"/>
  <c r="J7" i="1"/>
  <c r="D28" i="1"/>
  <c r="F6" i="1" l="1"/>
  <c r="E6" i="1" l="1"/>
  <c r="M2" i="1" l="1"/>
  <c r="G6" i="1"/>
  <c r="H6" i="1"/>
  <c r="I6" i="1"/>
  <c r="J6" i="1"/>
  <c r="M6" i="1" l="1"/>
  <c r="M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Simula</author>
    <author>Andrea Chiocca</author>
  </authors>
  <commentList>
    <comment ref="K1" authorId="0" shapeId="0" xr:uid="{6F04C3C2-FECD-4FFF-AA88-91952C0B68F1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long side</t>
        </r>
      </text>
    </comment>
    <comment ref="L1" authorId="0" shapeId="0" xr:uid="{66E3A68F-8EB9-44F9-874B-239CE193C68B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short side</t>
        </r>
      </text>
    </comment>
    <comment ref="O1" authorId="1" shapeId="0" xr:uid="{1CC4F29A-57B3-44F7-965B-DA237098AC81}">
      <text>
        <r>
          <rPr>
            <b/>
            <sz val="14"/>
            <color indexed="81"/>
            <rFont val="Tahoma"/>
            <family val="2"/>
          </rPr>
          <t>Net</t>
        </r>
        <r>
          <rPr>
            <sz val="14"/>
            <color indexed="81"/>
            <rFont val="Tahoma"/>
            <family val="2"/>
          </rPr>
          <t xml:space="preserve"> or </t>
        </r>
        <r>
          <rPr>
            <b/>
            <sz val="14"/>
            <color indexed="81"/>
            <rFont val="Tahoma"/>
            <family val="2"/>
          </rPr>
          <t>gross</t>
        </r>
        <r>
          <rPr>
            <sz val="14"/>
            <color indexed="81"/>
            <rFont val="Tahoma"/>
            <family val="2"/>
          </rPr>
          <t xml:space="preserve"> area depending on what the author used to evaluate the nominal stresses</t>
        </r>
      </text>
    </comment>
    <comment ref="P1" authorId="0" shapeId="0" xr:uid="{679AC68E-6E1E-49D7-95C8-CB4738B37734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if Flat with neutral-axis bending // along the long sideo</t>
        </r>
      </text>
    </comment>
    <comment ref="AB1" authorId="0" shapeId="0" xr:uid="{F0DA867F-3D3D-465D-BB43-47CFC5DF21E7}">
      <text>
        <r>
          <rPr>
            <b/>
            <sz val="9"/>
            <color indexed="81"/>
            <rFont val="Tahoma"/>
            <family val="2"/>
          </rPr>
          <t>Simula: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It is hypothesized that the radial stress (second axial stress) can be generated solely by internal pressure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</futureMetadata>
  <valueMetadata count="3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</valueMetadata>
</metadata>
</file>

<file path=xl/sharedStrings.xml><?xml version="1.0" encoding="utf-8"?>
<sst xmlns="http://schemas.openxmlformats.org/spreadsheetml/2006/main" count="2053" uniqueCount="235">
  <si>
    <t>Material name</t>
  </si>
  <si>
    <t>Poisson's ratio (-)</t>
  </si>
  <si>
    <t>Tensile strength (MPa)</t>
  </si>
  <si>
    <t>Yield strength (MPa)</t>
  </si>
  <si>
    <t>K</t>
  </si>
  <si>
    <t>Number of cycles to failure</t>
  </si>
  <si>
    <t>Run out (Yes/No)</t>
  </si>
  <si>
    <t>Mean RADIAL stress  (MPa)</t>
  </si>
  <si>
    <t>Amplitute RADIAL stress  (MPa)</t>
  </si>
  <si>
    <t>Mean SHEAR stress  (MPa)</t>
  </si>
  <si>
    <t>Amplitute SHEAR stress  (MPa)</t>
  </si>
  <si>
    <t>Amplitude TORQUE (Nmm)</t>
  </si>
  <si>
    <t>Mean TORQUE (Nmm)</t>
  </si>
  <si>
    <t>Lambda (tauA/sigmaA)</t>
  </si>
  <si>
    <t>Load ratio (RADIAL)</t>
  </si>
  <si>
    <t>Load ratio (TORSIONAL)</t>
  </si>
  <si>
    <t>Geometry picture</t>
  </si>
  <si>
    <t>Diameter (mm)</t>
  </si>
  <si>
    <t>Failure type (complete rupture/stiffness decrease)</t>
  </si>
  <si>
    <t>Specimen name</t>
  </si>
  <si>
    <t>No</t>
  </si>
  <si>
    <t>Null</t>
  </si>
  <si>
    <t>Young's modulus (MPa)</t>
  </si>
  <si>
    <t>Standard deviation</t>
  </si>
  <si>
    <t>Average</t>
  </si>
  <si>
    <t>Article year</t>
  </si>
  <si>
    <t>Authors</t>
  </si>
  <si>
    <t>cylindrical</t>
  </si>
  <si>
    <t>Notched</t>
  </si>
  <si>
    <t>LEGEND:</t>
  </si>
  <si>
    <r>
      <rPr>
        <b/>
        <u/>
        <sz val="11"/>
        <color theme="0"/>
        <rFont val="Calibri"/>
        <family val="2"/>
        <scheme val="minor"/>
      </rPr>
      <t>INPUT</t>
    </r>
    <r>
      <rPr>
        <b/>
        <sz val="11"/>
        <color theme="0"/>
        <rFont val="Calibri"/>
        <family val="2"/>
        <scheme val="minor"/>
      </rPr>
      <t xml:space="preserve"> to be inserted by the user</t>
    </r>
  </si>
  <si>
    <r>
      <rPr>
        <b/>
        <u/>
        <sz val="11"/>
        <color theme="0"/>
        <rFont val="Calibri"/>
        <family val="2"/>
        <scheme val="minor"/>
      </rPr>
      <t>OUTPUT</t>
    </r>
    <r>
      <rPr>
        <b/>
        <sz val="11"/>
        <color theme="0"/>
        <rFont val="Calibri"/>
        <family val="2"/>
        <scheme val="minor"/>
      </rPr>
      <t xml:space="preserve"> automatically provided by the excel table</t>
    </r>
  </si>
  <si>
    <t>Yes</t>
  </si>
  <si>
    <t>Area (mm^2)</t>
  </si>
  <si>
    <t>Data count</t>
  </si>
  <si>
    <t>Mean BENDING moment (Nmm)</t>
  </si>
  <si>
    <t>Amplitude BENDING moment (Nmm)</t>
  </si>
  <si>
    <t>Number of Cycles (cycles)</t>
  </si>
  <si>
    <t>Stress ratio R</t>
  </si>
  <si>
    <t>Tensile fatigue limit (MPa)</t>
  </si>
  <si>
    <t>Torsional fatigue limit (MPa)</t>
  </si>
  <si>
    <t>A (mm)</t>
  </si>
  <si>
    <t>B (mm)</t>
  </si>
  <si>
    <t>Hole diameter (mm)</t>
  </si>
  <si>
    <t>Geometry type (flat/cylindrical/hollow cylinder)</t>
  </si>
  <si>
    <t>Phase RADIAL load (°)</t>
  </si>
  <si>
    <t>Phase AXIAL load (°)</t>
  </si>
  <si>
    <t>Phase TORSIONAL load (°)</t>
  </si>
  <si>
    <t>Freq RADIAL load [Hz]</t>
  </si>
  <si>
    <t>Freq AXIAL load[Hz]</t>
  </si>
  <si>
    <t>Freq TORSIONAL load [Hz]</t>
  </si>
  <si>
    <t>Load ratio (AXIAL)</t>
  </si>
  <si>
    <t>Mean AXIAL stress  (MPa)</t>
  </si>
  <si>
    <t>Amplitute AXIAL stress  (MPa)</t>
  </si>
  <si>
    <t>Mean internal PRESSURE  (MPa)</t>
  </si>
  <si>
    <t>Amplitute internal PRESSURE (MPa)</t>
  </si>
  <si>
    <t>derived from (AXIAL/BENDING) load</t>
  </si>
  <si>
    <t>torsional momento of inertia (mm^4)</t>
  </si>
  <si>
    <t>flessional momento of inertia (mm^4)</t>
  </si>
  <si>
    <t>Mean AXIAL load (N)</t>
  </si>
  <si>
    <t>AXIAL</t>
  </si>
  <si>
    <t>Article DOI / Reference</t>
  </si>
  <si>
    <t>Amplitude von Mises (MPa)</t>
  </si>
  <si>
    <t>Amplitute AXIAL load (N)</t>
  </si>
  <si>
    <t>10.1111/j.1460-2695.2007.01122.x</t>
  </si>
  <si>
    <t>Susmel and Taylor</t>
  </si>
  <si>
    <t>EN3B</t>
  </si>
  <si>
    <t>10.1111/j.1460-2695.2008.01296.x</t>
  </si>
  <si>
    <t>U_notch_1</t>
  </si>
  <si>
    <t>complete rupture</t>
  </si>
  <si>
    <t>flat</t>
  </si>
  <si>
    <t>yes</t>
  </si>
  <si>
    <t>U_notch_2</t>
  </si>
  <si>
    <t>U_notch_3</t>
  </si>
  <si>
    <t>U_notch_4</t>
  </si>
  <si>
    <t>U_notch_5</t>
  </si>
  <si>
    <t>U_notch_6</t>
  </si>
  <si>
    <t>U_notch_7</t>
  </si>
  <si>
    <t>U_notch_8</t>
  </si>
  <si>
    <t>V_notch_1</t>
  </si>
  <si>
    <t>V_notch_2</t>
  </si>
  <si>
    <t>V_notch_3</t>
  </si>
  <si>
    <t>V_notch_4</t>
  </si>
  <si>
    <t>V_notch_5</t>
  </si>
  <si>
    <t>V_notch_6</t>
  </si>
  <si>
    <t>V_notch_7</t>
  </si>
  <si>
    <t>V_notch_8</t>
  </si>
  <si>
    <t>V_notch_9</t>
  </si>
  <si>
    <t>Hole_8mm_1</t>
  </si>
  <si>
    <t>Hole_8mm_2</t>
  </si>
  <si>
    <t>Hole_8mm_3</t>
  </si>
  <si>
    <t>Hole_8mm_4</t>
  </si>
  <si>
    <t>Hole_8mm_5</t>
  </si>
  <si>
    <t>Hole_8mm_6</t>
  </si>
  <si>
    <t>Hole_8mm_7</t>
  </si>
  <si>
    <t>Hole_8mm_8</t>
  </si>
  <si>
    <t>Hole_3_5mm_1</t>
  </si>
  <si>
    <t>Hole_3_5mm_2</t>
  </si>
  <si>
    <t>Hole_3_5mm_3</t>
  </si>
  <si>
    <t>Hole_3_5mm_4</t>
  </si>
  <si>
    <t>Hole_3_5mm_5</t>
  </si>
  <si>
    <t>Hole_3_5mm_6</t>
  </si>
  <si>
    <t>Hole_3_5mm_7</t>
  </si>
  <si>
    <t>Hole_3_5mm_8</t>
  </si>
  <si>
    <t>U_notch_9</t>
  </si>
  <si>
    <t>U_notch_10</t>
  </si>
  <si>
    <t>U_notch_11</t>
  </si>
  <si>
    <t>U_notch_12</t>
  </si>
  <si>
    <t>U_notch_13</t>
  </si>
  <si>
    <t>U_notch_14</t>
  </si>
  <si>
    <t>U_notch_15</t>
  </si>
  <si>
    <t>V_notch_10</t>
  </si>
  <si>
    <t>V_notch_11</t>
  </si>
  <si>
    <t>V_notch_12</t>
  </si>
  <si>
    <t>V_notch_13</t>
  </si>
  <si>
    <t>V_notch_14</t>
  </si>
  <si>
    <t>V_notch_15</t>
  </si>
  <si>
    <t>V_notch_16</t>
  </si>
  <si>
    <t>V_notch_17</t>
  </si>
  <si>
    <t>V_notch_18</t>
  </si>
  <si>
    <t>V_notch_19</t>
  </si>
  <si>
    <t>V_notch_20</t>
  </si>
  <si>
    <t>V_notch_21</t>
  </si>
  <si>
    <t>V_notch_22</t>
  </si>
  <si>
    <t>V_notch_23</t>
  </si>
  <si>
    <t>V_notch_24</t>
  </si>
  <si>
    <t>V_notch_25</t>
  </si>
  <si>
    <t>V_notch_26</t>
  </si>
  <si>
    <t>V_notch_27</t>
  </si>
  <si>
    <t>Hole_8mm_9</t>
  </si>
  <si>
    <t>Hole_8mm_10</t>
  </si>
  <si>
    <t>Hole_8mm_11</t>
  </si>
  <si>
    <t>Hole_8mm_12</t>
  </si>
  <si>
    <t>Hole_8mm_13</t>
  </si>
  <si>
    <t>Hole_8mm_14</t>
  </si>
  <si>
    <t>Hole_8mm_15</t>
  </si>
  <si>
    <t>Hole_8mm_16</t>
  </si>
  <si>
    <t>Hole_3_5mm_9</t>
  </si>
  <si>
    <t>Hole_3_5mm_10</t>
  </si>
  <si>
    <t>Hole_3_5mm_11</t>
  </si>
  <si>
    <t>Hole_3_5mm_12</t>
  </si>
  <si>
    <t>Hole_3_5mm_13</t>
  </si>
  <si>
    <t>Hole_3_5mm_14</t>
  </si>
  <si>
    <t>Hole_3_5mm_15</t>
  </si>
  <si>
    <t>Hole_3_5mm_16</t>
  </si>
  <si>
    <t>r03_iP_1</t>
  </si>
  <si>
    <t>r03_iP_2</t>
  </si>
  <si>
    <t>r03_iP_3</t>
  </si>
  <si>
    <t>r03_iP_4</t>
  </si>
  <si>
    <t>r03_iP_5</t>
  </si>
  <si>
    <t>r03_iP_6</t>
  </si>
  <si>
    <t>r03_ofP_1</t>
  </si>
  <si>
    <t>r03_ofP_2</t>
  </si>
  <si>
    <t>r03_ofP_3</t>
  </si>
  <si>
    <t>r03_ofP_4</t>
  </si>
  <si>
    <t>r03_ofP_5</t>
  </si>
  <si>
    <t>r03_ofP_6</t>
  </si>
  <si>
    <t>r4_ofP_1</t>
  </si>
  <si>
    <t>r4_ofP_2</t>
  </si>
  <si>
    <t>r4_ofP_3</t>
  </si>
  <si>
    <t>r4_ofP_4</t>
  </si>
  <si>
    <t>r4_ofP_6</t>
  </si>
  <si>
    <t>r4_ofP_7</t>
  </si>
  <si>
    <t>r4_oP_8</t>
  </si>
  <si>
    <t>r4_oP_9</t>
  </si>
  <si>
    <t>r4_oP_10</t>
  </si>
  <si>
    <t>r4_oP_11</t>
  </si>
  <si>
    <t>r4_oP_12</t>
  </si>
  <si>
    <t>r4_oP_13</t>
  </si>
  <si>
    <t>r4_oP_14</t>
  </si>
  <si>
    <t>r4_oP_15</t>
  </si>
  <si>
    <t>r125_ofP_13</t>
  </si>
  <si>
    <t>r125_ofP_14</t>
  </si>
  <si>
    <t>r125_ofP_15</t>
  </si>
  <si>
    <t>r125_ofP_19</t>
  </si>
  <si>
    <t>r125_ofP_20</t>
  </si>
  <si>
    <t>r125_ofP_25</t>
  </si>
  <si>
    <t>r125_ofP_21</t>
  </si>
  <si>
    <t>r125_ofP_24</t>
  </si>
  <si>
    <t>TSN3</t>
  </si>
  <si>
    <t>TSN4</t>
  </si>
  <si>
    <t>TSN5</t>
  </si>
  <si>
    <t>TSN6</t>
  </si>
  <si>
    <t>TSN7</t>
  </si>
  <si>
    <t>TSN8</t>
  </si>
  <si>
    <t>TSN9</t>
  </si>
  <si>
    <t>TSN10</t>
  </si>
  <si>
    <t>TSN11</t>
  </si>
  <si>
    <t>r03_iP_9</t>
  </si>
  <si>
    <t>r03_iP_10</t>
  </si>
  <si>
    <t>r03_iP_11</t>
  </si>
  <si>
    <t>r03_iP_12</t>
  </si>
  <si>
    <t>r03_iP_7</t>
  </si>
  <si>
    <t>r03_iP_8</t>
  </si>
  <si>
    <t>r03_ofP_7</t>
  </si>
  <si>
    <t>r03_ofP_8</t>
  </si>
  <si>
    <t>r03_ofP_9</t>
  </si>
  <si>
    <t>r03_ofP_10</t>
  </si>
  <si>
    <t>r03_ofP_11</t>
  </si>
  <si>
    <t>r03_ofP_12</t>
  </si>
  <si>
    <t>r125_iP_1</t>
  </si>
  <si>
    <t>r125_iP_2</t>
  </si>
  <si>
    <t>r125_iP_3</t>
  </si>
  <si>
    <t>r125_iP_4</t>
  </si>
  <si>
    <t>r125_iP_5</t>
  </si>
  <si>
    <t>r125_iP_6</t>
  </si>
  <si>
    <t>r125_iP_7</t>
  </si>
  <si>
    <t>r125_iP_8</t>
  </si>
  <si>
    <t>r125_iP_9</t>
  </si>
  <si>
    <t>r125_iP_10</t>
  </si>
  <si>
    <t>r125_iP_11</t>
  </si>
  <si>
    <t>r125_iP_12</t>
  </si>
  <si>
    <t>r125_ofP_1</t>
  </si>
  <si>
    <t>r125_ofP_5</t>
  </si>
  <si>
    <t>r125_ofP_6</t>
  </si>
  <si>
    <t>r125_ofP_7</t>
  </si>
  <si>
    <t>r125_ofP_8</t>
  </si>
  <si>
    <t>r125_ofP_3</t>
  </si>
  <si>
    <t>r125_ofP_4</t>
  </si>
  <si>
    <t>r4_iP_1</t>
  </si>
  <si>
    <t>r4_iP_2</t>
  </si>
  <si>
    <t>r4_iP_4</t>
  </si>
  <si>
    <t>r4_iP_7</t>
  </si>
  <si>
    <t>r4_iP_8</t>
  </si>
  <si>
    <t>r4_iP_9</t>
  </si>
  <si>
    <t>r4_iP_5</t>
  </si>
  <si>
    <t>r4_iP_6</t>
  </si>
  <si>
    <t>r4_iP_10</t>
  </si>
  <si>
    <t>r4_iP_11</t>
  </si>
  <si>
    <t>r4_iP_12</t>
  </si>
  <si>
    <t>r4_iP_14</t>
  </si>
  <si>
    <t>r4_iP_13</t>
  </si>
  <si>
    <t>r4_iP_16</t>
  </si>
  <si>
    <t>r4_iP_17</t>
  </si>
  <si>
    <t>r4_iP_15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</si>
</sst>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indexed="81"/>
      <name val="Tahoma"/>
      <family val="2"/>
    </font>
    <font>
      <sz val="14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2A2A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12" xfId="0" applyNumberFormat="1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2" fontId="0" fillId="0" borderId="0" xfId="0" applyNumberFormat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1" fontId="0" fillId="0" borderId="13" xfId="0" applyNumberFormat="1" applyBorder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11" fontId="0" fillId="2" borderId="0" xfId="0" applyNumberForma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1" fontId="8" fillId="13" borderId="0" xfId="0" applyNumberFormat="1" applyFont="1" applyFill="1" applyBorder="1" applyAlignment="1">
      <alignment horizontal="center" vertical="center" wrapText="1"/>
    </xf>
    <xf numFmtId="49" fontId="8" fillId="13" borderId="0" xfId="0" applyNumberFormat="1" applyFont="1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164" fontId="0" fillId="0" borderId="0" xfId="0" applyNumberFormat="1" applyBorder="1" applyAlignment="1">
      <alignment horizontal="center" vertical="center" wrapText="1"/>
    </xf>
    <xf numFmtId="164" fontId="0" fillId="9" borderId="0" xfId="0" applyNumberFormat="1" applyFill="1" applyBorder="1" applyAlignment="1">
      <alignment horizontal="center" vertical="center" wrapText="1"/>
    </xf>
    <xf numFmtId="49" fontId="7" fillId="11" borderId="0" xfId="0" applyNumberFormat="1" applyFont="1" applyFill="1" applyBorder="1" applyAlignment="1">
      <alignment horizontal="center" vertical="center" wrapText="1"/>
    </xf>
    <xf numFmtId="164" fontId="7" fillId="10" borderId="0" xfId="0" applyNumberFormat="1" applyFont="1" applyFill="1" applyBorder="1" applyAlignment="1">
      <alignment horizontal="center" vertical="center" wrapText="1"/>
    </xf>
    <xf numFmtId="0" fontId="0" fillId="9" borderId="0" xfId="0" applyFill="1" applyBorder="1" applyAlignment="1">
      <alignment horizontal="center" vertical="center" wrapText="1"/>
    </xf>
    <xf numFmtId="164" fontId="7" fillId="12" borderId="0" xfId="0" applyNumberFormat="1" applyFont="1" applyFill="1" applyBorder="1" applyAlignment="1">
      <alignment horizontal="center" vertical="center" wrapText="1"/>
    </xf>
    <xf numFmtId="164" fontId="7" fillId="7" borderId="0" xfId="0" applyNumberFormat="1" applyFont="1" applyFill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1" fontId="0" fillId="0" borderId="0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2" fontId="0" fillId="9" borderId="0" xfId="0" applyNumberFormat="1" applyFill="1" applyBorder="1" applyAlignment="1">
      <alignment horizontal="center" vertical="center" wrapText="1"/>
    </xf>
    <xf numFmtId="2" fontId="7" fillId="0" borderId="0" xfId="0" applyNumberFormat="1" applyFon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</cellXfs>
  <cellStyles count="1">
    <cellStyle name="Normale" xfId="0" builtinId="0"/>
  </cellStyles>
  <dxfs count="60"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5" formatCode="0.00E+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5" formatCode="0.00E+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42A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Summary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Dataset!$E$2:$E$98</c:f>
              <c:numCache>
                <c:formatCode>0.00E+00</c:formatCode>
                <c:ptCount val="97"/>
                <c:pt idx="0">
                  <c:v>10480.1296598525</c:v>
                </c:pt>
                <c:pt idx="1">
                  <c:v>11078.318016597501</c:v>
                </c:pt>
                <c:pt idx="2">
                  <c:v>30640.276487197501</c:v>
                </c:pt>
                <c:pt idx="3">
                  <c:v>35969.601116965401</c:v>
                </c:pt>
                <c:pt idx="4">
                  <c:v>86861.201139828307</c:v>
                </c:pt>
                <c:pt idx="5">
                  <c:v>93533.831886191794</c:v>
                </c:pt>
                <c:pt idx="6">
                  <c:v>365413.09941719298</c:v>
                </c:pt>
                <c:pt idx="7">
                  <c:v>829686.68207400094</c:v>
                </c:pt>
                <c:pt idx="8">
                  <c:v>17273.9979423441</c:v>
                </c:pt>
                <c:pt idx="9">
                  <c:v>17379.3962561722</c:v>
                </c:pt>
                <c:pt idx="10">
                  <c:v>25790.246215626899</c:v>
                </c:pt>
                <c:pt idx="11">
                  <c:v>54368.212360740697</c:v>
                </c:pt>
                <c:pt idx="12">
                  <c:v>205935.562280157</c:v>
                </c:pt>
                <c:pt idx="13">
                  <c:v>246266.90747472999</c:v>
                </c:pt>
                <c:pt idx="14">
                  <c:v>715477.02459372301</c:v>
                </c:pt>
                <c:pt idx="15">
                  <c:v>1624734.32798276</c:v>
                </c:pt>
                <c:pt idx="16">
                  <c:v>1860847.5010835801</c:v>
                </c:pt>
                <c:pt idx="17">
                  <c:v>14354.998751607</c:v>
                </c:pt>
                <c:pt idx="18">
                  <c:v>20783.624605545501</c:v>
                </c:pt>
                <c:pt idx="19">
                  <c:v>49582.376032991902</c:v>
                </c:pt>
                <c:pt idx="20">
                  <c:v>85835.263083879603</c:v>
                </c:pt>
                <c:pt idx="21">
                  <c:v>94737.721959463903</c:v>
                </c:pt>
                <c:pt idx="22">
                  <c:v>278724.392207517</c:v>
                </c:pt>
                <c:pt idx="23">
                  <c:v>625160.63856413204</c:v>
                </c:pt>
                <c:pt idx="24">
                  <c:v>689935.79743141797</c:v>
                </c:pt>
                <c:pt idx="25">
                  <c:v>15851.027353085001</c:v>
                </c:pt>
                <c:pt idx="26">
                  <c:v>16755.777610267902</c:v>
                </c:pt>
                <c:pt idx="27">
                  <c:v>46634.728738186597</c:v>
                </c:pt>
                <c:pt idx="28">
                  <c:v>70922.363030779699</c:v>
                </c:pt>
                <c:pt idx="29">
                  <c:v>95946.626088289006</c:v>
                </c:pt>
                <c:pt idx="30">
                  <c:v>307738.47177008103</c:v>
                </c:pt>
                <c:pt idx="31">
                  <c:v>685981.76058232295</c:v>
                </c:pt>
                <c:pt idx="32">
                  <c:v>945291.18633844005</c:v>
                </c:pt>
                <c:pt idx="33">
                  <c:v>14461.735363481001</c:v>
                </c:pt>
                <c:pt idx="34">
                  <c:v>55130.887385193702</c:v>
                </c:pt>
                <c:pt idx="35">
                  <c:v>61381.443974031099</c:v>
                </c:pt>
                <c:pt idx="36">
                  <c:v>104974.56134328499</c:v>
                </c:pt>
                <c:pt idx="37">
                  <c:v>111960.128792911</c:v>
                </c:pt>
                <c:pt idx="38">
                  <c:v>247743.83116326499</c:v>
                </c:pt>
                <c:pt idx="39">
                  <c:v>730011.25183729699</c:v>
                </c:pt>
                <c:pt idx="40">
                  <c:v>13084.5079347346</c:v>
                </c:pt>
                <c:pt idx="41">
                  <c:v>15426.061788164699</c:v>
                </c:pt>
                <c:pt idx="42">
                  <c:v>35883.738637412403</c:v>
                </c:pt>
                <c:pt idx="43">
                  <c:v>38272.496975424001</c:v>
                </c:pt>
                <c:pt idx="44">
                  <c:v>40815.650269324797</c:v>
                </c:pt>
                <c:pt idx="45">
                  <c:v>43531.736792908698</c:v>
                </c:pt>
                <c:pt idx="46">
                  <c:v>83481.3556645465</c:v>
                </c:pt>
                <c:pt idx="47">
                  <c:v>84685.120454256394</c:v>
                </c:pt>
                <c:pt idx="48">
                  <c:v>150070.50251497899</c:v>
                </c:pt>
                <c:pt idx="49">
                  <c:v>269838.85140553798</c:v>
                </c:pt>
                <c:pt idx="50">
                  <c:v>238975.35677106801</c:v>
                </c:pt>
                <c:pt idx="51">
                  <c:v>253068.64628884799</c:v>
                </c:pt>
                <c:pt idx="52">
                  <c:v>359389.20595373702</c:v>
                </c:pt>
                <c:pt idx="53">
                  <c:v>356748.99627545499</c:v>
                </c:pt>
                <c:pt idx="54">
                  <c:v>532637.11947296595</c:v>
                </c:pt>
                <c:pt idx="55">
                  <c:v>588822.31337799004</c:v>
                </c:pt>
                <c:pt idx="56">
                  <c:v>1837201.8891531499</c:v>
                </c:pt>
                <c:pt idx="57">
                  <c:v>2074945.1661620999</c:v>
                </c:pt>
                <c:pt idx="58">
                  <c:v>13760.280788264099</c:v>
                </c:pt>
                <c:pt idx="59">
                  <c:v>14887.4146800579</c:v>
                </c:pt>
                <c:pt idx="60">
                  <c:v>72907.562526081107</c:v>
                </c:pt>
                <c:pt idx="61">
                  <c:v>112022.779180029</c:v>
                </c:pt>
                <c:pt idx="62">
                  <c:v>256912.30863707099</c:v>
                </c:pt>
                <c:pt idx="63">
                  <c:v>359661.69332325098</c:v>
                </c:pt>
                <c:pt idx="64">
                  <c:v>409056.60641264298</c:v>
                </c:pt>
                <c:pt idx="65">
                  <c:v>465304.330597586</c:v>
                </c:pt>
                <c:pt idx="66">
                  <c:v>46798.764992251898</c:v>
                </c:pt>
                <c:pt idx="67">
                  <c:v>55969.286402582497</c:v>
                </c:pt>
                <c:pt idx="68">
                  <c:v>143952.40859193099</c:v>
                </c:pt>
                <c:pt idx="69">
                  <c:v>150271.55297662399</c:v>
                </c:pt>
                <c:pt idx="70">
                  <c:v>300824.137036103</c:v>
                </c:pt>
                <c:pt idx="71">
                  <c:v>364964.51621017698</c:v>
                </c:pt>
                <c:pt idx="72">
                  <c:v>544772.62994623603</c:v>
                </c:pt>
                <c:pt idx="73">
                  <c:v>1232012.32507578</c:v>
                </c:pt>
                <c:pt idx="74" formatCode="0">
                  <c:v>14743</c:v>
                </c:pt>
                <c:pt idx="75" formatCode="0">
                  <c:v>30837</c:v>
                </c:pt>
                <c:pt idx="76" formatCode="0">
                  <c:v>87177</c:v>
                </c:pt>
                <c:pt idx="77" formatCode="0">
                  <c:v>460400</c:v>
                </c:pt>
                <c:pt idx="78" formatCode="0">
                  <c:v>227391</c:v>
                </c:pt>
                <c:pt idx="79" formatCode="0">
                  <c:v>924890</c:v>
                </c:pt>
                <c:pt idx="80" formatCode="0">
                  <c:v>67416</c:v>
                </c:pt>
                <c:pt idx="81" formatCode="0">
                  <c:v>30764</c:v>
                </c:pt>
                <c:pt idx="82" formatCode="0">
                  <c:v>210914</c:v>
                </c:pt>
                <c:pt idx="83" formatCode="0">
                  <c:v>9202</c:v>
                </c:pt>
                <c:pt idx="84" formatCode="0">
                  <c:v>189952</c:v>
                </c:pt>
                <c:pt idx="85" formatCode="0">
                  <c:v>1646841</c:v>
                </c:pt>
                <c:pt idx="86" formatCode="0">
                  <c:v>88682</c:v>
                </c:pt>
                <c:pt idx="87" formatCode="0">
                  <c:v>7427</c:v>
                </c:pt>
                <c:pt idx="88" formatCode="0">
                  <c:v>51504</c:v>
                </c:pt>
                <c:pt idx="89" formatCode="0">
                  <c:v>181609</c:v>
                </c:pt>
                <c:pt idx="90" formatCode="0">
                  <c:v>6725</c:v>
                </c:pt>
                <c:pt idx="91" formatCode="0">
                  <c:v>266899</c:v>
                </c:pt>
                <c:pt idx="92" formatCode="0">
                  <c:v>49000</c:v>
                </c:pt>
                <c:pt idx="93" formatCode="0">
                  <c:v>106129</c:v>
                </c:pt>
                <c:pt idx="94" formatCode="0">
                  <c:v>72734</c:v>
                </c:pt>
                <c:pt idx="95" formatCode="0">
                  <c:v>60399</c:v>
                </c:pt>
                <c:pt idx="96" formatCode="0">
                  <c:v>407794</c:v>
                </c:pt>
              </c:numCache>
            </c:numRef>
          </c:xVal>
          <c:yVal>
            <c:numRef>
              <c:f>Dataset!$AQ$2:$AQ$98</c:f>
              <c:numCache>
                <c:formatCode>0.00</c:formatCode>
                <c:ptCount val="97"/>
                <c:pt idx="0">
                  <c:v>161.10275488360401</c:v>
                </c:pt>
                <c:pt idx="1">
                  <c:v>161.110877361809</c:v>
                </c:pt>
                <c:pt idx="2">
                  <c:v>125.46839016720401</c:v>
                </c:pt>
                <c:pt idx="3">
                  <c:v>125.486665758245</c:v>
                </c:pt>
                <c:pt idx="4">
                  <c:v>97.713263919918305</c:v>
                </c:pt>
                <c:pt idx="5">
                  <c:v>97.719832651162207</c:v>
                </c:pt>
                <c:pt idx="6">
                  <c:v>75.649074404245198</c:v>
                </c:pt>
                <c:pt idx="7">
                  <c:v>61.547274100373897</c:v>
                </c:pt>
                <c:pt idx="8">
                  <c:v>178.07359371764301</c:v>
                </c:pt>
                <c:pt idx="9">
                  <c:v>167.17057998254799</c:v>
                </c:pt>
                <c:pt idx="10">
                  <c:v>164.95267162637299</c:v>
                </c:pt>
                <c:pt idx="11">
                  <c:v>113.47531422660499</c:v>
                </c:pt>
                <c:pt idx="12">
                  <c:v>82.540922873476603</c:v>
                </c:pt>
                <c:pt idx="13">
                  <c:v>81.994320259882002</c:v>
                </c:pt>
                <c:pt idx="14">
                  <c:v>57.815590881260498</c:v>
                </c:pt>
                <c:pt idx="15">
                  <c:v>51.850658353919599</c:v>
                </c:pt>
                <c:pt idx="16">
                  <c:v>51.837792099573598</c:v>
                </c:pt>
                <c:pt idx="17">
                  <c:v>169.44370316179001</c:v>
                </c:pt>
                <c:pt idx="18">
                  <c:v>170.567468797732</c:v>
                </c:pt>
                <c:pt idx="19">
                  <c:v>150.57166689183401</c:v>
                </c:pt>
                <c:pt idx="20">
                  <c:v>137.11589352963799</c:v>
                </c:pt>
                <c:pt idx="21">
                  <c:v>137.12818374162799</c:v>
                </c:pt>
                <c:pt idx="22">
                  <c:v>115.873173614956</c:v>
                </c:pt>
                <c:pt idx="23">
                  <c:v>101.643784791478</c:v>
                </c:pt>
                <c:pt idx="24">
                  <c:v>94.873946229147606</c:v>
                </c:pt>
                <c:pt idx="25">
                  <c:v>237.79542975433799</c:v>
                </c:pt>
                <c:pt idx="26">
                  <c:v>237.80741892357</c:v>
                </c:pt>
                <c:pt idx="27">
                  <c:v>200.93689251132599</c:v>
                </c:pt>
                <c:pt idx="28">
                  <c:v>178.42427292509601</c:v>
                </c:pt>
                <c:pt idx="29">
                  <c:v>177.35700515778501</c:v>
                </c:pt>
                <c:pt idx="30">
                  <c:v>149.878240049879</c:v>
                </c:pt>
                <c:pt idx="31">
                  <c:v>129.83281698140601</c:v>
                </c:pt>
                <c:pt idx="32">
                  <c:v>122.74047453617101</c:v>
                </c:pt>
                <c:pt idx="33">
                  <c:v>118.01504621546199</c:v>
                </c:pt>
                <c:pt idx="34">
                  <c:v>91.392925569214896</c:v>
                </c:pt>
                <c:pt idx="35">
                  <c:v>92.755945756516795</c:v>
                </c:pt>
                <c:pt idx="36">
                  <c:v>78.383439603630706</c:v>
                </c:pt>
                <c:pt idx="37">
                  <c:v>78.388809096243804</c:v>
                </c:pt>
                <c:pt idx="38">
                  <c:v>63.871429150042999</c:v>
                </c:pt>
                <c:pt idx="39">
                  <c:v>54.804977797895901</c:v>
                </c:pt>
                <c:pt idx="40">
                  <c:v>129.99422244132401</c:v>
                </c:pt>
                <c:pt idx="41">
                  <c:v>129.05044120433001</c:v>
                </c:pt>
                <c:pt idx="42">
                  <c:v>96.422239725422997</c:v>
                </c:pt>
                <c:pt idx="43">
                  <c:v>97.837721288820603</c:v>
                </c:pt>
                <c:pt idx="44">
                  <c:v>92.297486329170496</c:v>
                </c:pt>
                <c:pt idx="45">
                  <c:v>92.297486329170496</c:v>
                </c:pt>
                <c:pt idx="46">
                  <c:v>77.489080290447504</c:v>
                </c:pt>
                <c:pt idx="47">
                  <c:v>77.489080290447504</c:v>
                </c:pt>
                <c:pt idx="48">
                  <c:v>56.234132519034901</c:v>
                </c:pt>
                <c:pt idx="49">
                  <c:v>47.557080957759197</c:v>
                </c:pt>
                <c:pt idx="50">
                  <c:v>55.018193843159402</c:v>
                </c:pt>
                <c:pt idx="51">
                  <c:v>56.234132519034901</c:v>
                </c:pt>
                <c:pt idx="52">
                  <c:v>55.825862688626898</c:v>
                </c:pt>
                <c:pt idx="53">
                  <c:v>48.608124076570597</c:v>
                </c:pt>
                <c:pt idx="54">
                  <c:v>46.8690419231419</c:v>
                </c:pt>
                <c:pt idx="55">
                  <c:v>48.963608606812002</c:v>
                </c:pt>
                <c:pt idx="56">
                  <c:v>40.513049692353803</c:v>
                </c:pt>
                <c:pt idx="57">
                  <c:v>40.513049692353803</c:v>
                </c:pt>
                <c:pt idx="58">
                  <c:v>151.48421201631399</c:v>
                </c:pt>
                <c:pt idx="59">
                  <c:v>150.388260024928</c:v>
                </c:pt>
                <c:pt idx="60">
                  <c:v>111.472062854835</c:v>
                </c:pt>
                <c:pt idx="61">
                  <c:v>112.345107828712</c:v>
                </c:pt>
                <c:pt idx="62">
                  <c:v>90.872706315258796</c:v>
                </c:pt>
                <c:pt idx="63">
                  <c:v>90.239986617958493</c:v>
                </c:pt>
                <c:pt idx="64">
                  <c:v>81.4331716476255</c:v>
                </c:pt>
                <c:pt idx="65">
                  <c:v>80.848329494279</c:v>
                </c:pt>
                <c:pt idx="66">
                  <c:v>151.68149865822701</c:v>
                </c:pt>
                <c:pt idx="67">
                  <c:v>150.60016590344199</c:v>
                </c:pt>
                <c:pt idx="68">
                  <c:v>131.11597663648999</c:v>
                </c:pt>
                <c:pt idx="69">
                  <c:v>132.08857200219401</c:v>
                </c:pt>
                <c:pt idx="70">
                  <c:v>110.82321046101001</c:v>
                </c:pt>
                <c:pt idx="71">
                  <c:v>110.845987153804</c:v>
                </c:pt>
                <c:pt idx="72">
                  <c:v>91.615791196311307</c:v>
                </c:pt>
                <c:pt idx="73">
                  <c:v>91.024303496558602</c:v>
                </c:pt>
                <c:pt idx="74">
                  <c:v>374.57521274104619</c:v>
                </c:pt>
                <c:pt idx="75">
                  <c:v>312.10209867926233</c:v>
                </c:pt>
                <c:pt idx="76">
                  <c:v>265.29924613537821</c:v>
                </c:pt>
                <c:pt idx="77">
                  <c:v>210.68903625960229</c:v>
                </c:pt>
                <c:pt idx="78">
                  <c:v>195.08808267036713</c:v>
                </c:pt>
                <c:pt idx="79">
                  <c:v>195.08808267036713</c:v>
                </c:pt>
                <c:pt idx="80">
                  <c:v>265.29924613537821</c:v>
                </c:pt>
                <c:pt idx="81">
                  <c:v>312.10209867926233</c:v>
                </c:pt>
                <c:pt idx="82">
                  <c:v>210.68903625960229</c:v>
                </c:pt>
                <c:pt idx="83">
                  <c:v>374.57521274104619</c:v>
                </c:pt>
                <c:pt idx="84">
                  <c:v>195.08808267036713</c:v>
                </c:pt>
                <c:pt idx="85">
                  <c:v>187.22518527164021</c:v>
                </c:pt>
                <c:pt idx="86">
                  <c:v>410.08325983877955</c:v>
                </c:pt>
                <c:pt idx="87">
                  <c:v>495.00831306150809</c:v>
                </c:pt>
                <c:pt idx="88">
                  <c:v>381.85655683777384</c:v>
                </c:pt>
                <c:pt idx="89">
                  <c:v>325.28067879909503</c:v>
                </c:pt>
                <c:pt idx="90">
                  <c:v>487.92101819864246</c:v>
                </c:pt>
                <c:pt idx="91">
                  <c:v>346.5425659280545</c:v>
                </c:pt>
                <c:pt idx="92">
                  <c:v>353.50738323265614</c:v>
                </c:pt>
                <c:pt idx="93">
                  <c:v>346.5425659280545</c:v>
                </c:pt>
                <c:pt idx="94">
                  <c:v>325.28067879909503</c:v>
                </c:pt>
                <c:pt idx="95">
                  <c:v>332.36797378808927</c:v>
                </c:pt>
                <c:pt idx="96">
                  <c:v>322.39677417741012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8-439C-BD78-518C8A90A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16096"/>
        <c:axId val="406816456"/>
      </c:scatterChart>
      <c:valAx>
        <c:axId val="406816096"/>
        <c:scaling>
          <c:logBase val="10"/>
          <c:orientation val="minMax"/>
          <c:max val="2500000"/>
          <c:min val="1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cycles to failure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456"/>
        <c:crosses val="autoZero"/>
        <c:crossBetween val="midCat"/>
      </c:valAx>
      <c:valAx>
        <c:axId val="406816456"/>
        <c:scaling>
          <c:logBase val="10"/>
          <c:orientation val="minMax"/>
          <c:max val="3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Amplitude von MIses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26</xdr:row>
      <xdr:rowOff>0</xdr:rowOff>
    </xdr:from>
    <xdr:to>
      <xdr:col>2</xdr:col>
      <xdr:colOff>917865</xdr:colOff>
      <xdr:row>41</xdr:row>
      <xdr:rowOff>72390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60A1232-E067-4380-A306-8D17032AE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9CA7B-F9F7-4B65-BAF9-0554C4DD3A3C}" name="Tabella1" displayName="Tabella1" ref="A1:M5" totalsRowShown="0" headerRowDxfId="57" dataDxfId="56">
  <autoFilter ref="A1:M5" xr:uid="{7EB9CA7B-F9F7-4B65-BAF9-0554C4DD3A3C}"/>
  <tableColumns count="13">
    <tableColumn id="1" xr3:uid="{8E3D1E9D-FBEE-441F-8710-5037CD4F23F4}" name="Article DOI / Reference" dataDxfId="55"/>
    <tableColumn id="11" xr3:uid="{DB748F3A-E0FD-40A7-AD76-C03A14000D6D}" name="Authors" dataDxfId="54"/>
    <tableColumn id="8" xr3:uid="{5AA73CAD-51B7-41DD-94EB-F60F774B9687}" name="Article year" dataDxfId="53"/>
    <tableColumn id="2" xr3:uid="{06FA6682-59D0-409F-9A0C-E6CD1808F355}" name="Material name" dataDxfId="52"/>
    <tableColumn id="3" xr3:uid="{576FC30A-97BD-425F-92F2-9A2823474F7C}" name="Young's modulus (MPa)" dataDxfId="51"/>
    <tableColumn id="4" xr3:uid="{63CF6BC0-ABE3-408E-84A9-EDA0B421D7E2}" name="Poisson's ratio (-)" dataDxfId="50"/>
    <tableColumn id="5" xr3:uid="{BF08D467-4D62-4CAB-A94F-0030F94E8A2E}" name="Tensile strength (MPa)" dataDxfId="49"/>
    <tableColumn id="6" xr3:uid="{CDCD2563-ECD7-4843-B859-5F7762FE830B}" name="Yield strength (MPa)" dataDxfId="48"/>
    <tableColumn id="7" xr3:uid="{7991DD6F-6040-4C6F-AEB4-2211698F999C}" name="Tensile fatigue limit (MPa)" dataDxfId="47"/>
    <tableColumn id="9" xr3:uid="{C339353B-B530-41A6-97D0-BD9E3EFB3E1B}" name="Torsional fatigue limit (MPa)" dataDxfId="46">
      <calculatedColumnFormula>845/2</calculatedColumnFormula>
    </tableColumn>
    <tableColumn id="13" xr3:uid="{61EEDB63-8EB1-4E68-8C73-6F3D35C9EEF7}" name="Number of Cycles (cycles)" dataDxfId="45"/>
    <tableColumn id="12" xr3:uid="{5EB3D6EA-60A8-471D-AB0E-73C0B9E22DD2}" name="Stress ratio R" dataDxfId="44"/>
    <tableColumn id="10" xr3:uid="{EC242BA9-DE01-42A2-8C6C-75459CDE529E}" name="K" dataDxfId="43">
      <calculatedColumnFormula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243907-AA5D-4F4D-8699-490D77B21127}" name="Tabella2" displayName="Tabella2" ref="A1:AQ165" totalsRowShown="0" headerRowDxfId="59" dataDxfId="58">
  <autoFilter ref="A1:AQ165" xr:uid="{86243907-AA5D-4F4D-8699-490D77B21127}"/>
  <tableColumns count="43">
    <tableColumn id="31" xr3:uid="{05937513-BC98-44D1-A5DC-F19589B15DDF}" name="Authors" dataDxfId="42"/>
    <tableColumn id="32" xr3:uid="{DCBCBA66-A67E-429B-A752-67A81643133E}" name="Article year" dataDxfId="41"/>
    <tableColumn id="1" xr3:uid="{D75788C8-C867-4D50-A818-DADFA5044830}" name="Article DOI / Reference" dataDxfId="40"/>
    <tableColumn id="30" xr3:uid="{FA5CACDD-A594-4207-9BA7-C7F165153D5B}" name="Specimen name" dataDxfId="39"/>
    <tableColumn id="2" xr3:uid="{19DD8629-B305-4804-A689-1057FBADF71C}" name="Number of cycles to failure" dataDxfId="38"/>
    <tableColumn id="4" xr3:uid="{27575528-FAA3-4B4C-8860-7A7CFCB79DBE}" name="Run out (Yes/No)" dataDxfId="37"/>
    <tableColumn id="3" xr3:uid="{0CF78E1F-0EC3-474A-B3FD-519C01702157}" name="Failure type (complete rupture/stiffness decrease)" dataDxfId="36"/>
    <tableColumn id="26" xr3:uid="{05D9D755-9B11-40C9-8DCB-B9E39E20FA04}" name="Geometry picture" dataDxfId="35"/>
    <tableColumn id="33" xr3:uid="{936299CD-E030-4427-B1AB-D5CB204A04BE}" name="Geometry type (flat/cylindrical/hollow cylinder)" dataDxfId="34"/>
    <tableColumn id="34" xr3:uid="{09266E8F-9B14-40D4-88AB-80CC92F93BA2}" name="Notched" dataDxfId="33"/>
    <tableColumn id="39" xr3:uid="{108E1228-D670-44CE-87DA-2A1B0D22E417}" name="A (mm)" dataDxfId="32"/>
    <tableColumn id="38" xr3:uid="{D6414C63-3F42-4BCA-BB3F-506FCA7B7866}" name="B (mm)" dataDxfId="31"/>
    <tableColumn id="37" xr3:uid="{8138AA3A-CE2D-441D-907D-E35AD875EC90}" name="Hole diameter (mm)" dataDxfId="30"/>
    <tableColumn id="27" xr3:uid="{D5A8CCC0-542A-450B-8F88-B47472F29E40}" name="Diameter (mm)" dataDxfId="29"/>
    <tableColumn id="28" xr3:uid="{36725B61-E4CB-4B7E-AF40-7F3BC6BE6CB3}" name="Area (mm^2)" dataDxfId="28">
      <calculatedColumnFormula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calculatedColumnFormula>
    </tableColumn>
    <tableColumn id="45" xr3:uid="{127345D3-F57D-4266-B1E4-4F059E8B31BE}" name="flessional momento of inertia (mm^4)" dataDxfId="27">
      <calculatedColumnFormula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calculatedColumnFormula>
    </tableColumn>
    <tableColumn id="29" xr3:uid="{ADA51E38-565E-4B07-AA7F-4531D7FB559A}" name="torsional momento of inertia (mm^4)" dataDxfId="26">
      <calculatedColumnFormula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calculatedColumnFormula>
    </tableColumn>
    <tableColumn id="21" xr3:uid="{C8363B8B-B0C3-4670-AE9B-A3DF1F1D9748}" name="Phase RADIAL load (°)" dataDxfId="25"/>
    <tableColumn id="40" xr3:uid="{FF54B50E-D6C4-4EF8-BED6-8558889E32B3}" name="Phase AXIAL load (°)" dataDxfId="24"/>
    <tableColumn id="22" xr3:uid="{9A8358C3-645B-4F7B-A800-BF2013564F31}" name="Phase TORSIONAL load (°)" dataDxfId="23"/>
    <tableColumn id="43" xr3:uid="{32E76D00-2B52-4D17-881F-6CB825346CD9}" name="Freq RADIAL load [Hz]" dataDxfId="22"/>
    <tableColumn id="42" xr3:uid="{A0DFAB77-F821-4A7F-A0A1-75075998D45D}" name="Freq AXIAL load[Hz]" dataDxfId="21"/>
    <tableColumn id="41" xr3:uid="{DEC77E42-D985-463A-B500-A8E16CF67856}" name="Freq TORSIONAL load [Hz]" dataDxfId="20"/>
    <tableColumn id="23" xr3:uid="{9724DA05-688A-43E5-9AAC-5035994CD3C7}" name="Load ratio (RADIAL)" dataDxfId="19">
      <calculatedColumnFormula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calculatedColumnFormula>
    </tableColumn>
    <tableColumn id="24" xr3:uid="{5794A9BC-D825-4DEA-82F2-22B1FB825367}" name="Load ratio (AXIAL)" dataDxfId="18">
      <calculatedColumnFormula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calculatedColumnFormula>
    </tableColumn>
    <tableColumn id="25" xr3:uid="{A209A6A1-8B94-4DAE-9AD9-68A32BB08635}" name="Load ratio (TORSIONAL)" dataDxfId="17">
      <calculatedColumnFormula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calculatedColumnFormula>
    </tableColumn>
    <tableColumn id="15" xr3:uid="{79C3F669-131B-420A-8FF5-9D61125EAD7C}" name="Mean RADIAL stress  (MPa)" dataDxfId="16"/>
    <tableColumn id="6" xr3:uid="{CFA41242-20EF-4D5D-9025-FC3F232CBE04}" name="Amplitute RADIAL stress  (MPa)" dataDxfId="15"/>
    <tableColumn id="16" xr3:uid="{F37D511D-F078-4171-84FD-3AE13D4078DC}" name="Mean AXIAL stress  (MPa)" dataDxfId="14"/>
    <tableColumn id="8" xr3:uid="{933ACC34-FA80-47BE-87CF-5D7D742564A2}" name="Amplitute AXIAL stress  (MPa)" dataDxfId="13"/>
    <tableColumn id="44" xr3:uid="{460C3648-EA91-4BC9-8C0D-58B3E19E1ED3}" name="derived from (AXIAL/BENDING) load" dataDxfId="12"/>
    <tableColumn id="19" xr3:uid="{06584471-CEAD-405D-A12E-5A2E79E8CA33}" name="Mean SHEAR stress  (MPa)" dataDxfId="11"/>
    <tableColumn id="10" xr3:uid="{2FCDB52E-3BD8-4D04-8689-303C003D64AE}" name="Amplitute SHEAR stress  (MPa)" dataDxfId="10"/>
    <tableColumn id="36" xr3:uid="{EF2440ED-01F8-493F-BD7F-BDBCFC67F43F}" name="Mean internal PRESSURE  (MPa)" dataDxfId="9">
      <calculatedColumnFormula>IF(ISNUMBER(Tabella2[[#This Row],[Mean RADIAL stress  (MPa)]]), Tabella2[[#This Row],[Mean RADIAL stress  (MPa)]],"")</calculatedColumnFormula>
    </tableColumn>
    <tableColumn id="12" xr3:uid="{A3A206A7-7207-472E-A9D8-013B3CFCAFCB}" name="Amplitute internal PRESSURE (MPa)" dataDxfId="8">
      <calculatedColumnFormula>IF(ISNUMBER(Tabella2[[#This Row],[Amplitute RADIAL stress  (MPa)]]), Tabella2[[#This Row],[Amplitute RADIAL stress  (MPa)]],"")</calculatedColumnFormula>
    </tableColumn>
    <tableColumn id="47" xr3:uid="{2D0E8715-4DDF-44E6-8D9C-9880A8CC9001}" name="Mean AXIAL load (N)" dataDxfId="7">
      <calculatedColumnFormula>IF(ISNUMBER(Tabella2[[#This Row],[Mean AXIAL stress  (MPa)]]), IF(Tabella2[[#This Row],[derived from (AXIAL/BENDING) load]]="AXIAL",Tabella2[[#This Row],[Mean AXIAL stress  (MPa)]]*Tabella2[[#This Row],[Area (mm^2)]],"Null"), "")</calculatedColumnFormula>
    </tableColumn>
    <tableColumn id="46" xr3:uid="{74D06968-9F0E-4F66-B0FC-A6FDF325A23C}" name="Amplitute AXIAL load (N)" dataDxfId="6">
      <calculatedColumnFormula>IF(ISNUMBER(Tabella2[[#This Row],[Amplitute AXIAL stress  (MPa)]]),    IF(Tabella2[[#This Row],[derived from (AXIAL/BENDING) load]]="AXIAL",Tabella2[[#This Row],[Amplitute AXIAL stress  (MPa)]]*Tabella2[[#This Row],[Area (mm^2)]],"Null"), "")</calculatedColumnFormula>
    </tableColumn>
    <tableColumn id="14" xr3:uid="{B1691BE1-3E2F-4716-9F3A-1870C13BFA59}" name="Mean BENDING moment (Nmm)" dataDxfId="5">
      <calculatedColumnFormula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calculatedColumnFormula>
    </tableColumn>
    <tableColumn id="48" xr3:uid="{879D775B-56C1-4C8B-B0F2-AB881BBC76CB}" name="Amplitude BENDING moment (Nmm)" dataDxfId="4">
      <calculatedColumnFormula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calculatedColumnFormula>
    </tableColumn>
    <tableColumn id="17" xr3:uid="{B9FCDDAE-82CF-4FB8-907C-A1558D43EF84}" name="Mean TORQUE (Nmm)" dataDxfId="3">
      <calculatedColumnFormula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calculatedColumnFormula>
    </tableColumn>
    <tableColumn id="18" xr3:uid="{C66D42EC-66DD-4028-A153-9A90E5649F9D}" name="Amplitude TORQUE (Nmm)" dataDxfId="2">
      <calculatedColumnFormula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calculatedColumnFormula>
    </tableColumn>
    <tableColumn id="20" xr3:uid="{D27EA8AC-AA88-4708-8985-FCB1FE48E26F}" name="Lambda (tauA/sigmaA)" dataDxfId="1">
      <calculatedColumnFormula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calculatedColumnFormula>
    </tableColumn>
    <tableColumn id="13" xr3:uid="{202EB95B-F464-428F-A067-490417EBEC52}" name="Amplitude von Mises (MPa)" dataDxfId="0">
      <calculatedColumnFormula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zoomScaleNormal="100" workbookViewId="0">
      <selection activeCell="B25" sqref="B25"/>
    </sheetView>
  </sheetViews>
  <sheetFormatPr defaultRowHeight="15" x14ac:dyDescent="0.25"/>
  <cols>
    <col min="1" max="1" width="32.5703125" customWidth="1"/>
    <col min="2" max="2" width="68.42578125" customWidth="1"/>
    <col min="3" max="3" width="42.28515625" bestFit="1" customWidth="1"/>
    <col min="4" max="4" width="31.7109375" customWidth="1"/>
    <col min="5" max="5" width="41.85546875" customWidth="1"/>
    <col min="6" max="6" width="31.140625" customWidth="1"/>
    <col min="7" max="7" width="35" customWidth="1"/>
    <col min="8" max="8" width="33.140625" customWidth="1"/>
    <col min="9" max="9" width="38" customWidth="1"/>
    <col min="10" max="10" width="40.85546875" customWidth="1"/>
    <col min="11" max="11" width="41.140625" customWidth="1"/>
    <col min="12" max="12" width="30.7109375" customWidth="1"/>
    <col min="13" max="13" width="9.5703125" bestFit="1" customWidth="1"/>
  </cols>
  <sheetData>
    <row r="1" spans="1:13" ht="20.100000000000001" customHeight="1" x14ac:dyDescent="0.25">
      <c r="A1" s="2" t="s">
        <v>61</v>
      </c>
      <c r="B1" s="2" t="s">
        <v>26</v>
      </c>
      <c r="C1" s="2" t="s">
        <v>25</v>
      </c>
      <c r="D1" s="2" t="s">
        <v>0</v>
      </c>
      <c r="E1" s="2" t="s">
        <v>22</v>
      </c>
      <c r="F1" s="2" t="s">
        <v>1</v>
      </c>
      <c r="G1" s="2" t="s">
        <v>2</v>
      </c>
      <c r="H1" s="2" t="s">
        <v>3</v>
      </c>
      <c r="I1" s="2" t="s">
        <v>39</v>
      </c>
      <c r="J1" s="2" t="s">
        <v>40</v>
      </c>
      <c r="K1" s="2" t="s">
        <v>37</v>
      </c>
      <c r="L1" s="2" t="s">
        <v>38</v>
      </c>
      <c r="M1" s="1" t="s">
        <v>4</v>
      </c>
    </row>
    <row r="2" spans="1:13" ht="20.100000000000001" customHeight="1" x14ac:dyDescent="0.25">
      <c r="A2" s="1" t="s">
        <v>64</v>
      </c>
      <c r="B2" s="1" t="s">
        <v>65</v>
      </c>
      <c r="C2" s="1">
        <v>2007</v>
      </c>
      <c r="D2" s="1" t="s">
        <v>66</v>
      </c>
      <c r="E2" s="1">
        <v>197400</v>
      </c>
      <c r="F2" s="1">
        <v>0.3</v>
      </c>
      <c r="G2" s="1">
        <v>638.5</v>
      </c>
      <c r="H2" s="1">
        <v>606.20000000000005</v>
      </c>
      <c r="I2" s="1">
        <v>206.3</v>
      </c>
      <c r="J2" s="1" t="s">
        <v>21</v>
      </c>
      <c r="K2" s="10">
        <v>2000000</v>
      </c>
      <c r="L2" s="1">
        <v>-1</v>
      </c>
      <c r="M2" s="14" t="str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Null</v>
      </c>
    </row>
    <row r="3" spans="1:13" ht="20.100000000000001" customHeight="1" x14ac:dyDescent="0.25">
      <c r="A3" s="1" t="s">
        <v>67</v>
      </c>
      <c r="B3" s="1" t="s">
        <v>65</v>
      </c>
      <c r="C3" s="1">
        <v>2008</v>
      </c>
      <c r="D3" s="1" t="s">
        <v>66</v>
      </c>
      <c r="E3" s="1">
        <v>197400</v>
      </c>
      <c r="F3" s="1">
        <v>0.3</v>
      </c>
      <c r="G3" s="1">
        <v>638.5</v>
      </c>
      <c r="H3" s="1">
        <v>606.20000000000005</v>
      </c>
      <c r="I3" s="1">
        <v>342</v>
      </c>
      <c r="J3" s="1">
        <v>268</v>
      </c>
      <c r="K3" s="10">
        <v>2000000</v>
      </c>
      <c r="L3" s="1">
        <v>-1</v>
      </c>
      <c r="M3" s="14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1.2761194029850746</v>
      </c>
    </row>
    <row r="4" spans="1:13" ht="20.100000000000001" customHeight="1" x14ac:dyDescent="0.25">
      <c r="A4" s="13"/>
      <c r="B4" s="1"/>
      <c r="C4" s="1"/>
      <c r="D4" s="1"/>
      <c r="E4" s="1"/>
      <c r="F4" s="1"/>
      <c r="G4" s="1"/>
      <c r="H4" s="1"/>
      <c r="I4" s="1"/>
      <c r="J4" s="1"/>
      <c r="K4" s="10"/>
      <c r="L4" s="1"/>
      <c r="M4" s="14" t="str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Null</v>
      </c>
    </row>
    <row r="5" spans="1:13" ht="20.100000000000001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0"/>
      <c r="L5" s="1"/>
      <c r="M5" s="14"/>
    </row>
    <row r="6" spans="1:13" ht="20.100000000000001" customHeight="1" x14ac:dyDescent="0.25">
      <c r="A6" s="22" t="s">
        <v>24</v>
      </c>
      <c r="B6" s="23"/>
      <c r="C6" s="23"/>
      <c r="D6" s="24"/>
      <c r="E6" s="3">
        <f>IF(COUNT(Tabella1[Young''s modulus (MPa)])=0, "Null", AVERAGE(Tabella1[Young''s modulus (MPa)]))</f>
        <v>197400</v>
      </c>
      <c r="F6" s="3">
        <f>IF(COUNT(Tabella1[Poisson''s ratio (-)])=0, "Null", AVERAGE(Tabella1[Poisson''s ratio (-)]))</f>
        <v>0.3</v>
      </c>
      <c r="G6" s="3">
        <f>IF(COUNT(Tabella1[Tensile strength (MPa)])=0, "Null", AVERAGE(Tabella1[Tensile strength (MPa)]))</f>
        <v>638.5</v>
      </c>
      <c r="H6" s="3">
        <f>IF(COUNT(Tabella1[Yield strength (MPa)])=0, "Null", AVERAGE(Tabella1[Yield strength (MPa)]))</f>
        <v>606.20000000000005</v>
      </c>
      <c r="I6" s="3">
        <f>IF(COUNT(Tabella1[Tensile fatigue limit (MPa)])=0, "Null", AVERAGE(Tabella1[Tensile fatigue limit (MPa)]))</f>
        <v>274.14999999999998</v>
      </c>
      <c r="J6" s="3">
        <f>IF(COUNT(Tabella1[Torsional fatigue limit (MPa)])=0, "Null", AVERAGE(Tabella1[Torsional fatigue limit (MPa)]))</f>
        <v>268</v>
      </c>
      <c r="K6" s="11"/>
      <c r="L6" s="9"/>
      <c r="M6" s="15">
        <f>IF(COUNT(Tabella1[K])=0, "Null", AVERAGE(Tabella1[K]))</f>
        <v>1.2761194029850746</v>
      </c>
    </row>
    <row r="7" spans="1:13" ht="20.100000000000001" customHeight="1" thickBot="1" x14ac:dyDescent="0.3">
      <c r="A7" s="25" t="s">
        <v>23</v>
      </c>
      <c r="B7" s="26"/>
      <c r="C7" s="26"/>
      <c r="D7" s="27"/>
      <c r="E7" s="4">
        <f>IF(COUNT(Tabella1[Young''s modulus (MPa)])=0, "Null", _xlfn.STDEV.P(Tabella1[Young''s modulus (MPa)]))</f>
        <v>0</v>
      </c>
      <c r="F7" s="4">
        <f>IF(COUNT(Tabella1[Poisson''s ratio (-)])=0, "Null", _xlfn.STDEV.P(Tabella1[Poisson''s ratio (-)]))</f>
        <v>0</v>
      </c>
      <c r="G7" s="4">
        <f>IF(COUNT(Tabella1[Tensile strength (MPa)])=0, "Null", _xlfn.STDEV.P(Tabella1[Tensile strength (MPa)]))</f>
        <v>0</v>
      </c>
      <c r="H7" s="4">
        <f>IF(COUNT(Tabella1[Yield strength (MPa)])=0, "Null", _xlfn.STDEV.P(Tabella1[Yield strength (MPa)]))</f>
        <v>0</v>
      </c>
      <c r="I7" s="4">
        <f>IF(COUNT(Tabella1[Tensile fatigue limit (MPa)])=0, "Null", _xlfn.STDEV.P(Tabella1[Tensile fatigue limit (MPa)]))</f>
        <v>67.850000000000094</v>
      </c>
      <c r="J7" s="4">
        <f>IF(COUNT(Tabella1[Torsional fatigue limit (MPa)])=0, "Null", _xlfn.STDEV.P(Tabella1[Torsional fatigue limit (MPa)]))</f>
        <v>0</v>
      </c>
      <c r="K7" s="12"/>
      <c r="L7" s="4"/>
      <c r="M7" s="16">
        <f>IF(COUNT(Tabella1[K])=0, "Null", _xlfn.STDEV.P(Tabella1[K]))</f>
        <v>0</v>
      </c>
    </row>
    <row r="8" spans="1:13" ht="20.100000000000001" customHeight="1" x14ac:dyDescent="0.25"/>
    <row r="9" spans="1:13" ht="20.100000000000001" customHeight="1" x14ac:dyDescent="0.25"/>
    <row r="10" spans="1:13" ht="20.100000000000001" customHeight="1" x14ac:dyDescent="0.25"/>
    <row r="11" spans="1:13" ht="20.100000000000001" customHeight="1" x14ac:dyDescent="0.25"/>
    <row r="12" spans="1:13" ht="20.100000000000001" customHeight="1" thickBot="1" x14ac:dyDescent="0.3"/>
    <row r="13" spans="1:13" ht="20.100000000000001" customHeight="1" x14ac:dyDescent="0.25">
      <c r="A13" s="28" t="s">
        <v>29</v>
      </c>
      <c r="B13" s="5" t="s">
        <v>30</v>
      </c>
    </row>
    <row r="14" spans="1:13" ht="20.100000000000001" customHeight="1" thickBot="1" x14ac:dyDescent="0.3">
      <c r="A14" s="29"/>
      <c r="B14" s="6" t="s">
        <v>31</v>
      </c>
    </row>
    <row r="27" spans="4:4" x14ac:dyDescent="0.25">
      <c r="D27" s="7" t="s">
        <v>34</v>
      </c>
    </row>
    <row r="28" spans="4:4" x14ac:dyDescent="0.25">
      <c r="D28" s="8">
        <f>COUNTA(Tabella2[Authors])</f>
        <v>164</v>
      </c>
    </row>
  </sheetData>
  <mergeCells count="3">
    <mergeCell ref="A6:D6"/>
    <mergeCell ref="A7:D7"/>
    <mergeCell ref="A13:A14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26AA-516E-43B0-A4A2-503832E5DF1E}">
  <dimension ref="A1:AQ192"/>
  <sheetViews>
    <sheetView tabSelected="1" topLeftCell="AB1" zoomScale="55" zoomScaleNormal="55" workbookViewId="0">
      <pane ySplit="1" topLeftCell="A135" activePane="bottomLeft" state="frozen"/>
      <selection activeCell="B1" sqref="B1"/>
      <selection pane="bottomLeft" activeCell="A78" sqref="A78"/>
    </sheetView>
  </sheetViews>
  <sheetFormatPr defaultColWidth="52.7109375" defaultRowHeight="15" x14ac:dyDescent="0.25"/>
  <cols>
    <col min="1" max="1" width="32.42578125" style="49" customWidth="1"/>
    <col min="2" max="2" width="25.5703125" style="49" customWidth="1"/>
    <col min="3" max="3" width="40.42578125" style="49" customWidth="1"/>
    <col min="4" max="4" width="54" style="49" customWidth="1"/>
    <col min="5" max="5" width="32.85546875" style="50" customWidth="1"/>
    <col min="6" max="6" width="24.5703125" style="49" customWidth="1"/>
    <col min="7" max="7" width="49.140625" style="49" customWidth="1"/>
    <col min="8" max="8" width="28.7109375" style="49" customWidth="1"/>
    <col min="9" max="9" width="29" style="49" customWidth="1"/>
    <col min="10" max="10" width="31.28515625" style="49" customWidth="1"/>
    <col min="11" max="11" width="26.5703125" style="49" customWidth="1"/>
    <col min="12" max="12" width="28" style="49" customWidth="1"/>
    <col min="13" max="13" width="35" style="49" customWidth="1"/>
    <col min="14" max="14" width="31.85546875" style="49" customWidth="1"/>
    <col min="15" max="15" width="35" style="49" customWidth="1"/>
    <col min="16" max="16" width="49.42578125" style="49" customWidth="1"/>
    <col min="17" max="17" width="53.140625" style="49" customWidth="1"/>
    <col min="18" max="18" width="42.140625" style="49" customWidth="1"/>
    <col min="19" max="19" width="33.5703125" style="49" customWidth="1"/>
    <col min="20" max="20" width="38.42578125" style="49" customWidth="1"/>
    <col min="21" max="21" width="37.140625" style="51" customWidth="1"/>
    <col min="22" max="22" width="40.7109375" style="52" customWidth="1"/>
    <col min="23" max="23" width="40" style="52" customWidth="1"/>
    <col min="24" max="24" width="35.140625" style="49" customWidth="1"/>
    <col min="25" max="25" width="34.28515625" style="49" customWidth="1"/>
    <col min="26" max="26" width="41.42578125" style="49" customWidth="1"/>
    <col min="27" max="27" width="28.7109375" style="53" customWidth="1"/>
    <col min="28" max="28" width="29.5703125" style="53" customWidth="1"/>
    <col min="29" max="29" width="27.42578125" style="54" customWidth="1"/>
    <col min="30" max="30" width="30.140625" style="54" customWidth="1"/>
    <col min="31" max="31" width="30.85546875" style="52" customWidth="1"/>
    <col min="32" max="32" width="25" style="53" customWidth="1"/>
    <col min="33" max="33" width="30.28515625" style="49" customWidth="1"/>
    <col min="34" max="34" width="28.5703125" style="53" customWidth="1"/>
    <col min="35" max="35" width="29.28515625" style="53" customWidth="1"/>
    <col min="36" max="36" width="20.140625" style="53" customWidth="1"/>
    <col min="37" max="37" width="23.140625" style="53" customWidth="1"/>
    <col min="38" max="38" width="23.28515625" style="53" customWidth="1"/>
    <col min="39" max="39" width="25.85546875" style="53" customWidth="1"/>
    <col min="40" max="40" width="23.85546875" style="53" customWidth="1"/>
    <col min="41" max="41" width="24" style="53" customWidth="1"/>
    <col min="42" max="42" width="34" style="49" customWidth="1"/>
    <col min="43" max="43" width="52.7109375" style="54"/>
    <col min="44" max="16384" width="52.7109375" style="49"/>
  </cols>
  <sheetData>
    <row r="1" spans="1:43" s="48" customFormat="1" ht="41.25" customHeight="1" x14ac:dyDescent="0.25">
      <c r="A1" s="31" t="s">
        <v>26</v>
      </c>
      <c r="B1" s="31" t="s">
        <v>25</v>
      </c>
      <c r="C1" s="31" t="s">
        <v>61</v>
      </c>
      <c r="D1" s="31" t="s">
        <v>19</v>
      </c>
      <c r="E1" s="32" t="s">
        <v>5</v>
      </c>
      <c r="F1" s="31" t="s">
        <v>6</v>
      </c>
      <c r="G1" s="31" t="s">
        <v>18</v>
      </c>
      <c r="H1" s="33" t="s">
        <v>16</v>
      </c>
      <c r="I1" s="33" t="s">
        <v>44</v>
      </c>
      <c r="J1" s="33" t="s">
        <v>28</v>
      </c>
      <c r="K1" s="34" t="s">
        <v>41</v>
      </c>
      <c r="L1" s="34" t="s">
        <v>42</v>
      </c>
      <c r="M1" s="34" t="s">
        <v>43</v>
      </c>
      <c r="N1" s="33" t="s">
        <v>17</v>
      </c>
      <c r="O1" s="35" t="s">
        <v>33</v>
      </c>
      <c r="P1" s="35" t="s">
        <v>58</v>
      </c>
      <c r="Q1" s="35" t="s">
        <v>57</v>
      </c>
      <c r="R1" s="36" t="s">
        <v>45</v>
      </c>
      <c r="S1" s="36" t="s">
        <v>46</v>
      </c>
      <c r="T1" s="36" t="s">
        <v>47</v>
      </c>
      <c r="U1" s="37" t="s">
        <v>48</v>
      </c>
      <c r="V1" s="38" t="s">
        <v>49</v>
      </c>
      <c r="W1" s="38" t="s">
        <v>50</v>
      </c>
      <c r="X1" s="39" t="s">
        <v>14</v>
      </c>
      <c r="Y1" s="39" t="s">
        <v>51</v>
      </c>
      <c r="Z1" s="39" t="s">
        <v>15</v>
      </c>
      <c r="AA1" s="40" t="s">
        <v>7</v>
      </c>
      <c r="AB1" s="41" t="s">
        <v>8</v>
      </c>
      <c r="AC1" s="56" t="s">
        <v>52</v>
      </c>
      <c r="AD1" s="56" t="s">
        <v>53</v>
      </c>
      <c r="AE1" s="42" t="s">
        <v>56</v>
      </c>
      <c r="AF1" s="43" t="s">
        <v>9</v>
      </c>
      <c r="AG1" s="44" t="s">
        <v>10</v>
      </c>
      <c r="AH1" s="45" t="s">
        <v>54</v>
      </c>
      <c r="AI1" s="46" t="s">
        <v>55</v>
      </c>
      <c r="AJ1" s="45" t="s">
        <v>59</v>
      </c>
      <c r="AK1" s="46" t="s">
        <v>63</v>
      </c>
      <c r="AL1" s="45" t="s">
        <v>35</v>
      </c>
      <c r="AM1" s="46" t="s">
        <v>36</v>
      </c>
      <c r="AN1" s="45" t="s">
        <v>12</v>
      </c>
      <c r="AO1" s="46" t="s">
        <v>11</v>
      </c>
      <c r="AP1" s="33" t="s">
        <v>13</v>
      </c>
      <c r="AQ1" s="47" t="s">
        <v>62</v>
      </c>
    </row>
    <row r="2" spans="1:43" ht="20.100000000000001" customHeight="1" x14ac:dyDescent="0.25">
      <c r="A2" s="49" t="s">
        <v>65</v>
      </c>
      <c r="B2" s="49">
        <v>2007</v>
      </c>
      <c r="C2" s="49" t="s">
        <v>64</v>
      </c>
      <c r="D2" s="49" t="s">
        <v>68</v>
      </c>
      <c r="E2" s="50">
        <v>10480.1296598525</v>
      </c>
      <c r="F2" s="49" t="s">
        <v>20</v>
      </c>
      <c r="G2" s="49" t="s">
        <v>69</v>
      </c>
      <c r="H2" s="49" t="e" vm="1">
        <v>#VALUE!</v>
      </c>
      <c r="I2" s="49" t="s">
        <v>70</v>
      </c>
      <c r="J2" s="49" t="s">
        <v>32</v>
      </c>
      <c r="K2" s="49">
        <v>25</v>
      </c>
      <c r="L2" s="49">
        <v>20</v>
      </c>
      <c r="M2" s="49">
        <v>0</v>
      </c>
      <c r="N2" s="49">
        <v>0</v>
      </c>
      <c r="O2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500</v>
      </c>
      <c r="P2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16666.666666666668</v>
      </c>
      <c r="Q2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2" s="49">
        <v>0</v>
      </c>
      <c r="S2" s="49">
        <v>0</v>
      </c>
      <c r="T2" s="49">
        <v>0</v>
      </c>
      <c r="U2" s="51" t="s">
        <v>21</v>
      </c>
      <c r="V2" s="51" t="s">
        <v>21</v>
      </c>
      <c r="W2" s="51" t="s">
        <v>21</v>
      </c>
      <c r="X2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" s="53">
        <v>0</v>
      </c>
      <c r="AB2" s="53">
        <v>0</v>
      </c>
      <c r="AC2" s="54">
        <v>0</v>
      </c>
      <c r="AD2" s="54">
        <v>161.10275488360401</v>
      </c>
      <c r="AE2" s="52" t="s">
        <v>60</v>
      </c>
      <c r="AF2" s="53">
        <v>0</v>
      </c>
      <c r="AG2" s="53">
        <v>0</v>
      </c>
      <c r="AH2" s="53">
        <f>IF(ISNUMBER(Tabella2[[#This Row],[Mean RADIAL stress  (MPa)]]), Tabella2[[#This Row],[Mean RADIAL stress  (MPa)]],"")</f>
        <v>0</v>
      </c>
      <c r="AI2" s="53">
        <f>IF(ISNUMBER(Tabella2[[#This Row],[Amplitute RADIAL stress  (MPa)]]), Tabella2[[#This Row],[Amplitute RADIAL stress  (MPa)]],"")</f>
        <v>0</v>
      </c>
      <c r="AJ2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" s="53">
        <f>IF(ISNUMBER(Tabella2[[#This Row],[Amplitute AXIAL stress  (MPa)]]),    IF(Tabella2[[#This Row],[derived from (AXIAL/BENDING) load]]="AXIAL",Tabella2[[#This Row],[Amplitute AXIAL stress  (MPa)]]*Tabella2[[#This Row],[Area (mm^2)]],"Null"), "")</f>
        <v>80551.377441802004</v>
      </c>
      <c r="AL2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2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2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161.10275488360401</v>
      </c>
    </row>
    <row r="3" spans="1:43" ht="20.100000000000001" customHeight="1" x14ac:dyDescent="0.25">
      <c r="A3" s="49" t="s">
        <v>65</v>
      </c>
      <c r="B3" s="49">
        <v>2007</v>
      </c>
      <c r="C3" s="49" t="s">
        <v>64</v>
      </c>
      <c r="D3" s="49" t="s">
        <v>72</v>
      </c>
      <c r="E3" s="50">
        <v>11078.318016597501</v>
      </c>
      <c r="F3" s="49" t="s">
        <v>20</v>
      </c>
      <c r="G3" s="49" t="s">
        <v>69</v>
      </c>
      <c r="H3" s="49" t="e" vm="2">
        <v>#VALUE!</v>
      </c>
      <c r="I3" s="49" t="s">
        <v>70</v>
      </c>
      <c r="J3" s="49" t="s">
        <v>32</v>
      </c>
      <c r="K3" s="49">
        <v>25</v>
      </c>
      <c r="L3" s="49">
        <v>20</v>
      </c>
      <c r="M3" s="49">
        <v>0</v>
      </c>
      <c r="N3" s="49">
        <v>0</v>
      </c>
      <c r="O3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500</v>
      </c>
      <c r="P3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16666.666666666668</v>
      </c>
      <c r="Q3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" s="49">
        <v>0</v>
      </c>
      <c r="S3" s="49">
        <v>0</v>
      </c>
      <c r="T3" s="49">
        <v>0</v>
      </c>
      <c r="U3" s="51" t="s">
        <v>21</v>
      </c>
      <c r="V3" s="51" t="s">
        <v>21</v>
      </c>
      <c r="W3" s="51" t="s">
        <v>21</v>
      </c>
      <c r="X3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" s="53">
        <v>0</v>
      </c>
      <c r="AB3" s="53">
        <v>0</v>
      </c>
      <c r="AC3" s="54">
        <v>0</v>
      </c>
      <c r="AD3" s="54">
        <v>161.110877361809</v>
      </c>
      <c r="AE3" s="52" t="s">
        <v>60</v>
      </c>
      <c r="AF3" s="53">
        <v>0</v>
      </c>
      <c r="AG3" s="53">
        <v>0</v>
      </c>
      <c r="AH3" s="53">
        <f>IF(ISNUMBER(Tabella2[[#This Row],[Mean RADIAL stress  (MPa)]]), Tabella2[[#This Row],[Mean RADIAL stress  (MPa)]],"")</f>
        <v>0</v>
      </c>
      <c r="AI3" s="53">
        <f>IF(ISNUMBER(Tabella2[[#This Row],[Amplitute RADIAL stress  (MPa)]]), Tabella2[[#This Row],[Amplitute RADIAL stress  (MPa)]],"")</f>
        <v>0</v>
      </c>
      <c r="AJ3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" s="53">
        <f>IF(ISNUMBER(Tabella2[[#This Row],[Amplitute AXIAL stress  (MPa)]]),    IF(Tabella2[[#This Row],[derived from (AXIAL/BENDING) load]]="AXIAL",Tabella2[[#This Row],[Amplitute AXIAL stress  (MPa)]]*Tabella2[[#This Row],[Area (mm^2)]],"Null"), "")</f>
        <v>80555.438680904495</v>
      </c>
      <c r="AL3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3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3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161.110877361809</v>
      </c>
    </row>
    <row r="4" spans="1:43" ht="20.100000000000001" customHeight="1" x14ac:dyDescent="0.25">
      <c r="A4" s="49" t="s">
        <v>65</v>
      </c>
      <c r="B4" s="49">
        <v>2007</v>
      </c>
      <c r="C4" s="49" t="s">
        <v>64</v>
      </c>
      <c r="D4" s="49" t="s">
        <v>73</v>
      </c>
      <c r="E4" s="50">
        <v>30640.276487197501</v>
      </c>
      <c r="F4" s="49" t="s">
        <v>20</v>
      </c>
      <c r="G4" s="49" t="s">
        <v>69</v>
      </c>
      <c r="H4" s="49" t="e" vm="2">
        <v>#VALUE!</v>
      </c>
      <c r="I4" s="49" t="s">
        <v>70</v>
      </c>
      <c r="J4" s="49" t="s">
        <v>32</v>
      </c>
      <c r="K4" s="49">
        <v>25</v>
      </c>
      <c r="L4" s="49">
        <v>20</v>
      </c>
      <c r="M4" s="49">
        <v>0</v>
      </c>
      <c r="N4" s="49">
        <v>0</v>
      </c>
      <c r="O4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500</v>
      </c>
      <c r="P4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16666.666666666668</v>
      </c>
      <c r="Q4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" s="49">
        <v>0</v>
      </c>
      <c r="S4" s="49">
        <v>0</v>
      </c>
      <c r="T4" s="49">
        <v>0</v>
      </c>
      <c r="U4" s="51" t="s">
        <v>21</v>
      </c>
      <c r="V4" s="51" t="s">
        <v>21</v>
      </c>
      <c r="W4" s="51" t="s">
        <v>21</v>
      </c>
      <c r="X4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4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" s="53">
        <v>0</v>
      </c>
      <c r="AB4" s="53">
        <v>0</v>
      </c>
      <c r="AC4" s="54">
        <v>0</v>
      </c>
      <c r="AD4" s="54">
        <v>125.46839016720401</v>
      </c>
      <c r="AE4" s="52" t="s">
        <v>60</v>
      </c>
      <c r="AF4" s="53">
        <v>0</v>
      </c>
      <c r="AG4" s="53">
        <v>0</v>
      </c>
      <c r="AH4" s="53">
        <f>IF(ISNUMBER(Tabella2[[#This Row],[Mean RADIAL stress  (MPa)]]), Tabella2[[#This Row],[Mean RADIAL stress  (MPa)]],"")</f>
        <v>0</v>
      </c>
      <c r="AI4" s="53">
        <f>IF(ISNUMBER(Tabella2[[#This Row],[Amplitute RADIAL stress  (MPa)]]), Tabella2[[#This Row],[Amplitute RADIAL stress  (MPa)]],"")</f>
        <v>0</v>
      </c>
      <c r="AJ4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" s="53">
        <f>IF(ISNUMBER(Tabella2[[#This Row],[Amplitute AXIAL stress  (MPa)]]),    IF(Tabella2[[#This Row],[derived from (AXIAL/BENDING) load]]="AXIAL",Tabella2[[#This Row],[Amplitute AXIAL stress  (MPa)]]*Tabella2[[#This Row],[Area (mm^2)]],"Null"), "")</f>
        <v>62734.195083602004</v>
      </c>
      <c r="AL4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4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4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125.46839016720401</v>
      </c>
    </row>
    <row r="5" spans="1:43" ht="20.100000000000001" customHeight="1" x14ac:dyDescent="0.25">
      <c r="A5" s="49" t="s">
        <v>65</v>
      </c>
      <c r="B5" s="49">
        <v>2007</v>
      </c>
      <c r="C5" s="49" t="s">
        <v>64</v>
      </c>
      <c r="D5" s="49" t="s">
        <v>74</v>
      </c>
      <c r="E5" s="50">
        <v>35969.601116965401</v>
      </c>
      <c r="F5" s="49" t="s">
        <v>20</v>
      </c>
      <c r="G5" s="49" t="s">
        <v>69</v>
      </c>
      <c r="H5" s="49" t="e" vm="2">
        <v>#VALUE!</v>
      </c>
      <c r="I5" s="49" t="s">
        <v>70</v>
      </c>
      <c r="J5" s="49" t="s">
        <v>32</v>
      </c>
      <c r="K5" s="49">
        <v>25</v>
      </c>
      <c r="L5" s="49">
        <v>20</v>
      </c>
      <c r="M5" s="49">
        <v>0</v>
      </c>
      <c r="N5" s="49">
        <v>0</v>
      </c>
      <c r="O5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500</v>
      </c>
      <c r="P5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16666.666666666668</v>
      </c>
      <c r="Q5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" s="49">
        <v>0</v>
      </c>
      <c r="S5" s="49">
        <v>0</v>
      </c>
      <c r="T5" s="49">
        <v>0</v>
      </c>
      <c r="U5" s="51" t="s">
        <v>21</v>
      </c>
      <c r="V5" s="51" t="s">
        <v>21</v>
      </c>
      <c r="W5" s="51" t="s">
        <v>21</v>
      </c>
      <c r="X5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5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" s="53">
        <v>0</v>
      </c>
      <c r="AB5" s="53">
        <v>0</v>
      </c>
      <c r="AC5" s="54">
        <v>0</v>
      </c>
      <c r="AD5" s="54">
        <v>125.486665758245</v>
      </c>
      <c r="AE5" s="52" t="s">
        <v>60</v>
      </c>
      <c r="AF5" s="53">
        <v>0</v>
      </c>
      <c r="AG5" s="53">
        <v>0</v>
      </c>
      <c r="AH5" s="53">
        <f>IF(ISNUMBER(Tabella2[[#This Row],[Mean RADIAL stress  (MPa)]]), Tabella2[[#This Row],[Mean RADIAL stress  (MPa)]],"")</f>
        <v>0</v>
      </c>
      <c r="AI5" s="53">
        <f>IF(ISNUMBER(Tabella2[[#This Row],[Amplitute RADIAL stress  (MPa)]]), Tabella2[[#This Row],[Amplitute RADIAL stress  (MPa)]],"")</f>
        <v>0</v>
      </c>
      <c r="AJ5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" s="53">
        <f>IF(ISNUMBER(Tabella2[[#This Row],[Amplitute AXIAL stress  (MPa)]]),    IF(Tabella2[[#This Row],[derived from (AXIAL/BENDING) load]]="AXIAL",Tabella2[[#This Row],[Amplitute AXIAL stress  (MPa)]]*Tabella2[[#This Row],[Area (mm^2)]],"Null"), "")</f>
        <v>62743.332879122499</v>
      </c>
      <c r="AL5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5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5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125.486665758245</v>
      </c>
    </row>
    <row r="6" spans="1:43" ht="20.100000000000001" customHeight="1" x14ac:dyDescent="0.25">
      <c r="A6" s="49" t="s">
        <v>65</v>
      </c>
      <c r="B6" s="49">
        <v>2007</v>
      </c>
      <c r="C6" s="49" t="s">
        <v>64</v>
      </c>
      <c r="D6" s="49" t="s">
        <v>75</v>
      </c>
      <c r="E6" s="50">
        <v>86861.201139828307</v>
      </c>
      <c r="F6" s="49" t="s">
        <v>20</v>
      </c>
      <c r="G6" s="49" t="s">
        <v>69</v>
      </c>
      <c r="H6" s="49" t="e" vm="2">
        <v>#VALUE!</v>
      </c>
      <c r="I6" s="49" t="s">
        <v>70</v>
      </c>
      <c r="J6" s="49" t="s">
        <v>32</v>
      </c>
      <c r="K6" s="49">
        <v>25</v>
      </c>
      <c r="L6" s="49">
        <v>20</v>
      </c>
      <c r="M6" s="49">
        <v>0</v>
      </c>
      <c r="N6" s="49">
        <v>0</v>
      </c>
      <c r="O6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500</v>
      </c>
      <c r="P6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16666.666666666668</v>
      </c>
      <c r="Q6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" s="49">
        <v>0</v>
      </c>
      <c r="S6" s="49">
        <v>0</v>
      </c>
      <c r="T6" s="49">
        <v>0</v>
      </c>
      <c r="U6" s="51" t="s">
        <v>21</v>
      </c>
      <c r="V6" s="51" t="s">
        <v>21</v>
      </c>
      <c r="W6" s="51" t="s">
        <v>21</v>
      </c>
      <c r="X6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6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" s="53">
        <v>0</v>
      </c>
      <c r="AB6" s="53">
        <v>0</v>
      </c>
      <c r="AC6" s="54">
        <v>0</v>
      </c>
      <c r="AD6" s="54">
        <v>97.713263919918305</v>
      </c>
      <c r="AE6" s="52" t="s">
        <v>60</v>
      </c>
      <c r="AF6" s="53">
        <v>0</v>
      </c>
      <c r="AG6" s="53">
        <v>0</v>
      </c>
      <c r="AH6" s="53">
        <f>IF(ISNUMBER(Tabella2[[#This Row],[Mean RADIAL stress  (MPa)]]), Tabella2[[#This Row],[Mean RADIAL stress  (MPa)]],"")</f>
        <v>0</v>
      </c>
      <c r="AI6" s="53">
        <f>IF(ISNUMBER(Tabella2[[#This Row],[Amplitute RADIAL stress  (MPa)]]), Tabella2[[#This Row],[Amplitute RADIAL stress  (MPa)]],"")</f>
        <v>0</v>
      </c>
      <c r="AJ6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48856.631959959152</v>
      </c>
      <c r="AL6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6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6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97.713263919918305</v>
      </c>
    </row>
    <row r="7" spans="1:43" ht="20.100000000000001" customHeight="1" x14ac:dyDescent="0.25">
      <c r="A7" s="49" t="s">
        <v>65</v>
      </c>
      <c r="B7" s="49">
        <v>2007</v>
      </c>
      <c r="C7" s="49" t="s">
        <v>64</v>
      </c>
      <c r="D7" s="49" t="s">
        <v>76</v>
      </c>
      <c r="E7" s="50">
        <v>93533.831886191794</v>
      </c>
      <c r="F7" s="49" t="s">
        <v>20</v>
      </c>
      <c r="G7" s="49" t="s">
        <v>69</v>
      </c>
      <c r="H7" s="49" t="e" vm="2">
        <v>#VALUE!</v>
      </c>
      <c r="I7" s="49" t="s">
        <v>70</v>
      </c>
      <c r="J7" s="49" t="s">
        <v>32</v>
      </c>
      <c r="K7" s="49">
        <v>25</v>
      </c>
      <c r="L7" s="49">
        <v>20</v>
      </c>
      <c r="M7" s="49">
        <v>0</v>
      </c>
      <c r="N7" s="49">
        <v>0</v>
      </c>
      <c r="O7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500</v>
      </c>
      <c r="P7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16666.666666666668</v>
      </c>
      <c r="Q7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7" s="49">
        <v>0</v>
      </c>
      <c r="S7" s="49">
        <v>0</v>
      </c>
      <c r="T7" s="49">
        <v>0</v>
      </c>
      <c r="U7" s="51" t="s">
        <v>21</v>
      </c>
      <c r="V7" s="51" t="s">
        <v>21</v>
      </c>
      <c r="W7" s="51" t="s">
        <v>21</v>
      </c>
      <c r="X7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7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" s="53">
        <v>0</v>
      </c>
      <c r="AB7" s="53">
        <v>0</v>
      </c>
      <c r="AC7" s="54">
        <v>0</v>
      </c>
      <c r="AD7" s="54">
        <v>97.719832651162207</v>
      </c>
      <c r="AE7" s="52" t="s">
        <v>60</v>
      </c>
      <c r="AF7" s="53">
        <v>0</v>
      </c>
      <c r="AG7" s="53">
        <v>0</v>
      </c>
      <c r="AH7" s="53">
        <f>IF(ISNUMBER(Tabella2[[#This Row],[Mean RADIAL stress  (MPa)]]), Tabella2[[#This Row],[Mean RADIAL stress  (MPa)]],"")</f>
        <v>0</v>
      </c>
      <c r="AI7" s="53">
        <f>IF(ISNUMBER(Tabella2[[#This Row],[Amplitute RADIAL stress  (MPa)]]), Tabella2[[#This Row],[Amplitute RADIAL stress  (MPa)]],"")</f>
        <v>0</v>
      </c>
      <c r="AJ7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48859.9163255811</v>
      </c>
      <c r="AL7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7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7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97.719832651162207</v>
      </c>
    </row>
    <row r="8" spans="1:43" ht="20.100000000000001" customHeight="1" x14ac:dyDescent="0.25">
      <c r="A8" s="49" t="s">
        <v>65</v>
      </c>
      <c r="B8" s="49">
        <v>2007</v>
      </c>
      <c r="C8" s="49" t="s">
        <v>64</v>
      </c>
      <c r="D8" s="49" t="s">
        <v>77</v>
      </c>
      <c r="E8" s="50">
        <v>365413.09941719298</v>
      </c>
      <c r="F8" s="49" t="s">
        <v>20</v>
      </c>
      <c r="G8" s="49" t="s">
        <v>69</v>
      </c>
      <c r="H8" s="49" t="e" vm="2">
        <v>#VALUE!</v>
      </c>
      <c r="I8" s="49" t="s">
        <v>70</v>
      </c>
      <c r="J8" s="49" t="s">
        <v>32</v>
      </c>
      <c r="K8" s="49">
        <v>25</v>
      </c>
      <c r="L8" s="49">
        <v>20</v>
      </c>
      <c r="M8" s="49">
        <v>0</v>
      </c>
      <c r="N8" s="49">
        <v>0</v>
      </c>
      <c r="O8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500</v>
      </c>
      <c r="P8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16666.666666666668</v>
      </c>
      <c r="Q8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8" s="49">
        <v>0</v>
      </c>
      <c r="S8" s="49">
        <v>0</v>
      </c>
      <c r="T8" s="49">
        <v>0</v>
      </c>
      <c r="U8" s="51" t="s">
        <v>21</v>
      </c>
      <c r="V8" s="51" t="s">
        <v>21</v>
      </c>
      <c r="W8" s="51" t="s">
        <v>21</v>
      </c>
      <c r="X8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8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8" s="53">
        <v>0</v>
      </c>
      <c r="AB8" s="53">
        <v>0</v>
      </c>
      <c r="AC8" s="54">
        <v>0</v>
      </c>
      <c r="AD8" s="54">
        <v>75.649074404245198</v>
      </c>
      <c r="AE8" s="52" t="s">
        <v>60</v>
      </c>
      <c r="AF8" s="53">
        <v>0</v>
      </c>
      <c r="AG8" s="53">
        <v>0</v>
      </c>
      <c r="AH8" s="53">
        <f>IF(ISNUMBER(Tabella2[[#This Row],[Mean RADIAL stress  (MPa)]]), Tabella2[[#This Row],[Mean RADIAL stress  (MPa)]],"")</f>
        <v>0</v>
      </c>
      <c r="AI8" s="53">
        <f>IF(ISNUMBER(Tabella2[[#This Row],[Amplitute RADIAL stress  (MPa)]]), Tabella2[[#This Row],[Amplitute RADIAL stress  (MPa)]],"")</f>
        <v>0</v>
      </c>
      <c r="AJ8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37824.537202122599</v>
      </c>
      <c r="AL8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8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8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8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75.649074404245198</v>
      </c>
    </row>
    <row r="9" spans="1:43" ht="20.100000000000001" customHeight="1" x14ac:dyDescent="0.25">
      <c r="A9" s="49" t="s">
        <v>65</v>
      </c>
      <c r="B9" s="49">
        <v>2007</v>
      </c>
      <c r="C9" s="49" t="s">
        <v>64</v>
      </c>
      <c r="D9" s="49" t="s">
        <v>78</v>
      </c>
      <c r="E9" s="50">
        <v>829686.68207400094</v>
      </c>
      <c r="F9" s="49" t="s">
        <v>20</v>
      </c>
      <c r="G9" s="49" t="s">
        <v>69</v>
      </c>
      <c r="H9" s="49" t="e" vm="2">
        <v>#VALUE!</v>
      </c>
      <c r="I9" s="49" t="s">
        <v>70</v>
      </c>
      <c r="J9" s="49" t="s">
        <v>32</v>
      </c>
      <c r="K9" s="49">
        <v>25</v>
      </c>
      <c r="L9" s="49">
        <v>20</v>
      </c>
      <c r="M9" s="49">
        <v>0</v>
      </c>
      <c r="N9" s="49">
        <v>0</v>
      </c>
      <c r="O9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500</v>
      </c>
      <c r="P9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16666.666666666668</v>
      </c>
      <c r="Q9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9" s="49">
        <v>0</v>
      </c>
      <c r="S9" s="49">
        <v>0</v>
      </c>
      <c r="T9" s="49">
        <v>0</v>
      </c>
      <c r="U9" s="51" t="s">
        <v>21</v>
      </c>
      <c r="V9" s="51" t="s">
        <v>21</v>
      </c>
      <c r="W9" s="51" t="s">
        <v>21</v>
      </c>
      <c r="X9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9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9" s="53">
        <v>0</v>
      </c>
      <c r="AB9" s="53">
        <v>0</v>
      </c>
      <c r="AC9" s="54">
        <v>0</v>
      </c>
      <c r="AD9" s="54">
        <v>61.547274100373897</v>
      </c>
      <c r="AE9" s="52" t="s">
        <v>60</v>
      </c>
      <c r="AF9" s="53">
        <v>0</v>
      </c>
      <c r="AG9" s="53">
        <v>0</v>
      </c>
      <c r="AH9" s="53">
        <f>IF(ISNUMBER(Tabella2[[#This Row],[Mean RADIAL stress  (MPa)]]), Tabella2[[#This Row],[Mean RADIAL stress  (MPa)]],"")</f>
        <v>0</v>
      </c>
      <c r="AI9" s="53">
        <f>IF(ISNUMBER(Tabella2[[#This Row],[Amplitute RADIAL stress  (MPa)]]), Tabella2[[#This Row],[Amplitute RADIAL stress  (MPa)]],"")</f>
        <v>0</v>
      </c>
      <c r="AJ9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9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30773.63705018695</v>
      </c>
      <c r="AL9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9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9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9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61.547274100373897</v>
      </c>
    </row>
    <row r="10" spans="1:43" ht="20.100000000000001" customHeight="1" x14ac:dyDescent="0.25">
      <c r="A10" s="49" t="s">
        <v>65</v>
      </c>
      <c r="B10" s="49">
        <v>2007</v>
      </c>
      <c r="C10" s="49" t="s">
        <v>64</v>
      </c>
      <c r="D10" s="49" t="s">
        <v>79</v>
      </c>
      <c r="E10" s="50">
        <v>17273.9979423441</v>
      </c>
      <c r="F10" s="49" t="s">
        <v>20</v>
      </c>
      <c r="G10" s="49" t="s">
        <v>69</v>
      </c>
      <c r="H10" s="49" t="e" vm="3">
        <v>#VALUE!</v>
      </c>
      <c r="I10" s="49" t="s">
        <v>70</v>
      </c>
      <c r="J10" s="49" t="s">
        <v>32</v>
      </c>
      <c r="K10" s="49">
        <v>25</v>
      </c>
      <c r="L10" s="49">
        <v>21</v>
      </c>
      <c r="M10" s="49">
        <v>0</v>
      </c>
      <c r="N10" s="49">
        <v>0</v>
      </c>
      <c r="O10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525</v>
      </c>
      <c r="P10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19293.75</v>
      </c>
      <c r="Q10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10" s="49">
        <v>0</v>
      </c>
      <c r="S10" s="49">
        <v>0</v>
      </c>
      <c r="T10" s="49">
        <v>0</v>
      </c>
      <c r="U10" s="51" t="s">
        <v>21</v>
      </c>
      <c r="V10" s="51" t="s">
        <v>21</v>
      </c>
      <c r="W10" s="51" t="s">
        <v>21</v>
      </c>
      <c r="X10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0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0" s="53">
        <v>0</v>
      </c>
      <c r="AB10" s="53">
        <v>0</v>
      </c>
      <c r="AC10" s="54">
        <v>0</v>
      </c>
      <c r="AD10" s="54">
        <v>178.07359371764301</v>
      </c>
      <c r="AE10" s="52" t="s">
        <v>60</v>
      </c>
      <c r="AF10" s="53">
        <v>0</v>
      </c>
      <c r="AG10" s="53">
        <v>0</v>
      </c>
      <c r="AH10" s="53">
        <f>IF(ISNUMBER(Tabella2[[#This Row],[Mean RADIAL stress  (MPa)]]), Tabella2[[#This Row],[Mean RADIAL stress  (MPa)]],"")</f>
        <v>0</v>
      </c>
      <c r="AI10" s="53">
        <f>IF(ISNUMBER(Tabella2[[#This Row],[Amplitute RADIAL stress  (MPa)]]), Tabella2[[#This Row],[Amplitute RADIAL stress  (MPa)]],"")</f>
        <v>0</v>
      </c>
      <c r="AJ10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0" s="53">
        <f>IF(ISNUMBER(Tabella2[[#This Row],[Amplitute AXIAL stress  (MPa)]]),    IF(Tabella2[[#This Row],[derived from (AXIAL/BENDING) load]]="AXIAL",Tabella2[[#This Row],[Amplitute AXIAL stress  (MPa)]]*Tabella2[[#This Row],[Area (mm^2)]],"Null"), "")</f>
        <v>93488.636701762574</v>
      </c>
      <c r="AL10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10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10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0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178.07359371764301</v>
      </c>
    </row>
    <row r="11" spans="1:43" ht="20.100000000000001" customHeight="1" x14ac:dyDescent="0.25">
      <c r="A11" s="49" t="s">
        <v>65</v>
      </c>
      <c r="B11" s="49">
        <v>2007</v>
      </c>
      <c r="C11" s="49" t="s">
        <v>64</v>
      </c>
      <c r="D11" s="49" t="s">
        <v>80</v>
      </c>
      <c r="E11" s="50">
        <v>17379.3962561722</v>
      </c>
      <c r="F11" s="49" t="s">
        <v>20</v>
      </c>
      <c r="G11" s="49" t="s">
        <v>69</v>
      </c>
      <c r="H11" s="49" t="e" vm="4">
        <v>#VALUE!</v>
      </c>
      <c r="I11" s="49" t="s">
        <v>70</v>
      </c>
      <c r="J11" s="49" t="s">
        <v>32</v>
      </c>
      <c r="K11" s="49">
        <v>25</v>
      </c>
      <c r="L11" s="49">
        <v>21</v>
      </c>
      <c r="M11" s="49">
        <v>0</v>
      </c>
      <c r="N11" s="49">
        <v>0</v>
      </c>
      <c r="O11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525</v>
      </c>
      <c r="P11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19293.75</v>
      </c>
      <c r="Q11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11" s="49">
        <v>0</v>
      </c>
      <c r="S11" s="49">
        <v>0</v>
      </c>
      <c r="T11" s="49">
        <v>0</v>
      </c>
      <c r="U11" s="51" t="s">
        <v>21</v>
      </c>
      <c r="V11" s="51" t="s">
        <v>21</v>
      </c>
      <c r="W11" s="51" t="s">
        <v>21</v>
      </c>
      <c r="X11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1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1" s="53">
        <v>0</v>
      </c>
      <c r="AB11" s="53">
        <v>0</v>
      </c>
      <c r="AC11" s="54">
        <v>0</v>
      </c>
      <c r="AD11" s="54">
        <v>167.17057998254799</v>
      </c>
      <c r="AE11" s="52" t="s">
        <v>60</v>
      </c>
      <c r="AF11" s="53">
        <v>0</v>
      </c>
      <c r="AG11" s="53">
        <v>0</v>
      </c>
      <c r="AH11" s="53">
        <f>IF(ISNUMBER(Tabella2[[#This Row],[Mean RADIAL stress  (MPa)]]), Tabella2[[#This Row],[Mean RADIAL stress  (MPa)]],"")</f>
        <v>0</v>
      </c>
      <c r="AI11" s="53">
        <f>IF(ISNUMBER(Tabella2[[#This Row],[Amplitute RADIAL stress  (MPa)]]), Tabella2[[#This Row],[Amplitute RADIAL stress  (MPa)]],"")</f>
        <v>0</v>
      </c>
      <c r="AJ11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1" s="53">
        <f>IF(ISNUMBER(Tabella2[[#This Row],[Amplitute AXIAL stress  (MPa)]]),    IF(Tabella2[[#This Row],[derived from (AXIAL/BENDING) load]]="AXIAL",Tabella2[[#This Row],[Amplitute AXIAL stress  (MPa)]]*Tabella2[[#This Row],[Area (mm^2)]],"Null"), "")</f>
        <v>87764.554490837691</v>
      </c>
      <c r="AL11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11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11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1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167.17057998254799</v>
      </c>
    </row>
    <row r="12" spans="1:43" ht="20.100000000000001" customHeight="1" x14ac:dyDescent="0.25">
      <c r="A12" s="49" t="s">
        <v>65</v>
      </c>
      <c r="B12" s="49">
        <v>2007</v>
      </c>
      <c r="C12" s="49" t="s">
        <v>64</v>
      </c>
      <c r="D12" s="49" t="s">
        <v>81</v>
      </c>
      <c r="E12" s="50">
        <v>25790.246215626899</v>
      </c>
      <c r="F12" s="49" t="s">
        <v>20</v>
      </c>
      <c r="G12" s="49" t="s">
        <v>69</v>
      </c>
      <c r="H12" s="49" t="e" vm="4">
        <v>#VALUE!</v>
      </c>
      <c r="I12" s="49" t="s">
        <v>70</v>
      </c>
      <c r="J12" s="49" t="s">
        <v>32</v>
      </c>
      <c r="K12" s="49">
        <v>25</v>
      </c>
      <c r="L12" s="49">
        <v>21</v>
      </c>
      <c r="M12" s="49">
        <v>0</v>
      </c>
      <c r="N12" s="49">
        <v>0</v>
      </c>
      <c r="O12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525</v>
      </c>
      <c r="P12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19293.75</v>
      </c>
      <c r="Q12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12" s="49">
        <v>0</v>
      </c>
      <c r="S12" s="49">
        <v>0</v>
      </c>
      <c r="T12" s="49">
        <v>0</v>
      </c>
      <c r="U12" s="51" t="s">
        <v>21</v>
      </c>
      <c r="V12" s="51" t="s">
        <v>21</v>
      </c>
      <c r="W12" s="51" t="s">
        <v>21</v>
      </c>
      <c r="X12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2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2" s="53">
        <v>0</v>
      </c>
      <c r="AB12" s="53">
        <v>0</v>
      </c>
      <c r="AC12" s="54">
        <v>0</v>
      </c>
      <c r="AD12" s="54">
        <v>164.95267162637299</v>
      </c>
      <c r="AE12" s="52" t="s">
        <v>60</v>
      </c>
      <c r="AF12" s="53">
        <v>0</v>
      </c>
      <c r="AG12" s="53">
        <v>0</v>
      </c>
      <c r="AH12" s="53">
        <f>IF(ISNUMBER(Tabella2[[#This Row],[Mean RADIAL stress  (MPa)]]), Tabella2[[#This Row],[Mean RADIAL stress  (MPa)]],"")</f>
        <v>0</v>
      </c>
      <c r="AI12" s="53">
        <f>IF(ISNUMBER(Tabella2[[#This Row],[Amplitute RADIAL stress  (MPa)]]), Tabella2[[#This Row],[Amplitute RADIAL stress  (MPa)]],"")</f>
        <v>0</v>
      </c>
      <c r="AJ12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2" s="53">
        <f>IF(ISNUMBER(Tabella2[[#This Row],[Amplitute AXIAL stress  (MPa)]]),    IF(Tabella2[[#This Row],[derived from (AXIAL/BENDING) load]]="AXIAL",Tabella2[[#This Row],[Amplitute AXIAL stress  (MPa)]]*Tabella2[[#This Row],[Area (mm^2)]],"Null"), "")</f>
        <v>86600.152603845825</v>
      </c>
      <c r="AL12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12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12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2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164.95267162637299</v>
      </c>
    </row>
    <row r="13" spans="1:43" ht="20.100000000000001" customHeight="1" x14ac:dyDescent="0.25">
      <c r="A13" s="49" t="s">
        <v>65</v>
      </c>
      <c r="B13" s="49">
        <v>2007</v>
      </c>
      <c r="C13" s="49" t="s">
        <v>64</v>
      </c>
      <c r="D13" s="49" t="s">
        <v>82</v>
      </c>
      <c r="E13" s="50">
        <v>54368.212360740697</v>
      </c>
      <c r="F13" s="49" t="s">
        <v>20</v>
      </c>
      <c r="G13" s="49" t="s">
        <v>69</v>
      </c>
      <c r="H13" s="49" t="e" vm="4">
        <v>#VALUE!</v>
      </c>
      <c r="I13" s="49" t="s">
        <v>70</v>
      </c>
      <c r="J13" s="49" t="s">
        <v>32</v>
      </c>
      <c r="K13" s="49">
        <v>25</v>
      </c>
      <c r="L13" s="49">
        <v>21</v>
      </c>
      <c r="M13" s="49">
        <v>0</v>
      </c>
      <c r="N13" s="49">
        <v>0</v>
      </c>
      <c r="O13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525</v>
      </c>
      <c r="P13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19293.75</v>
      </c>
      <c r="Q13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13" s="49">
        <v>0</v>
      </c>
      <c r="S13" s="49">
        <v>0</v>
      </c>
      <c r="T13" s="49">
        <v>0</v>
      </c>
      <c r="U13" s="51" t="s">
        <v>21</v>
      </c>
      <c r="V13" s="51" t="s">
        <v>21</v>
      </c>
      <c r="W13" s="51" t="s">
        <v>21</v>
      </c>
      <c r="X13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3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3" s="53">
        <v>0</v>
      </c>
      <c r="AB13" s="53">
        <v>0</v>
      </c>
      <c r="AC13" s="54">
        <v>0</v>
      </c>
      <c r="AD13" s="54">
        <v>113.47531422660499</v>
      </c>
      <c r="AE13" s="52" t="s">
        <v>60</v>
      </c>
      <c r="AF13" s="53">
        <v>0</v>
      </c>
      <c r="AG13" s="53">
        <v>0</v>
      </c>
      <c r="AH13" s="53">
        <f>IF(ISNUMBER(Tabella2[[#This Row],[Mean RADIAL stress  (MPa)]]), Tabella2[[#This Row],[Mean RADIAL stress  (MPa)]],"")</f>
        <v>0</v>
      </c>
      <c r="AI13" s="53">
        <f>IF(ISNUMBER(Tabella2[[#This Row],[Amplitute RADIAL stress  (MPa)]]), Tabella2[[#This Row],[Amplitute RADIAL stress  (MPa)]],"")</f>
        <v>0</v>
      </c>
      <c r="AJ13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3" s="53">
        <f>IF(ISNUMBER(Tabella2[[#This Row],[Amplitute AXIAL stress  (MPa)]]),    IF(Tabella2[[#This Row],[derived from (AXIAL/BENDING) load]]="AXIAL",Tabella2[[#This Row],[Amplitute AXIAL stress  (MPa)]]*Tabella2[[#This Row],[Area (mm^2)]],"Null"), "")</f>
        <v>59574.53996896762</v>
      </c>
      <c r="AL13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13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13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3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113.47531422660499</v>
      </c>
    </row>
    <row r="14" spans="1:43" ht="20.100000000000001" customHeight="1" x14ac:dyDescent="0.25">
      <c r="A14" s="49" t="s">
        <v>65</v>
      </c>
      <c r="B14" s="49">
        <v>2007</v>
      </c>
      <c r="C14" s="49" t="s">
        <v>64</v>
      </c>
      <c r="D14" s="49" t="s">
        <v>83</v>
      </c>
      <c r="E14" s="50">
        <v>205935.562280157</v>
      </c>
      <c r="F14" s="49" t="s">
        <v>20</v>
      </c>
      <c r="G14" s="49" t="s">
        <v>69</v>
      </c>
      <c r="H14" s="49" t="e" vm="4">
        <v>#VALUE!</v>
      </c>
      <c r="I14" s="49" t="s">
        <v>70</v>
      </c>
      <c r="J14" s="49" t="s">
        <v>32</v>
      </c>
      <c r="K14" s="49">
        <v>25</v>
      </c>
      <c r="L14" s="49">
        <v>21</v>
      </c>
      <c r="M14" s="49">
        <v>0</v>
      </c>
      <c r="N14" s="49">
        <v>0</v>
      </c>
      <c r="O14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525</v>
      </c>
      <c r="P14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19293.75</v>
      </c>
      <c r="Q14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14" s="49">
        <v>0</v>
      </c>
      <c r="S14" s="49">
        <v>0</v>
      </c>
      <c r="T14" s="49">
        <v>0</v>
      </c>
      <c r="U14" s="51" t="s">
        <v>21</v>
      </c>
      <c r="V14" s="51" t="s">
        <v>21</v>
      </c>
      <c r="W14" s="51" t="s">
        <v>21</v>
      </c>
      <c r="X14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4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4" s="53">
        <v>0</v>
      </c>
      <c r="AB14" s="53">
        <v>0</v>
      </c>
      <c r="AC14" s="54">
        <v>0</v>
      </c>
      <c r="AD14" s="54">
        <v>82.540922873476603</v>
      </c>
      <c r="AE14" s="52" t="s">
        <v>60</v>
      </c>
      <c r="AF14" s="53">
        <v>0</v>
      </c>
      <c r="AG14" s="53">
        <v>0</v>
      </c>
      <c r="AH14" s="53">
        <f>IF(ISNUMBER(Tabella2[[#This Row],[Mean RADIAL stress  (MPa)]]), Tabella2[[#This Row],[Mean RADIAL stress  (MPa)]],"")</f>
        <v>0</v>
      </c>
      <c r="AI14" s="53">
        <f>IF(ISNUMBER(Tabella2[[#This Row],[Amplitute RADIAL stress  (MPa)]]), Tabella2[[#This Row],[Amplitute RADIAL stress  (MPa)]],"")</f>
        <v>0</v>
      </c>
      <c r="AJ14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4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43333.984508575217</v>
      </c>
      <c r="AL14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14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14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4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82.540922873476603</v>
      </c>
    </row>
    <row r="15" spans="1:43" ht="20.100000000000001" customHeight="1" x14ac:dyDescent="0.25">
      <c r="A15" s="49" t="s">
        <v>65</v>
      </c>
      <c r="B15" s="49">
        <v>2007</v>
      </c>
      <c r="C15" s="49" t="s">
        <v>64</v>
      </c>
      <c r="D15" s="49" t="s">
        <v>84</v>
      </c>
      <c r="E15" s="50">
        <v>246266.90747472999</v>
      </c>
      <c r="F15" s="49" t="s">
        <v>20</v>
      </c>
      <c r="G15" s="49" t="s">
        <v>69</v>
      </c>
      <c r="H15" s="49" t="e" vm="4">
        <v>#VALUE!</v>
      </c>
      <c r="I15" s="49" t="s">
        <v>70</v>
      </c>
      <c r="J15" s="49" t="s">
        <v>32</v>
      </c>
      <c r="K15" s="49">
        <v>25</v>
      </c>
      <c r="L15" s="49">
        <v>21</v>
      </c>
      <c r="M15" s="49">
        <v>0</v>
      </c>
      <c r="N15" s="49">
        <v>0</v>
      </c>
      <c r="O15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525</v>
      </c>
      <c r="P15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19293.75</v>
      </c>
      <c r="Q15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15" s="49">
        <v>0</v>
      </c>
      <c r="S15" s="49">
        <v>0</v>
      </c>
      <c r="T15" s="49">
        <v>0</v>
      </c>
      <c r="U15" s="51" t="s">
        <v>21</v>
      </c>
      <c r="V15" s="51" t="s">
        <v>21</v>
      </c>
      <c r="W15" s="51" t="s">
        <v>21</v>
      </c>
      <c r="X15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5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5" s="53">
        <v>0</v>
      </c>
      <c r="AB15" s="53">
        <v>0</v>
      </c>
      <c r="AC15" s="54">
        <v>0</v>
      </c>
      <c r="AD15" s="54">
        <v>81.994320259882002</v>
      </c>
      <c r="AE15" s="52" t="s">
        <v>60</v>
      </c>
      <c r="AF15" s="53">
        <v>0</v>
      </c>
      <c r="AG15" s="53">
        <v>0</v>
      </c>
      <c r="AH15" s="53">
        <f>IF(ISNUMBER(Tabella2[[#This Row],[Mean RADIAL stress  (MPa)]]), Tabella2[[#This Row],[Mean RADIAL stress  (MPa)]],"")</f>
        <v>0</v>
      </c>
      <c r="AI15" s="53">
        <f>IF(ISNUMBER(Tabella2[[#This Row],[Amplitute RADIAL stress  (MPa)]]), Tabella2[[#This Row],[Amplitute RADIAL stress  (MPa)]],"")</f>
        <v>0</v>
      </c>
      <c r="AJ15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5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43047.018136438048</v>
      </c>
      <c r="AL15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15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15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5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81.994320259882002</v>
      </c>
    </row>
    <row r="16" spans="1:43" ht="20.100000000000001" customHeight="1" x14ac:dyDescent="0.25">
      <c r="A16" s="49" t="s">
        <v>65</v>
      </c>
      <c r="B16" s="49">
        <v>2007</v>
      </c>
      <c r="C16" s="49" t="s">
        <v>64</v>
      </c>
      <c r="D16" s="49" t="s">
        <v>85</v>
      </c>
      <c r="E16" s="50">
        <v>715477.02459372301</v>
      </c>
      <c r="F16" s="49" t="s">
        <v>20</v>
      </c>
      <c r="G16" s="49" t="s">
        <v>69</v>
      </c>
      <c r="H16" s="49" t="e" vm="4">
        <v>#VALUE!</v>
      </c>
      <c r="I16" s="49" t="s">
        <v>70</v>
      </c>
      <c r="J16" s="49" t="s">
        <v>32</v>
      </c>
      <c r="K16" s="49">
        <v>25</v>
      </c>
      <c r="L16" s="49">
        <v>21</v>
      </c>
      <c r="M16" s="49">
        <v>0</v>
      </c>
      <c r="N16" s="49">
        <v>0</v>
      </c>
      <c r="O16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525</v>
      </c>
      <c r="P16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19293.75</v>
      </c>
      <c r="Q16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16" s="49">
        <v>0</v>
      </c>
      <c r="S16" s="49">
        <v>0</v>
      </c>
      <c r="T16" s="49">
        <v>0</v>
      </c>
      <c r="U16" s="51" t="s">
        <v>21</v>
      </c>
      <c r="V16" s="51" t="s">
        <v>21</v>
      </c>
      <c r="W16" s="51" t="s">
        <v>21</v>
      </c>
      <c r="X16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6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6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6" s="53">
        <v>0</v>
      </c>
      <c r="AB16" s="53">
        <v>0</v>
      </c>
      <c r="AC16" s="54">
        <v>0</v>
      </c>
      <c r="AD16" s="54">
        <v>57.815590881260498</v>
      </c>
      <c r="AE16" s="52" t="s">
        <v>60</v>
      </c>
      <c r="AF16" s="53">
        <v>0</v>
      </c>
      <c r="AG16" s="53">
        <v>0</v>
      </c>
      <c r="AH16" s="53">
        <f>IF(ISNUMBER(Tabella2[[#This Row],[Mean RADIAL stress  (MPa)]]), Tabella2[[#This Row],[Mean RADIAL stress  (MPa)]],"")</f>
        <v>0</v>
      </c>
      <c r="AI16" s="53">
        <f>IF(ISNUMBER(Tabella2[[#This Row],[Amplitute RADIAL stress  (MPa)]]), Tabella2[[#This Row],[Amplitute RADIAL stress  (MPa)]],"")</f>
        <v>0</v>
      </c>
      <c r="AJ16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6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30353.18521266176</v>
      </c>
      <c r="AL16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6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6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16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16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6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57.815590881260498</v>
      </c>
    </row>
    <row r="17" spans="1:43" ht="20.100000000000001" customHeight="1" x14ac:dyDescent="0.25">
      <c r="A17" s="49" t="s">
        <v>65</v>
      </c>
      <c r="B17" s="49">
        <v>2007</v>
      </c>
      <c r="C17" s="49" t="s">
        <v>64</v>
      </c>
      <c r="D17" s="49" t="s">
        <v>86</v>
      </c>
      <c r="E17" s="50">
        <v>1624734.32798276</v>
      </c>
      <c r="F17" s="49" t="s">
        <v>20</v>
      </c>
      <c r="G17" s="49" t="s">
        <v>69</v>
      </c>
      <c r="H17" s="49" t="e" vm="4">
        <v>#VALUE!</v>
      </c>
      <c r="I17" s="49" t="s">
        <v>70</v>
      </c>
      <c r="J17" s="49" t="s">
        <v>32</v>
      </c>
      <c r="K17" s="49">
        <v>25</v>
      </c>
      <c r="L17" s="49">
        <v>21</v>
      </c>
      <c r="M17" s="49">
        <v>0</v>
      </c>
      <c r="N17" s="49">
        <v>0</v>
      </c>
      <c r="O17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525</v>
      </c>
      <c r="P17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19293.75</v>
      </c>
      <c r="Q17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17" s="49">
        <v>0</v>
      </c>
      <c r="S17" s="49">
        <v>0</v>
      </c>
      <c r="T17" s="49">
        <v>0</v>
      </c>
      <c r="U17" s="51" t="s">
        <v>21</v>
      </c>
      <c r="V17" s="51" t="s">
        <v>21</v>
      </c>
      <c r="W17" s="51" t="s">
        <v>21</v>
      </c>
      <c r="X17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7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7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7" s="53">
        <v>0</v>
      </c>
      <c r="AB17" s="53">
        <v>0</v>
      </c>
      <c r="AC17" s="54">
        <v>0</v>
      </c>
      <c r="AD17" s="54">
        <v>51.850658353919599</v>
      </c>
      <c r="AE17" s="52" t="s">
        <v>60</v>
      </c>
      <c r="AF17" s="53">
        <v>0</v>
      </c>
      <c r="AG17" s="53">
        <v>0</v>
      </c>
      <c r="AH17" s="53">
        <f>IF(ISNUMBER(Tabella2[[#This Row],[Mean RADIAL stress  (MPa)]]), Tabella2[[#This Row],[Mean RADIAL stress  (MPa)]],"")</f>
        <v>0</v>
      </c>
      <c r="AI17" s="53">
        <f>IF(ISNUMBER(Tabella2[[#This Row],[Amplitute RADIAL stress  (MPa)]]), Tabella2[[#This Row],[Amplitute RADIAL stress  (MPa)]],"")</f>
        <v>0</v>
      </c>
      <c r="AJ17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7" s="53">
        <f>IF(ISNUMBER(Tabella2[[#This Row],[Amplitute AXIAL stress  (MPa)]]),    IF(Tabella2[[#This Row],[derived from (AXIAL/BENDING) load]]="AXIAL",Tabella2[[#This Row],[Amplitute AXIAL stress  (MPa)]]*Tabella2[[#This Row],[Area (mm^2)]],"Null"), "")</f>
        <v>27221.595635807789</v>
      </c>
      <c r="AL17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7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7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17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17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7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51.850658353919599</v>
      </c>
    </row>
    <row r="18" spans="1:43" ht="20.100000000000001" customHeight="1" x14ac:dyDescent="0.25">
      <c r="A18" s="49" t="s">
        <v>65</v>
      </c>
      <c r="B18" s="49">
        <v>2007</v>
      </c>
      <c r="C18" s="49" t="s">
        <v>64</v>
      </c>
      <c r="D18" s="49" t="s">
        <v>87</v>
      </c>
      <c r="E18" s="50">
        <v>1860847.5010835801</v>
      </c>
      <c r="F18" s="49" t="s">
        <v>20</v>
      </c>
      <c r="G18" s="49" t="s">
        <v>69</v>
      </c>
      <c r="H18" s="49" t="e" vm="4">
        <v>#VALUE!</v>
      </c>
      <c r="I18" s="49" t="s">
        <v>70</v>
      </c>
      <c r="J18" s="49" t="s">
        <v>32</v>
      </c>
      <c r="K18" s="49">
        <v>25</v>
      </c>
      <c r="L18" s="49">
        <v>21</v>
      </c>
      <c r="M18" s="49">
        <v>0</v>
      </c>
      <c r="N18" s="49">
        <v>0</v>
      </c>
      <c r="O18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525</v>
      </c>
      <c r="P18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19293.75</v>
      </c>
      <c r="Q18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18" s="49">
        <v>0</v>
      </c>
      <c r="S18" s="49">
        <v>0</v>
      </c>
      <c r="T18" s="49">
        <v>0</v>
      </c>
      <c r="U18" s="51" t="s">
        <v>21</v>
      </c>
      <c r="V18" s="51" t="s">
        <v>21</v>
      </c>
      <c r="W18" s="51" t="s">
        <v>21</v>
      </c>
      <c r="X18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8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8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8" s="53">
        <v>0</v>
      </c>
      <c r="AB18" s="53">
        <v>0</v>
      </c>
      <c r="AC18" s="54">
        <v>0</v>
      </c>
      <c r="AD18" s="54">
        <v>51.837792099573598</v>
      </c>
      <c r="AE18" s="52" t="s">
        <v>60</v>
      </c>
      <c r="AF18" s="53">
        <v>0</v>
      </c>
      <c r="AG18" s="53">
        <v>0</v>
      </c>
      <c r="AH18" s="53">
        <f>IF(ISNUMBER(Tabella2[[#This Row],[Mean RADIAL stress  (MPa)]]), Tabella2[[#This Row],[Mean RADIAL stress  (MPa)]],"")</f>
        <v>0</v>
      </c>
      <c r="AI18" s="53">
        <f>IF(ISNUMBER(Tabella2[[#This Row],[Amplitute RADIAL stress  (MPa)]]), Tabella2[[#This Row],[Amplitute RADIAL stress  (MPa)]],"")</f>
        <v>0</v>
      </c>
      <c r="AJ18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8" s="53">
        <f>IF(ISNUMBER(Tabella2[[#This Row],[Amplitute AXIAL stress  (MPa)]]),    IF(Tabella2[[#This Row],[derived from (AXIAL/BENDING) load]]="AXIAL",Tabella2[[#This Row],[Amplitute AXIAL stress  (MPa)]]*Tabella2[[#This Row],[Area (mm^2)]],"Null"), "")</f>
        <v>27214.840852276138</v>
      </c>
      <c r="AL18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8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8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18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18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8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51.837792099573598</v>
      </c>
    </row>
    <row r="19" spans="1:43" ht="20.100000000000001" customHeight="1" x14ac:dyDescent="0.25">
      <c r="A19" s="49" t="s">
        <v>65</v>
      </c>
      <c r="B19" s="49">
        <v>2007</v>
      </c>
      <c r="C19" s="49" t="s">
        <v>64</v>
      </c>
      <c r="D19" s="49" t="s">
        <v>88</v>
      </c>
      <c r="E19" s="50">
        <v>14354.998751607</v>
      </c>
      <c r="F19" s="49" t="s">
        <v>20</v>
      </c>
      <c r="G19" s="49" t="s">
        <v>69</v>
      </c>
      <c r="H19" s="49" t="e" vm="5">
        <v>#VALUE!</v>
      </c>
      <c r="I19" s="49" t="s">
        <v>70</v>
      </c>
      <c r="J19" s="49" t="s">
        <v>32</v>
      </c>
      <c r="K19" s="49">
        <v>25</v>
      </c>
      <c r="L19" s="49">
        <v>17</v>
      </c>
      <c r="M19" s="49">
        <v>0</v>
      </c>
      <c r="N19" s="49">
        <v>0</v>
      </c>
      <c r="O19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425</v>
      </c>
      <c r="P19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10235.416666666666</v>
      </c>
      <c r="Q19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19" s="49">
        <v>0</v>
      </c>
      <c r="S19" s="49">
        <v>0</v>
      </c>
      <c r="T19" s="49">
        <v>0</v>
      </c>
      <c r="U19" s="51" t="s">
        <v>21</v>
      </c>
      <c r="V19" s="51" t="s">
        <v>21</v>
      </c>
      <c r="W19" s="51" t="s">
        <v>21</v>
      </c>
      <c r="X19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9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9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9" s="53">
        <v>0</v>
      </c>
      <c r="AB19" s="53">
        <v>0</v>
      </c>
      <c r="AC19" s="54">
        <v>0</v>
      </c>
      <c r="AD19" s="54">
        <v>169.44370316179001</v>
      </c>
      <c r="AE19" s="52" t="s">
        <v>60</v>
      </c>
      <c r="AF19" s="53">
        <v>0</v>
      </c>
      <c r="AG19" s="53">
        <v>0</v>
      </c>
      <c r="AH19" s="53">
        <f>IF(ISNUMBER(Tabella2[[#This Row],[Mean RADIAL stress  (MPa)]]), Tabella2[[#This Row],[Mean RADIAL stress  (MPa)]],"")</f>
        <v>0</v>
      </c>
      <c r="AI19" s="53">
        <f>IF(ISNUMBER(Tabella2[[#This Row],[Amplitute RADIAL stress  (MPa)]]), Tabella2[[#This Row],[Amplitute RADIAL stress  (MPa)]],"")</f>
        <v>0</v>
      </c>
      <c r="AJ19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9" s="53">
        <f>IF(ISNUMBER(Tabella2[[#This Row],[Amplitute AXIAL stress  (MPa)]]),    IF(Tabella2[[#This Row],[derived from (AXIAL/BENDING) load]]="AXIAL",Tabella2[[#This Row],[Amplitute AXIAL stress  (MPa)]]*Tabella2[[#This Row],[Area (mm^2)]],"Null"), "")</f>
        <v>72013.573843760751</v>
      </c>
      <c r="AL19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9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9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19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19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9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169.44370316179001</v>
      </c>
    </row>
    <row r="20" spans="1:43" ht="20.100000000000001" customHeight="1" x14ac:dyDescent="0.25">
      <c r="A20" s="49" t="s">
        <v>65</v>
      </c>
      <c r="B20" s="49">
        <v>2007</v>
      </c>
      <c r="C20" s="49" t="s">
        <v>64</v>
      </c>
      <c r="D20" s="49" t="s">
        <v>89</v>
      </c>
      <c r="E20" s="50">
        <v>20783.624605545501</v>
      </c>
      <c r="F20" s="49" t="s">
        <v>20</v>
      </c>
      <c r="G20" s="49" t="s">
        <v>69</v>
      </c>
      <c r="H20" s="49" t="e" vm="6">
        <v>#VALUE!</v>
      </c>
      <c r="I20" s="49" t="s">
        <v>70</v>
      </c>
      <c r="J20" s="49" t="s">
        <v>32</v>
      </c>
      <c r="K20" s="49">
        <v>25</v>
      </c>
      <c r="L20" s="49">
        <v>17</v>
      </c>
      <c r="M20" s="49">
        <v>0</v>
      </c>
      <c r="N20" s="49">
        <v>0</v>
      </c>
      <c r="O20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425</v>
      </c>
      <c r="P20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10235.416666666666</v>
      </c>
      <c r="Q20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20" s="49">
        <v>0</v>
      </c>
      <c r="S20" s="49">
        <v>0</v>
      </c>
      <c r="T20" s="49">
        <v>0</v>
      </c>
      <c r="U20" s="51" t="s">
        <v>21</v>
      </c>
      <c r="V20" s="51" t="s">
        <v>21</v>
      </c>
      <c r="W20" s="51" t="s">
        <v>21</v>
      </c>
      <c r="X20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0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0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0" s="53">
        <v>0</v>
      </c>
      <c r="AB20" s="53">
        <v>0</v>
      </c>
      <c r="AC20" s="54">
        <v>0</v>
      </c>
      <c r="AD20" s="54">
        <v>170.567468797732</v>
      </c>
      <c r="AE20" s="52" t="s">
        <v>60</v>
      </c>
      <c r="AF20" s="53">
        <v>0</v>
      </c>
      <c r="AG20" s="53">
        <v>0</v>
      </c>
      <c r="AH20" s="53">
        <f>IF(ISNUMBER(Tabella2[[#This Row],[Mean RADIAL stress  (MPa)]]), Tabella2[[#This Row],[Mean RADIAL stress  (MPa)]],"")</f>
        <v>0</v>
      </c>
      <c r="AI20" s="53">
        <f>IF(ISNUMBER(Tabella2[[#This Row],[Amplitute RADIAL stress  (MPa)]]), Tabella2[[#This Row],[Amplitute RADIAL stress  (MPa)]],"")</f>
        <v>0</v>
      </c>
      <c r="AJ20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0" s="53">
        <f>IF(ISNUMBER(Tabella2[[#This Row],[Amplitute AXIAL stress  (MPa)]]),    IF(Tabella2[[#This Row],[derived from (AXIAL/BENDING) load]]="AXIAL",Tabella2[[#This Row],[Amplitute AXIAL stress  (MPa)]]*Tabella2[[#This Row],[Area (mm^2)]],"Null"), "")</f>
        <v>72491.174239036103</v>
      </c>
      <c r="AL20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0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0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20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20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0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170.567468797732</v>
      </c>
    </row>
    <row r="21" spans="1:43" ht="20.100000000000001" customHeight="1" x14ac:dyDescent="0.25">
      <c r="A21" s="49" t="s">
        <v>65</v>
      </c>
      <c r="B21" s="49">
        <v>2007</v>
      </c>
      <c r="C21" s="49" t="s">
        <v>64</v>
      </c>
      <c r="D21" s="49" t="s">
        <v>90</v>
      </c>
      <c r="E21" s="50">
        <v>49582.376032991902</v>
      </c>
      <c r="F21" s="49" t="s">
        <v>20</v>
      </c>
      <c r="G21" s="49" t="s">
        <v>69</v>
      </c>
      <c r="H21" s="49" t="e" vm="6">
        <v>#VALUE!</v>
      </c>
      <c r="I21" s="49" t="s">
        <v>70</v>
      </c>
      <c r="J21" s="49" t="s">
        <v>32</v>
      </c>
      <c r="K21" s="49">
        <v>25</v>
      </c>
      <c r="L21" s="49">
        <v>17</v>
      </c>
      <c r="M21" s="49">
        <v>0</v>
      </c>
      <c r="N21" s="49">
        <v>0</v>
      </c>
      <c r="O21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425</v>
      </c>
      <c r="P21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10235.416666666666</v>
      </c>
      <c r="Q21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21" s="49">
        <v>0</v>
      </c>
      <c r="S21" s="49">
        <v>0</v>
      </c>
      <c r="T21" s="49">
        <v>0</v>
      </c>
      <c r="U21" s="51" t="s">
        <v>21</v>
      </c>
      <c r="V21" s="51" t="s">
        <v>21</v>
      </c>
      <c r="W21" s="51" t="s">
        <v>21</v>
      </c>
      <c r="X21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1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1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1" s="53">
        <v>0</v>
      </c>
      <c r="AB21" s="53">
        <v>0</v>
      </c>
      <c r="AC21" s="54">
        <v>0</v>
      </c>
      <c r="AD21" s="54">
        <v>150.57166689183401</v>
      </c>
      <c r="AE21" s="52" t="s">
        <v>60</v>
      </c>
      <c r="AF21" s="53">
        <v>0</v>
      </c>
      <c r="AG21" s="53">
        <v>0</v>
      </c>
      <c r="AH21" s="53">
        <f>IF(ISNUMBER(Tabella2[[#This Row],[Mean RADIAL stress  (MPa)]]), Tabella2[[#This Row],[Mean RADIAL stress  (MPa)]],"")</f>
        <v>0</v>
      </c>
      <c r="AI21" s="53">
        <f>IF(ISNUMBER(Tabella2[[#This Row],[Amplitute RADIAL stress  (MPa)]]), Tabella2[[#This Row],[Amplitute RADIAL stress  (MPa)]],"")</f>
        <v>0</v>
      </c>
      <c r="AJ21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1" s="53">
        <f>IF(ISNUMBER(Tabella2[[#This Row],[Amplitute AXIAL stress  (MPa)]]),    IF(Tabella2[[#This Row],[derived from (AXIAL/BENDING) load]]="AXIAL",Tabella2[[#This Row],[Amplitute AXIAL stress  (MPa)]]*Tabella2[[#This Row],[Area (mm^2)]],"Null"), "")</f>
        <v>63992.958429029459</v>
      </c>
      <c r="AL21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1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1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21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21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1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150.57166689183401</v>
      </c>
    </row>
    <row r="22" spans="1:43" ht="20.100000000000001" customHeight="1" x14ac:dyDescent="0.25">
      <c r="A22" s="49" t="s">
        <v>65</v>
      </c>
      <c r="B22" s="49">
        <v>2007</v>
      </c>
      <c r="C22" s="49" t="s">
        <v>64</v>
      </c>
      <c r="D22" s="49" t="s">
        <v>91</v>
      </c>
      <c r="E22" s="50">
        <v>85835.263083879603</v>
      </c>
      <c r="F22" s="49" t="s">
        <v>20</v>
      </c>
      <c r="G22" s="49" t="s">
        <v>69</v>
      </c>
      <c r="H22" s="49" t="e" vm="6">
        <v>#VALUE!</v>
      </c>
      <c r="I22" s="49" t="s">
        <v>70</v>
      </c>
      <c r="J22" s="49" t="s">
        <v>32</v>
      </c>
      <c r="K22" s="49">
        <v>25</v>
      </c>
      <c r="L22" s="49">
        <v>17</v>
      </c>
      <c r="M22" s="49">
        <v>0</v>
      </c>
      <c r="N22" s="49">
        <v>0</v>
      </c>
      <c r="O22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425</v>
      </c>
      <c r="P22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10235.416666666666</v>
      </c>
      <c r="Q22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22" s="49">
        <v>0</v>
      </c>
      <c r="S22" s="49">
        <v>0</v>
      </c>
      <c r="T22" s="49">
        <v>0</v>
      </c>
      <c r="U22" s="51" t="s">
        <v>21</v>
      </c>
      <c r="V22" s="51" t="s">
        <v>21</v>
      </c>
      <c r="W22" s="51" t="s">
        <v>21</v>
      </c>
      <c r="X22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2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2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2" s="53">
        <v>0</v>
      </c>
      <c r="AB22" s="53">
        <v>0</v>
      </c>
      <c r="AC22" s="54">
        <v>0</v>
      </c>
      <c r="AD22" s="54">
        <v>137.11589352963799</v>
      </c>
      <c r="AE22" s="52" t="s">
        <v>60</v>
      </c>
      <c r="AF22" s="53">
        <v>0</v>
      </c>
      <c r="AG22" s="53">
        <v>0</v>
      </c>
      <c r="AH22" s="53">
        <f>IF(ISNUMBER(Tabella2[[#This Row],[Mean RADIAL stress  (MPa)]]), Tabella2[[#This Row],[Mean RADIAL stress  (MPa)]],"")</f>
        <v>0</v>
      </c>
      <c r="AI22" s="53">
        <f>IF(ISNUMBER(Tabella2[[#This Row],[Amplitute RADIAL stress  (MPa)]]), Tabella2[[#This Row],[Amplitute RADIAL stress  (MPa)]],"")</f>
        <v>0</v>
      </c>
      <c r="AJ22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2" s="53">
        <f>IF(ISNUMBER(Tabella2[[#This Row],[Amplitute AXIAL stress  (MPa)]]),    IF(Tabella2[[#This Row],[derived from (AXIAL/BENDING) load]]="AXIAL",Tabella2[[#This Row],[Amplitute AXIAL stress  (MPa)]]*Tabella2[[#This Row],[Area (mm^2)]],"Null"), "")</f>
        <v>58274.254750096145</v>
      </c>
      <c r="AL22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2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2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22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22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2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137.11589352963799</v>
      </c>
    </row>
    <row r="23" spans="1:43" ht="20.100000000000001" customHeight="1" x14ac:dyDescent="0.25">
      <c r="A23" s="49" t="s">
        <v>65</v>
      </c>
      <c r="B23" s="49">
        <v>2007</v>
      </c>
      <c r="C23" s="49" t="s">
        <v>64</v>
      </c>
      <c r="D23" s="49" t="s">
        <v>92</v>
      </c>
      <c r="E23" s="50">
        <v>94737.721959463903</v>
      </c>
      <c r="F23" s="49" t="s">
        <v>20</v>
      </c>
      <c r="G23" s="49" t="s">
        <v>69</v>
      </c>
      <c r="H23" s="49" t="e" vm="6">
        <v>#VALUE!</v>
      </c>
      <c r="I23" s="49" t="s">
        <v>70</v>
      </c>
      <c r="J23" s="49" t="s">
        <v>32</v>
      </c>
      <c r="K23" s="49">
        <v>25</v>
      </c>
      <c r="L23" s="49">
        <v>17</v>
      </c>
      <c r="M23" s="49">
        <v>0</v>
      </c>
      <c r="N23" s="49">
        <v>0</v>
      </c>
      <c r="O23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425</v>
      </c>
      <c r="P23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10235.416666666666</v>
      </c>
      <c r="Q23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23" s="49">
        <v>0</v>
      </c>
      <c r="S23" s="49">
        <v>0</v>
      </c>
      <c r="T23" s="49">
        <v>0</v>
      </c>
      <c r="U23" s="51" t="s">
        <v>21</v>
      </c>
      <c r="V23" s="51" t="s">
        <v>21</v>
      </c>
      <c r="W23" s="51" t="s">
        <v>21</v>
      </c>
      <c r="X23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3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3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3" s="53">
        <v>0</v>
      </c>
      <c r="AB23" s="53">
        <v>0</v>
      </c>
      <c r="AC23" s="54">
        <v>0</v>
      </c>
      <c r="AD23" s="54">
        <v>137.12818374162799</v>
      </c>
      <c r="AE23" s="52" t="s">
        <v>60</v>
      </c>
      <c r="AF23" s="53">
        <v>0</v>
      </c>
      <c r="AG23" s="53">
        <v>0</v>
      </c>
      <c r="AH23" s="53">
        <f>IF(ISNUMBER(Tabella2[[#This Row],[Mean RADIAL stress  (MPa)]]), Tabella2[[#This Row],[Mean RADIAL stress  (MPa)]],"")</f>
        <v>0</v>
      </c>
      <c r="AI23" s="53">
        <f>IF(ISNUMBER(Tabella2[[#This Row],[Amplitute RADIAL stress  (MPa)]]), Tabella2[[#This Row],[Amplitute RADIAL stress  (MPa)]],"")</f>
        <v>0</v>
      </c>
      <c r="AJ23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3" s="53">
        <f>IF(ISNUMBER(Tabella2[[#This Row],[Amplitute AXIAL stress  (MPa)]]),    IF(Tabella2[[#This Row],[derived from (AXIAL/BENDING) load]]="AXIAL",Tabella2[[#This Row],[Amplitute AXIAL stress  (MPa)]]*Tabella2[[#This Row],[Area (mm^2)]],"Null"), "")</f>
        <v>58279.4780901919</v>
      </c>
      <c r="AL23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3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3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23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23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3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137.12818374162799</v>
      </c>
    </row>
    <row r="24" spans="1:43" ht="20.100000000000001" customHeight="1" x14ac:dyDescent="0.25">
      <c r="A24" s="49" t="s">
        <v>65</v>
      </c>
      <c r="B24" s="49">
        <v>2007</v>
      </c>
      <c r="C24" s="49" t="s">
        <v>64</v>
      </c>
      <c r="D24" s="49" t="s">
        <v>93</v>
      </c>
      <c r="E24" s="50">
        <v>278724.392207517</v>
      </c>
      <c r="F24" s="49" t="s">
        <v>20</v>
      </c>
      <c r="G24" s="49" t="s">
        <v>69</v>
      </c>
      <c r="H24" s="49" t="e" vm="7">
        <v>#VALUE!</v>
      </c>
      <c r="I24" s="49" t="s">
        <v>70</v>
      </c>
      <c r="J24" s="49" t="s">
        <v>32</v>
      </c>
      <c r="K24" s="49">
        <v>25</v>
      </c>
      <c r="L24" s="49">
        <v>17</v>
      </c>
      <c r="M24" s="49">
        <v>0</v>
      </c>
      <c r="N24" s="49">
        <v>0</v>
      </c>
      <c r="O24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425</v>
      </c>
      <c r="P24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10235.416666666666</v>
      </c>
      <c r="Q24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24" s="49">
        <v>0</v>
      </c>
      <c r="S24" s="49">
        <v>0</v>
      </c>
      <c r="T24" s="49">
        <v>0</v>
      </c>
      <c r="U24" s="51" t="s">
        <v>21</v>
      </c>
      <c r="V24" s="51" t="s">
        <v>21</v>
      </c>
      <c r="W24" s="51" t="s">
        <v>21</v>
      </c>
      <c r="X24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4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4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4" s="53">
        <v>0</v>
      </c>
      <c r="AB24" s="53">
        <v>0</v>
      </c>
      <c r="AC24" s="54">
        <v>0</v>
      </c>
      <c r="AD24" s="54">
        <v>115.873173614956</v>
      </c>
      <c r="AE24" s="52" t="s">
        <v>60</v>
      </c>
      <c r="AF24" s="53">
        <v>0</v>
      </c>
      <c r="AG24" s="53">
        <v>0</v>
      </c>
      <c r="AH24" s="53">
        <f>IF(ISNUMBER(Tabella2[[#This Row],[Mean RADIAL stress  (MPa)]]), Tabella2[[#This Row],[Mean RADIAL stress  (MPa)]],"")</f>
        <v>0</v>
      </c>
      <c r="AI24" s="53">
        <f>IF(ISNUMBER(Tabella2[[#This Row],[Amplitute RADIAL stress  (MPa)]]), Tabella2[[#This Row],[Amplitute RADIAL stress  (MPa)]],"")</f>
        <v>0</v>
      </c>
      <c r="AJ24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4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49246.098786356299</v>
      </c>
      <c r="AL24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4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4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24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24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4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115.873173614956</v>
      </c>
    </row>
    <row r="25" spans="1:43" ht="20.100000000000001" customHeight="1" x14ac:dyDescent="0.25">
      <c r="A25" s="49" t="s">
        <v>65</v>
      </c>
      <c r="B25" s="49">
        <v>2007</v>
      </c>
      <c r="C25" s="49" t="s">
        <v>64</v>
      </c>
      <c r="D25" s="49" t="s">
        <v>94</v>
      </c>
      <c r="E25" s="50">
        <v>625160.63856413204</v>
      </c>
      <c r="F25" s="49" t="s">
        <v>20</v>
      </c>
      <c r="G25" s="49" t="s">
        <v>69</v>
      </c>
      <c r="H25" s="49" t="e" vm="6">
        <v>#VALUE!</v>
      </c>
      <c r="I25" s="49" t="s">
        <v>70</v>
      </c>
      <c r="J25" s="49" t="s">
        <v>32</v>
      </c>
      <c r="K25" s="49">
        <v>25</v>
      </c>
      <c r="L25" s="49">
        <v>17</v>
      </c>
      <c r="M25" s="49">
        <v>0</v>
      </c>
      <c r="N25" s="49">
        <v>0</v>
      </c>
      <c r="O25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425</v>
      </c>
      <c r="P25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10235.416666666666</v>
      </c>
      <c r="Q25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25" s="49">
        <v>0</v>
      </c>
      <c r="S25" s="49">
        <v>0</v>
      </c>
      <c r="T25" s="49">
        <v>0</v>
      </c>
      <c r="U25" s="51" t="s">
        <v>21</v>
      </c>
      <c r="V25" s="51" t="s">
        <v>21</v>
      </c>
      <c r="W25" s="51" t="s">
        <v>21</v>
      </c>
      <c r="X25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5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5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5" s="53">
        <v>0</v>
      </c>
      <c r="AB25" s="53">
        <v>0</v>
      </c>
      <c r="AC25" s="54">
        <v>0</v>
      </c>
      <c r="AD25" s="54">
        <v>101.643784791478</v>
      </c>
      <c r="AE25" s="52" t="s">
        <v>60</v>
      </c>
      <c r="AF25" s="53">
        <v>0</v>
      </c>
      <c r="AG25" s="53">
        <v>0</v>
      </c>
      <c r="AH25" s="53">
        <f>IF(ISNUMBER(Tabella2[[#This Row],[Mean RADIAL stress  (MPa)]]), Tabella2[[#This Row],[Mean RADIAL stress  (MPa)]],"")</f>
        <v>0</v>
      </c>
      <c r="AI25" s="53">
        <f>IF(ISNUMBER(Tabella2[[#This Row],[Amplitute RADIAL stress  (MPa)]]), Tabella2[[#This Row],[Amplitute RADIAL stress  (MPa)]],"")</f>
        <v>0</v>
      </c>
      <c r="AJ25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5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43198.608536378146</v>
      </c>
      <c r="AL25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5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5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25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25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5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101.643784791478</v>
      </c>
    </row>
    <row r="26" spans="1:43" ht="20.100000000000001" customHeight="1" x14ac:dyDescent="0.25">
      <c r="A26" s="49" t="s">
        <v>65</v>
      </c>
      <c r="B26" s="49">
        <v>2007</v>
      </c>
      <c r="C26" s="49" t="s">
        <v>64</v>
      </c>
      <c r="D26" s="49" t="s">
        <v>95</v>
      </c>
      <c r="E26" s="50">
        <v>689935.79743141797</v>
      </c>
      <c r="F26" s="49" t="s">
        <v>20</v>
      </c>
      <c r="G26" s="49" t="s">
        <v>69</v>
      </c>
      <c r="H26" s="49" t="e" vm="6">
        <v>#VALUE!</v>
      </c>
      <c r="I26" s="49" t="s">
        <v>70</v>
      </c>
      <c r="J26" s="49" t="s">
        <v>32</v>
      </c>
      <c r="K26" s="49">
        <v>25</v>
      </c>
      <c r="L26" s="49">
        <v>17</v>
      </c>
      <c r="M26" s="49">
        <v>0</v>
      </c>
      <c r="N26" s="49">
        <v>0</v>
      </c>
      <c r="O26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425</v>
      </c>
      <c r="P26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10235.416666666666</v>
      </c>
      <c r="Q26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26" s="49">
        <v>0</v>
      </c>
      <c r="S26" s="49">
        <v>0</v>
      </c>
      <c r="T26" s="49">
        <v>0</v>
      </c>
      <c r="U26" s="51" t="s">
        <v>21</v>
      </c>
      <c r="V26" s="51" t="s">
        <v>21</v>
      </c>
      <c r="W26" s="51" t="s">
        <v>21</v>
      </c>
      <c r="X26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6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6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6" s="53">
        <v>0</v>
      </c>
      <c r="AB26" s="53">
        <v>0</v>
      </c>
      <c r="AC26" s="54">
        <v>0</v>
      </c>
      <c r="AD26" s="54">
        <v>94.873946229147606</v>
      </c>
      <c r="AE26" s="52" t="s">
        <v>60</v>
      </c>
      <c r="AF26" s="53">
        <v>0</v>
      </c>
      <c r="AG26" s="53">
        <v>0</v>
      </c>
      <c r="AH26" s="53">
        <f>IF(ISNUMBER(Tabella2[[#This Row],[Mean RADIAL stress  (MPa)]]), Tabella2[[#This Row],[Mean RADIAL stress  (MPa)]],"")</f>
        <v>0</v>
      </c>
      <c r="AI26" s="53">
        <f>IF(ISNUMBER(Tabella2[[#This Row],[Amplitute RADIAL stress  (MPa)]]), Tabella2[[#This Row],[Amplitute RADIAL stress  (MPa)]],"")</f>
        <v>0</v>
      </c>
      <c r="AJ26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6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40321.427147387731</v>
      </c>
      <c r="AL26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6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6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26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26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6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94.873946229147606</v>
      </c>
    </row>
    <row r="27" spans="1:43" ht="20.100000000000001" customHeight="1" x14ac:dyDescent="0.25">
      <c r="A27" s="49" t="s">
        <v>65</v>
      </c>
      <c r="B27" s="49">
        <v>2007</v>
      </c>
      <c r="C27" s="49" t="s">
        <v>64</v>
      </c>
      <c r="D27" s="49" t="s">
        <v>96</v>
      </c>
      <c r="E27" s="50">
        <v>15851.027353085001</v>
      </c>
      <c r="F27" s="49" t="s">
        <v>20</v>
      </c>
      <c r="G27" s="49" t="s">
        <v>69</v>
      </c>
      <c r="H27" s="49" t="e" vm="8">
        <v>#VALUE!</v>
      </c>
      <c r="I27" s="49" t="s">
        <v>70</v>
      </c>
      <c r="J27" s="49" t="s">
        <v>32</v>
      </c>
      <c r="K27" s="49">
        <v>25</v>
      </c>
      <c r="L27" s="49">
        <v>21.5</v>
      </c>
      <c r="M27" s="49">
        <v>0</v>
      </c>
      <c r="N27" s="49">
        <v>0</v>
      </c>
      <c r="O27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537.5</v>
      </c>
      <c r="P27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20704.947916666668</v>
      </c>
      <c r="Q27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27" s="49">
        <v>0</v>
      </c>
      <c r="S27" s="49">
        <v>0</v>
      </c>
      <c r="T27" s="49">
        <v>0</v>
      </c>
      <c r="U27" s="51" t="s">
        <v>21</v>
      </c>
      <c r="V27" s="51" t="s">
        <v>21</v>
      </c>
      <c r="W27" s="51" t="s">
        <v>21</v>
      </c>
      <c r="X27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7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7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7" s="53">
        <v>0</v>
      </c>
      <c r="AB27" s="53">
        <v>0</v>
      </c>
      <c r="AC27" s="54">
        <v>0</v>
      </c>
      <c r="AD27" s="54">
        <v>237.79542975433799</v>
      </c>
      <c r="AE27" s="52" t="s">
        <v>60</v>
      </c>
      <c r="AF27" s="53">
        <v>0</v>
      </c>
      <c r="AG27" s="53">
        <v>0</v>
      </c>
      <c r="AH27" s="53">
        <f>IF(ISNUMBER(Tabella2[[#This Row],[Mean RADIAL stress  (MPa)]]), Tabella2[[#This Row],[Mean RADIAL stress  (MPa)]],"")</f>
        <v>0</v>
      </c>
      <c r="AI27" s="53">
        <f>IF(ISNUMBER(Tabella2[[#This Row],[Amplitute RADIAL stress  (MPa)]]), Tabella2[[#This Row],[Amplitute RADIAL stress  (MPa)]],"")</f>
        <v>0</v>
      </c>
      <c r="AJ27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7" s="53">
        <f>IF(ISNUMBER(Tabella2[[#This Row],[Amplitute AXIAL stress  (MPa)]]),    IF(Tabella2[[#This Row],[derived from (AXIAL/BENDING) load]]="AXIAL",Tabella2[[#This Row],[Amplitute AXIAL stress  (MPa)]]*Tabella2[[#This Row],[Area (mm^2)]],"Null"), "")</f>
        <v>127815.04349295667</v>
      </c>
      <c r="AL27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7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7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27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27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7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237.79542975433799</v>
      </c>
    </row>
    <row r="28" spans="1:43" ht="20.100000000000001" customHeight="1" x14ac:dyDescent="0.25">
      <c r="A28" s="49" t="s">
        <v>65</v>
      </c>
      <c r="B28" s="49">
        <v>2007</v>
      </c>
      <c r="C28" s="49" t="s">
        <v>64</v>
      </c>
      <c r="D28" s="49" t="s">
        <v>97</v>
      </c>
      <c r="E28" s="50">
        <v>16755.777610267902</v>
      </c>
      <c r="F28" s="49" t="s">
        <v>20</v>
      </c>
      <c r="G28" s="49" t="s">
        <v>69</v>
      </c>
      <c r="H28" s="49" t="e" vm="9">
        <v>#VALUE!</v>
      </c>
      <c r="I28" s="49" t="s">
        <v>70</v>
      </c>
      <c r="J28" s="49" t="s">
        <v>32</v>
      </c>
      <c r="K28" s="49">
        <v>25</v>
      </c>
      <c r="L28" s="49">
        <v>21.5</v>
      </c>
      <c r="M28" s="49">
        <v>0</v>
      </c>
      <c r="N28" s="49">
        <v>0</v>
      </c>
      <c r="O28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537.5</v>
      </c>
      <c r="P28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20704.947916666668</v>
      </c>
      <c r="Q28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28" s="49">
        <v>0</v>
      </c>
      <c r="S28" s="49">
        <v>0</v>
      </c>
      <c r="T28" s="49">
        <v>0</v>
      </c>
      <c r="U28" s="51" t="s">
        <v>21</v>
      </c>
      <c r="V28" s="51" t="s">
        <v>21</v>
      </c>
      <c r="W28" s="51" t="s">
        <v>21</v>
      </c>
      <c r="X28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8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8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8" s="53">
        <v>0</v>
      </c>
      <c r="AB28" s="53">
        <v>0</v>
      </c>
      <c r="AC28" s="54">
        <v>0</v>
      </c>
      <c r="AD28" s="54">
        <v>237.80741892357</v>
      </c>
      <c r="AE28" s="52" t="s">
        <v>60</v>
      </c>
      <c r="AF28" s="53">
        <v>0</v>
      </c>
      <c r="AG28" s="53">
        <v>0</v>
      </c>
      <c r="AH28" s="53">
        <f>IF(ISNUMBER(Tabella2[[#This Row],[Mean RADIAL stress  (MPa)]]), Tabella2[[#This Row],[Mean RADIAL stress  (MPa)]],"")</f>
        <v>0</v>
      </c>
      <c r="AI28" s="53">
        <f>IF(ISNUMBER(Tabella2[[#This Row],[Amplitute RADIAL stress  (MPa)]]), Tabella2[[#This Row],[Amplitute RADIAL stress  (MPa)]],"")</f>
        <v>0</v>
      </c>
      <c r="AJ28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8" s="53">
        <f>IF(ISNUMBER(Tabella2[[#This Row],[Amplitute AXIAL stress  (MPa)]]),    IF(Tabella2[[#This Row],[derived from (AXIAL/BENDING) load]]="AXIAL",Tabella2[[#This Row],[Amplitute AXIAL stress  (MPa)]]*Tabella2[[#This Row],[Area (mm^2)]],"Null"), "")</f>
        <v>127821.48767141887</v>
      </c>
      <c r="AL28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8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8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28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28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8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237.80741892357</v>
      </c>
    </row>
    <row r="29" spans="1:43" ht="20.100000000000001" customHeight="1" x14ac:dyDescent="0.25">
      <c r="A29" s="49" t="s">
        <v>65</v>
      </c>
      <c r="B29" s="49">
        <v>2007</v>
      </c>
      <c r="C29" s="49" t="s">
        <v>64</v>
      </c>
      <c r="D29" s="49" t="s">
        <v>98</v>
      </c>
      <c r="E29" s="50">
        <v>46634.728738186597</v>
      </c>
      <c r="F29" s="49" t="s">
        <v>20</v>
      </c>
      <c r="G29" s="49" t="s">
        <v>69</v>
      </c>
      <c r="H29" s="49" t="e" vm="9">
        <v>#VALUE!</v>
      </c>
      <c r="I29" s="49" t="s">
        <v>70</v>
      </c>
      <c r="J29" s="49" t="s">
        <v>32</v>
      </c>
      <c r="K29" s="49">
        <v>25</v>
      </c>
      <c r="L29" s="49">
        <v>21.5</v>
      </c>
      <c r="M29" s="49">
        <v>0</v>
      </c>
      <c r="N29" s="49">
        <v>0</v>
      </c>
      <c r="O29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537.5</v>
      </c>
      <c r="P29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20704.947916666668</v>
      </c>
      <c r="Q29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29" s="49">
        <v>0</v>
      </c>
      <c r="S29" s="49">
        <v>0</v>
      </c>
      <c r="T29" s="49">
        <v>0</v>
      </c>
      <c r="U29" s="51" t="s">
        <v>21</v>
      </c>
      <c r="V29" s="51" t="s">
        <v>21</v>
      </c>
      <c r="W29" s="51" t="s">
        <v>21</v>
      </c>
      <c r="X29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9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9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9" s="53">
        <v>0</v>
      </c>
      <c r="AB29" s="53">
        <v>0</v>
      </c>
      <c r="AC29" s="54">
        <v>0</v>
      </c>
      <c r="AD29" s="54">
        <v>200.93689251132599</v>
      </c>
      <c r="AE29" s="52" t="s">
        <v>60</v>
      </c>
      <c r="AF29" s="53">
        <v>0</v>
      </c>
      <c r="AG29" s="53">
        <v>0</v>
      </c>
      <c r="AH29" s="53">
        <f>IF(ISNUMBER(Tabella2[[#This Row],[Mean RADIAL stress  (MPa)]]), Tabella2[[#This Row],[Mean RADIAL stress  (MPa)]],"")</f>
        <v>0</v>
      </c>
      <c r="AI29" s="53">
        <f>IF(ISNUMBER(Tabella2[[#This Row],[Amplitute RADIAL stress  (MPa)]]), Tabella2[[#This Row],[Amplitute RADIAL stress  (MPa)]],"")</f>
        <v>0</v>
      </c>
      <c r="AJ29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9" s="53">
        <f>IF(ISNUMBER(Tabella2[[#This Row],[Amplitute AXIAL stress  (MPa)]]),    IF(Tabella2[[#This Row],[derived from (AXIAL/BENDING) load]]="AXIAL",Tabella2[[#This Row],[Amplitute AXIAL stress  (MPa)]]*Tabella2[[#This Row],[Area (mm^2)]],"Null"), "")</f>
        <v>108003.57972483772</v>
      </c>
      <c r="AL29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9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9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29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29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9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200.93689251132599</v>
      </c>
    </row>
    <row r="30" spans="1:43" ht="20.100000000000001" customHeight="1" x14ac:dyDescent="0.25">
      <c r="A30" s="49" t="s">
        <v>65</v>
      </c>
      <c r="B30" s="49">
        <v>2007</v>
      </c>
      <c r="C30" s="49" t="s">
        <v>64</v>
      </c>
      <c r="D30" s="49" t="s">
        <v>99</v>
      </c>
      <c r="E30" s="50">
        <v>70922.363030779699</v>
      </c>
      <c r="F30" s="49" t="s">
        <v>20</v>
      </c>
      <c r="G30" s="49" t="s">
        <v>69</v>
      </c>
      <c r="H30" s="49" t="e" vm="9">
        <v>#VALUE!</v>
      </c>
      <c r="I30" s="49" t="s">
        <v>70</v>
      </c>
      <c r="J30" s="49" t="s">
        <v>32</v>
      </c>
      <c r="K30" s="49">
        <v>25</v>
      </c>
      <c r="L30" s="49">
        <v>21.5</v>
      </c>
      <c r="M30" s="49">
        <v>0</v>
      </c>
      <c r="N30" s="49">
        <v>0</v>
      </c>
      <c r="O30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537.5</v>
      </c>
      <c r="P30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20704.947916666668</v>
      </c>
      <c r="Q30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0" s="49">
        <v>0</v>
      </c>
      <c r="S30" s="49">
        <v>0</v>
      </c>
      <c r="T30" s="49">
        <v>0</v>
      </c>
      <c r="U30" s="51" t="s">
        <v>21</v>
      </c>
      <c r="V30" s="51" t="s">
        <v>21</v>
      </c>
      <c r="W30" s="51" t="s">
        <v>21</v>
      </c>
      <c r="X30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0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0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0" s="53">
        <v>0</v>
      </c>
      <c r="AB30" s="53">
        <v>0</v>
      </c>
      <c r="AC30" s="54">
        <v>0</v>
      </c>
      <c r="AD30" s="54">
        <v>178.42427292509601</v>
      </c>
      <c r="AE30" s="52" t="s">
        <v>60</v>
      </c>
      <c r="AF30" s="53">
        <v>0</v>
      </c>
      <c r="AG30" s="53">
        <v>0</v>
      </c>
      <c r="AH30" s="53">
        <f>IF(ISNUMBER(Tabella2[[#This Row],[Mean RADIAL stress  (MPa)]]), Tabella2[[#This Row],[Mean RADIAL stress  (MPa)]],"")</f>
        <v>0</v>
      </c>
      <c r="AI30" s="53">
        <f>IF(ISNUMBER(Tabella2[[#This Row],[Amplitute RADIAL stress  (MPa)]]), Tabella2[[#This Row],[Amplitute RADIAL stress  (MPa)]],"")</f>
        <v>0</v>
      </c>
      <c r="AJ30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0" s="53">
        <f>IF(ISNUMBER(Tabella2[[#This Row],[Amplitute AXIAL stress  (MPa)]]),    IF(Tabella2[[#This Row],[derived from (AXIAL/BENDING) load]]="AXIAL",Tabella2[[#This Row],[Amplitute AXIAL stress  (MPa)]]*Tabella2[[#This Row],[Area (mm^2)]],"Null"), "")</f>
        <v>95903.0466972391</v>
      </c>
      <c r="AL30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0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0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30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30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0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178.42427292509601</v>
      </c>
    </row>
    <row r="31" spans="1:43" ht="20.100000000000001" customHeight="1" x14ac:dyDescent="0.25">
      <c r="A31" s="49" t="s">
        <v>65</v>
      </c>
      <c r="B31" s="49">
        <v>2007</v>
      </c>
      <c r="C31" s="49" t="s">
        <v>64</v>
      </c>
      <c r="D31" s="49" t="s">
        <v>100</v>
      </c>
      <c r="E31" s="50">
        <v>95946.626088289006</v>
      </c>
      <c r="F31" s="49" t="s">
        <v>20</v>
      </c>
      <c r="G31" s="49" t="s">
        <v>69</v>
      </c>
      <c r="H31" s="49" t="e" vm="9">
        <v>#VALUE!</v>
      </c>
      <c r="I31" s="49" t="s">
        <v>70</v>
      </c>
      <c r="J31" s="49" t="s">
        <v>32</v>
      </c>
      <c r="K31" s="49">
        <v>25</v>
      </c>
      <c r="L31" s="49">
        <v>21.5</v>
      </c>
      <c r="M31" s="49">
        <v>0</v>
      </c>
      <c r="N31" s="49">
        <v>0</v>
      </c>
      <c r="O31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537.5</v>
      </c>
      <c r="P31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20704.947916666668</v>
      </c>
      <c r="Q31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1" s="49">
        <v>0</v>
      </c>
      <c r="S31" s="49">
        <v>0</v>
      </c>
      <c r="T31" s="49">
        <v>0</v>
      </c>
      <c r="U31" s="51" t="s">
        <v>21</v>
      </c>
      <c r="V31" s="51" t="s">
        <v>21</v>
      </c>
      <c r="W31" s="51" t="s">
        <v>21</v>
      </c>
      <c r="X31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1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1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1" s="53">
        <v>0</v>
      </c>
      <c r="AB31" s="53">
        <v>0</v>
      </c>
      <c r="AC31" s="54">
        <v>0</v>
      </c>
      <c r="AD31" s="54">
        <v>177.35700515778501</v>
      </c>
      <c r="AE31" s="52" t="s">
        <v>60</v>
      </c>
      <c r="AF31" s="53">
        <v>0</v>
      </c>
      <c r="AG31" s="53">
        <v>0</v>
      </c>
      <c r="AH31" s="53">
        <f>IF(ISNUMBER(Tabella2[[#This Row],[Mean RADIAL stress  (MPa)]]), Tabella2[[#This Row],[Mean RADIAL stress  (MPa)]],"")</f>
        <v>0</v>
      </c>
      <c r="AI31" s="53">
        <f>IF(ISNUMBER(Tabella2[[#This Row],[Amplitute RADIAL stress  (MPa)]]), Tabella2[[#This Row],[Amplitute RADIAL stress  (MPa)]],"")</f>
        <v>0</v>
      </c>
      <c r="AJ31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1" s="53">
        <f>IF(ISNUMBER(Tabella2[[#This Row],[Amplitute AXIAL stress  (MPa)]]),    IF(Tabella2[[#This Row],[derived from (AXIAL/BENDING) load]]="AXIAL",Tabella2[[#This Row],[Amplitute AXIAL stress  (MPa)]]*Tabella2[[#This Row],[Area (mm^2)]],"Null"), "")</f>
        <v>95329.390272309436</v>
      </c>
      <c r="AL31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1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1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31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31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1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177.35700515778501</v>
      </c>
    </row>
    <row r="32" spans="1:43" ht="20.100000000000001" customHeight="1" x14ac:dyDescent="0.25">
      <c r="A32" s="49" t="s">
        <v>65</v>
      </c>
      <c r="B32" s="49">
        <v>2007</v>
      </c>
      <c r="C32" s="49" t="s">
        <v>64</v>
      </c>
      <c r="D32" s="49" t="s">
        <v>101</v>
      </c>
      <c r="E32" s="50">
        <v>307738.47177008103</v>
      </c>
      <c r="F32" s="49" t="s">
        <v>20</v>
      </c>
      <c r="G32" s="49" t="s">
        <v>69</v>
      </c>
      <c r="H32" s="49" t="e" vm="10">
        <v>#VALUE!</v>
      </c>
      <c r="I32" s="49" t="s">
        <v>70</v>
      </c>
      <c r="J32" s="49" t="s">
        <v>32</v>
      </c>
      <c r="K32" s="49">
        <v>25</v>
      </c>
      <c r="L32" s="49">
        <v>21.5</v>
      </c>
      <c r="M32" s="49">
        <v>0</v>
      </c>
      <c r="N32" s="49">
        <v>0</v>
      </c>
      <c r="O32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537.5</v>
      </c>
      <c r="P32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20704.947916666668</v>
      </c>
      <c r="Q32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2" s="49">
        <v>0</v>
      </c>
      <c r="S32" s="49">
        <v>0</v>
      </c>
      <c r="T32" s="49">
        <v>0</v>
      </c>
      <c r="U32" s="51" t="s">
        <v>21</v>
      </c>
      <c r="V32" s="51" t="s">
        <v>21</v>
      </c>
      <c r="W32" s="51" t="s">
        <v>21</v>
      </c>
      <c r="X32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2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2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2" s="53">
        <v>0</v>
      </c>
      <c r="AB32" s="53">
        <v>0</v>
      </c>
      <c r="AC32" s="54">
        <v>0</v>
      </c>
      <c r="AD32" s="54">
        <v>149.878240049879</v>
      </c>
      <c r="AE32" s="52" t="s">
        <v>60</v>
      </c>
      <c r="AF32" s="53">
        <v>0</v>
      </c>
      <c r="AG32" s="53">
        <v>0</v>
      </c>
      <c r="AH32" s="53">
        <f>IF(ISNUMBER(Tabella2[[#This Row],[Mean RADIAL stress  (MPa)]]), Tabella2[[#This Row],[Mean RADIAL stress  (MPa)]],"")</f>
        <v>0</v>
      </c>
      <c r="AI32" s="53">
        <f>IF(ISNUMBER(Tabella2[[#This Row],[Amplitute RADIAL stress  (MPa)]]), Tabella2[[#This Row],[Amplitute RADIAL stress  (MPa)]],"")</f>
        <v>0</v>
      </c>
      <c r="AJ32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2" s="53">
        <f>IF(ISNUMBER(Tabella2[[#This Row],[Amplitute AXIAL stress  (MPa)]]),    IF(Tabella2[[#This Row],[derived from (AXIAL/BENDING) load]]="AXIAL",Tabella2[[#This Row],[Amplitute AXIAL stress  (MPa)]]*Tabella2[[#This Row],[Area (mm^2)]],"Null"), "")</f>
        <v>80559.554026809958</v>
      </c>
      <c r="AL32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2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2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32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32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2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149.878240049879</v>
      </c>
    </row>
    <row r="33" spans="1:43" ht="20.100000000000001" customHeight="1" x14ac:dyDescent="0.25">
      <c r="A33" s="49" t="s">
        <v>65</v>
      </c>
      <c r="B33" s="49">
        <v>2007</v>
      </c>
      <c r="C33" s="49" t="s">
        <v>64</v>
      </c>
      <c r="D33" s="49" t="s">
        <v>102</v>
      </c>
      <c r="E33" s="50">
        <v>685981.76058232295</v>
      </c>
      <c r="F33" s="49" t="s">
        <v>20</v>
      </c>
      <c r="G33" s="49" t="s">
        <v>69</v>
      </c>
      <c r="H33" s="49" t="e" vm="9">
        <v>#VALUE!</v>
      </c>
      <c r="I33" s="49" t="s">
        <v>70</v>
      </c>
      <c r="J33" s="49" t="s">
        <v>32</v>
      </c>
      <c r="K33" s="49">
        <v>25</v>
      </c>
      <c r="L33" s="49">
        <v>21.5</v>
      </c>
      <c r="M33" s="49">
        <v>0</v>
      </c>
      <c r="N33" s="49">
        <v>0</v>
      </c>
      <c r="O33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537.5</v>
      </c>
      <c r="P33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20704.947916666668</v>
      </c>
      <c r="Q33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3" s="49">
        <v>0</v>
      </c>
      <c r="S33" s="49">
        <v>0</v>
      </c>
      <c r="T33" s="49">
        <v>0</v>
      </c>
      <c r="U33" s="51" t="s">
        <v>21</v>
      </c>
      <c r="V33" s="51" t="s">
        <v>21</v>
      </c>
      <c r="W33" s="51" t="s">
        <v>21</v>
      </c>
      <c r="X33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3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3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3" s="53">
        <v>0</v>
      </c>
      <c r="AB33" s="53">
        <v>0</v>
      </c>
      <c r="AC33" s="54">
        <v>0</v>
      </c>
      <c r="AD33" s="54">
        <v>129.83281698140601</v>
      </c>
      <c r="AE33" s="52" t="s">
        <v>60</v>
      </c>
      <c r="AF33" s="53">
        <v>0</v>
      </c>
      <c r="AG33" s="53">
        <v>0</v>
      </c>
      <c r="AH33" s="53">
        <f>IF(ISNUMBER(Tabella2[[#This Row],[Mean RADIAL stress  (MPa)]]), Tabella2[[#This Row],[Mean RADIAL stress  (MPa)]],"")</f>
        <v>0</v>
      </c>
      <c r="AI33" s="53">
        <f>IF(ISNUMBER(Tabella2[[#This Row],[Amplitute RADIAL stress  (MPa)]]), Tabella2[[#This Row],[Amplitute RADIAL stress  (MPa)]],"")</f>
        <v>0</v>
      </c>
      <c r="AJ33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3" s="53">
        <f>IF(ISNUMBER(Tabella2[[#This Row],[Amplitute AXIAL stress  (MPa)]]),    IF(Tabella2[[#This Row],[derived from (AXIAL/BENDING) load]]="AXIAL",Tabella2[[#This Row],[Amplitute AXIAL stress  (MPa)]]*Tabella2[[#This Row],[Area (mm^2)]],"Null"), "")</f>
        <v>69785.139127505725</v>
      </c>
      <c r="AL33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3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3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33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33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3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129.83281698140601</v>
      </c>
    </row>
    <row r="34" spans="1:43" ht="20.100000000000001" customHeight="1" x14ac:dyDescent="0.25">
      <c r="A34" s="49" t="s">
        <v>65</v>
      </c>
      <c r="B34" s="49">
        <v>2007</v>
      </c>
      <c r="C34" s="49" t="s">
        <v>64</v>
      </c>
      <c r="D34" s="49" t="s">
        <v>103</v>
      </c>
      <c r="E34" s="50">
        <v>945291.18633844005</v>
      </c>
      <c r="F34" s="49" t="s">
        <v>20</v>
      </c>
      <c r="G34" s="49" t="s">
        <v>69</v>
      </c>
      <c r="H34" s="49" t="e" vm="9">
        <v>#VALUE!</v>
      </c>
      <c r="I34" s="49" t="s">
        <v>70</v>
      </c>
      <c r="J34" s="49" t="s">
        <v>32</v>
      </c>
      <c r="K34" s="49">
        <v>25</v>
      </c>
      <c r="L34" s="49">
        <v>21.5</v>
      </c>
      <c r="M34" s="49">
        <v>0</v>
      </c>
      <c r="N34" s="49">
        <v>0</v>
      </c>
      <c r="O34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537.5</v>
      </c>
      <c r="P34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20704.947916666668</v>
      </c>
      <c r="Q34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4" s="49">
        <v>0</v>
      </c>
      <c r="S34" s="49">
        <v>0</v>
      </c>
      <c r="T34" s="49">
        <v>0</v>
      </c>
      <c r="U34" s="51" t="s">
        <v>21</v>
      </c>
      <c r="V34" s="51" t="s">
        <v>21</v>
      </c>
      <c r="W34" s="51" t="s">
        <v>21</v>
      </c>
      <c r="X34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4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4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4" s="53">
        <v>0</v>
      </c>
      <c r="AB34" s="53">
        <v>0</v>
      </c>
      <c r="AC34" s="54">
        <v>0</v>
      </c>
      <c r="AD34" s="54">
        <v>122.74047453617101</v>
      </c>
      <c r="AE34" s="52" t="s">
        <v>60</v>
      </c>
      <c r="AF34" s="53">
        <v>0</v>
      </c>
      <c r="AG34" s="53">
        <v>0</v>
      </c>
      <c r="AH34" s="53">
        <f>IF(ISNUMBER(Tabella2[[#This Row],[Mean RADIAL stress  (MPa)]]), Tabella2[[#This Row],[Mean RADIAL stress  (MPa)]],"")</f>
        <v>0</v>
      </c>
      <c r="AI34" s="53">
        <f>IF(ISNUMBER(Tabella2[[#This Row],[Amplitute RADIAL stress  (MPa)]]), Tabella2[[#This Row],[Amplitute RADIAL stress  (MPa)]],"")</f>
        <v>0</v>
      </c>
      <c r="AJ34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4" s="53">
        <f>IF(ISNUMBER(Tabella2[[#This Row],[Amplitute AXIAL stress  (MPa)]]),    IF(Tabella2[[#This Row],[derived from (AXIAL/BENDING) load]]="AXIAL",Tabella2[[#This Row],[Amplitute AXIAL stress  (MPa)]]*Tabella2[[#This Row],[Area (mm^2)]],"Null"), "")</f>
        <v>65973.005063191915</v>
      </c>
      <c r="AL34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4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4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34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34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4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122.74047453617101</v>
      </c>
    </row>
    <row r="35" spans="1:43" ht="20.100000000000001" customHeight="1" x14ac:dyDescent="0.25">
      <c r="A35" s="49" t="s">
        <v>65</v>
      </c>
      <c r="B35" s="49">
        <v>2007</v>
      </c>
      <c r="C35" s="49" t="s">
        <v>64</v>
      </c>
      <c r="D35" s="49" t="s">
        <v>104</v>
      </c>
      <c r="E35" s="50">
        <v>14461.735363481001</v>
      </c>
      <c r="F35" s="49" t="s">
        <v>20</v>
      </c>
      <c r="G35" s="49" t="s">
        <v>69</v>
      </c>
      <c r="H35" s="49" t="e" vm="11">
        <v>#VALUE!</v>
      </c>
      <c r="I35" s="49" t="s">
        <v>70</v>
      </c>
      <c r="J35" s="49" t="s">
        <v>32</v>
      </c>
      <c r="K35" s="49">
        <v>25</v>
      </c>
      <c r="L35" s="49">
        <v>20</v>
      </c>
      <c r="M35" s="49">
        <v>0</v>
      </c>
      <c r="N35" s="49">
        <v>0</v>
      </c>
      <c r="O35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500</v>
      </c>
      <c r="P35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16666.666666666668</v>
      </c>
      <c r="Q35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5" s="49">
        <v>0</v>
      </c>
      <c r="S35" s="49">
        <v>0</v>
      </c>
      <c r="T35" s="49">
        <v>0</v>
      </c>
      <c r="U35" s="51" t="s">
        <v>21</v>
      </c>
      <c r="V35" s="51" t="s">
        <v>21</v>
      </c>
      <c r="W35" s="51" t="s">
        <v>21</v>
      </c>
      <c r="X35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5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</v>
      </c>
      <c r="Z35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5" s="53">
        <v>0</v>
      </c>
      <c r="AB35" s="53">
        <v>0</v>
      </c>
      <c r="AC35" s="54">
        <v>144.24061204112022</v>
      </c>
      <c r="AD35" s="54">
        <v>118.01504621546199</v>
      </c>
      <c r="AE35" s="52" t="s">
        <v>60</v>
      </c>
      <c r="AF35" s="53">
        <v>0</v>
      </c>
      <c r="AG35" s="53">
        <v>0</v>
      </c>
      <c r="AH35" s="53">
        <f>IF(ISNUMBER(Tabella2[[#This Row],[Mean RADIAL stress  (MPa)]]), Tabella2[[#This Row],[Mean RADIAL stress  (MPa)]],"")</f>
        <v>0</v>
      </c>
      <c r="AI35" s="53">
        <f>IF(ISNUMBER(Tabella2[[#This Row],[Amplitute RADIAL stress  (MPa)]]), Tabella2[[#This Row],[Amplitute RADIAL stress  (MPa)]],"")</f>
        <v>0</v>
      </c>
      <c r="AJ35" s="53">
        <f>IF(ISNUMBER(Tabella2[[#This Row],[Mean AXIAL stress  (MPa)]]), IF(Tabella2[[#This Row],[derived from (AXIAL/BENDING) load]]="AXIAL",Tabella2[[#This Row],[Mean AXIAL stress  (MPa)]]*Tabella2[[#This Row],[Area (mm^2)]],"Null"), "")</f>
        <v>72120.306020560107</v>
      </c>
      <c r="AK35" s="53">
        <f>IF(ISNUMBER(Tabella2[[#This Row],[Amplitute AXIAL stress  (MPa)]]),    IF(Tabella2[[#This Row],[derived from (AXIAL/BENDING) load]]="AXIAL",Tabella2[[#This Row],[Amplitute AXIAL stress  (MPa)]]*Tabella2[[#This Row],[Area (mm^2)]],"Null"), "")</f>
        <v>59007.523107730995</v>
      </c>
      <c r="AL35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5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5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35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35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5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118.01504621546199</v>
      </c>
    </row>
    <row r="36" spans="1:43" ht="20.100000000000001" customHeight="1" x14ac:dyDescent="0.25">
      <c r="A36" s="49" t="s">
        <v>65</v>
      </c>
      <c r="B36" s="49">
        <v>2007</v>
      </c>
      <c r="C36" s="49" t="s">
        <v>64</v>
      </c>
      <c r="D36" s="49" t="s">
        <v>105</v>
      </c>
      <c r="E36" s="50">
        <v>55130.887385193702</v>
      </c>
      <c r="F36" s="49" t="s">
        <v>20</v>
      </c>
      <c r="G36" s="49" t="s">
        <v>69</v>
      </c>
      <c r="H36" s="49" t="e" vm="2">
        <v>#VALUE!</v>
      </c>
      <c r="I36" s="49" t="s">
        <v>70</v>
      </c>
      <c r="J36" s="49" t="s">
        <v>32</v>
      </c>
      <c r="K36" s="49">
        <v>25</v>
      </c>
      <c r="L36" s="49">
        <v>20</v>
      </c>
      <c r="M36" s="49">
        <v>0</v>
      </c>
      <c r="N36" s="49">
        <v>0</v>
      </c>
      <c r="O36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500</v>
      </c>
      <c r="P36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16666.666666666668</v>
      </c>
      <c r="Q36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6" s="49">
        <v>0</v>
      </c>
      <c r="S36" s="49">
        <v>0</v>
      </c>
      <c r="T36" s="49">
        <v>0</v>
      </c>
      <c r="U36" s="51" t="s">
        <v>21</v>
      </c>
      <c r="V36" s="51" t="s">
        <v>21</v>
      </c>
      <c r="W36" s="51" t="s">
        <v>21</v>
      </c>
      <c r="X36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6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0.10000000000000007</v>
      </c>
      <c r="Z36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6" s="53">
        <v>0</v>
      </c>
      <c r="AB36" s="53">
        <v>0</v>
      </c>
      <c r="AC36" s="54">
        <v>111.702464584596</v>
      </c>
      <c r="AD36" s="54">
        <v>91.392925569214896</v>
      </c>
      <c r="AE36" s="52" t="s">
        <v>60</v>
      </c>
      <c r="AF36" s="53">
        <v>0</v>
      </c>
      <c r="AG36" s="53">
        <v>0</v>
      </c>
      <c r="AH36" s="53">
        <f>IF(ISNUMBER(Tabella2[[#This Row],[Mean RADIAL stress  (MPa)]]), Tabella2[[#This Row],[Mean RADIAL stress  (MPa)]],"")</f>
        <v>0</v>
      </c>
      <c r="AI36" s="53">
        <f>IF(ISNUMBER(Tabella2[[#This Row],[Amplitute RADIAL stress  (MPa)]]), Tabella2[[#This Row],[Amplitute RADIAL stress  (MPa)]],"")</f>
        <v>0</v>
      </c>
      <c r="AJ36" s="53">
        <f>IF(ISNUMBER(Tabella2[[#This Row],[Mean AXIAL stress  (MPa)]]), IF(Tabella2[[#This Row],[derived from (AXIAL/BENDING) load]]="AXIAL",Tabella2[[#This Row],[Mean AXIAL stress  (MPa)]]*Tabella2[[#This Row],[Area (mm^2)]],"Null"), "")</f>
        <v>55851.232292298002</v>
      </c>
      <c r="AK36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45696.462784607451</v>
      </c>
      <c r="AL36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6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6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36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36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6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91.392925569214896</v>
      </c>
    </row>
    <row r="37" spans="1:43" ht="20.100000000000001" customHeight="1" x14ac:dyDescent="0.25">
      <c r="A37" s="49" t="s">
        <v>65</v>
      </c>
      <c r="B37" s="49">
        <v>2007</v>
      </c>
      <c r="C37" s="49" t="s">
        <v>64</v>
      </c>
      <c r="D37" s="49" t="s">
        <v>106</v>
      </c>
      <c r="E37" s="50">
        <v>61381.443974031099</v>
      </c>
      <c r="F37" s="49" t="s">
        <v>20</v>
      </c>
      <c r="G37" s="49" t="s">
        <v>69</v>
      </c>
      <c r="H37" s="49" t="e" vm="2">
        <v>#VALUE!</v>
      </c>
      <c r="I37" s="49" t="s">
        <v>70</v>
      </c>
      <c r="J37" s="49" t="s">
        <v>32</v>
      </c>
      <c r="K37" s="49">
        <v>25</v>
      </c>
      <c r="L37" s="49">
        <v>20</v>
      </c>
      <c r="M37" s="49">
        <v>0</v>
      </c>
      <c r="N37" s="49">
        <v>0</v>
      </c>
      <c r="O37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500</v>
      </c>
      <c r="P37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16666.666666666668</v>
      </c>
      <c r="Q37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7" s="49">
        <v>0</v>
      </c>
      <c r="S37" s="49">
        <v>0</v>
      </c>
      <c r="T37" s="49">
        <v>0</v>
      </c>
      <c r="U37" s="51" t="s">
        <v>21</v>
      </c>
      <c r="V37" s="51" t="s">
        <v>21</v>
      </c>
      <c r="W37" s="51" t="s">
        <v>21</v>
      </c>
      <c r="X37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7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9.9999999999999992E-2</v>
      </c>
      <c r="Z37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7" s="53">
        <v>0</v>
      </c>
      <c r="AB37" s="53">
        <v>0</v>
      </c>
      <c r="AC37" s="54">
        <v>113.36837814685386</v>
      </c>
      <c r="AD37" s="54">
        <v>92.755945756516795</v>
      </c>
      <c r="AE37" s="52" t="s">
        <v>60</v>
      </c>
      <c r="AF37" s="53">
        <v>0</v>
      </c>
      <c r="AG37" s="53">
        <v>0</v>
      </c>
      <c r="AH37" s="53">
        <f>IF(ISNUMBER(Tabella2[[#This Row],[Mean RADIAL stress  (MPa)]]), Tabella2[[#This Row],[Mean RADIAL stress  (MPa)]],"")</f>
        <v>0</v>
      </c>
      <c r="AI37" s="53">
        <f>IF(ISNUMBER(Tabella2[[#This Row],[Amplitute RADIAL stress  (MPa)]]), Tabella2[[#This Row],[Amplitute RADIAL stress  (MPa)]],"")</f>
        <v>0</v>
      </c>
      <c r="AJ37" s="53">
        <f>IF(ISNUMBER(Tabella2[[#This Row],[Mean AXIAL stress  (MPa)]]), IF(Tabella2[[#This Row],[derived from (AXIAL/BENDING) load]]="AXIAL",Tabella2[[#This Row],[Mean AXIAL stress  (MPa)]]*Tabella2[[#This Row],[Area (mm^2)]],"Null"), "")</f>
        <v>56684.189073426925</v>
      </c>
      <c r="AK37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46377.972878258399</v>
      </c>
      <c r="AL37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7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7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37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37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7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92.755945756516795</v>
      </c>
    </row>
    <row r="38" spans="1:43" ht="20.100000000000001" customHeight="1" x14ac:dyDescent="0.25">
      <c r="A38" s="49" t="s">
        <v>65</v>
      </c>
      <c r="B38" s="49">
        <v>2007</v>
      </c>
      <c r="C38" s="49" t="s">
        <v>64</v>
      </c>
      <c r="D38" s="49" t="s">
        <v>107</v>
      </c>
      <c r="E38" s="50">
        <v>104974.56134328499</v>
      </c>
      <c r="F38" s="49" t="s">
        <v>20</v>
      </c>
      <c r="G38" s="49" t="s">
        <v>69</v>
      </c>
      <c r="H38" s="49" t="e" vm="2">
        <v>#VALUE!</v>
      </c>
      <c r="I38" s="49" t="s">
        <v>70</v>
      </c>
      <c r="J38" s="49" t="s">
        <v>32</v>
      </c>
      <c r="K38" s="49">
        <v>25</v>
      </c>
      <c r="L38" s="49">
        <v>20</v>
      </c>
      <c r="M38" s="49">
        <v>0</v>
      </c>
      <c r="N38" s="49">
        <v>0</v>
      </c>
      <c r="O38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500</v>
      </c>
      <c r="P38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16666.666666666668</v>
      </c>
      <c r="Q38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8" s="49">
        <v>0</v>
      </c>
      <c r="S38" s="49">
        <v>0</v>
      </c>
      <c r="T38" s="49">
        <v>0</v>
      </c>
      <c r="U38" s="51" t="s">
        <v>21</v>
      </c>
      <c r="V38" s="51" t="s">
        <v>21</v>
      </c>
      <c r="W38" s="51" t="s">
        <v>21</v>
      </c>
      <c r="X38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8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0.10000000000000005</v>
      </c>
      <c r="Z38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8" s="53">
        <v>0</v>
      </c>
      <c r="AB38" s="53">
        <v>0</v>
      </c>
      <c r="AC38" s="54">
        <v>95.801981737770873</v>
      </c>
      <c r="AD38" s="54">
        <v>78.383439603630706</v>
      </c>
      <c r="AE38" s="52" t="s">
        <v>60</v>
      </c>
      <c r="AF38" s="53">
        <v>0</v>
      </c>
      <c r="AG38" s="53">
        <v>0</v>
      </c>
      <c r="AH38" s="53">
        <f>IF(ISNUMBER(Tabella2[[#This Row],[Mean RADIAL stress  (MPa)]]), Tabella2[[#This Row],[Mean RADIAL stress  (MPa)]],"")</f>
        <v>0</v>
      </c>
      <c r="AI38" s="53">
        <f>IF(ISNUMBER(Tabella2[[#This Row],[Amplitute RADIAL stress  (MPa)]]), Tabella2[[#This Row],[Amplitute RADIAL stress  (MPa)]],"")</f>
        <v>0</v>
      </c>
      <c r="AJ38" s="53">
        <f>IF(ISNUMBER(Tabella2[[#This Row],[Mean AXIAL stress  (MPa)]]), IF(Tabella2[[#This Row],[derived from (AXIAL/BENDING) load]]="AXIAL",Tabella2[[#This Row],[Mean AXIAL stress  (MPa)]]*Tabella2[[#This Row],[Area (mm^2)]],"Null"), "")</f>
        <v>47900.990868885434</v>
      </c>
      <c r="AK38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39191.71980181535</v>
      </c>
      <c r="AL38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8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8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38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38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8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78.383439603630706</v>
      </c>
    </row>
    <row r="39" spans="1:43" ht="20.100000000000001" customHeight="1" x14ac:dyDescent="0.25">
      <c r="A39" s="49" t="s">
        <v>65</v>
      </c>
      <c r="B39" s="49">
        <v>2007</v>
      </c>
      <c r="C39" s="49" t="s">
        <v>64</v>
      </c>
      <c r="D39" s="49" t="s">
        <v>108</v>
      </c>
      <c r="E39" s="50">
        <v>111960.128792911</v>
      </c>
      <c r="F39" s="49" t="s">
        <v>20</v>
      </c>
      <c r="G39" s="49" t="s">
        <v>69</v>
      </c>
      <c r="H39" s="49" t="e" vm="2">
        <v>#VALUE!</v>
      </c>
      <c r="I39" s="49" t="s">
        <v>70</v>
      </c>
      <c r="J39" s="49" t="s">
        <v>32</v>
      </c>
      <c r="K39" s="49">
        <v>25</v>
      </c>
      <c r="L39" s="49">
        <v>20</v>
      </c>
      <c r="M39" s="49">
        <v>0</v>
      </c>
      <c r="N39" s="49">
        <v>0</v>
      </c>
      <c r="O39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500</v>
      </c>
      <c r="P39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16666.666666666668</v>
      </c>
      <c r="Q39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39" s="49">
        <v>0</v>
      </c>
      <c r="S39" s="49">
        <v>0</v>
      </c>
      <c r="T39" s="49">
        <v>0</v>
      </c>
      <c r="U39" s="51" t="s">
        <v>21</v>
      </c>
      <c r="V39" s="51" t="s">
        <v>21</v>
      </c>
      <c r="W39" s="51" t="s">
        <v>21</v>
      </c>
      <c r="X39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9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0.10000000000000005</v>
      </c>
      <c r="Z39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9" s="53">
        <v>0</v>
      </c>
      <c r="AB39" s="53">
        <v>0</v>
      </c>
      <c r="AC39" s="54">
        <v>95.808544450964661</v>
      </c>
      <c r="AD39" s="54">
        <v>78.388809096243804</v>
      </c>
      <c r="AE39" s="52" t="s">
        <v>60</v>
      </c>
      <c r="AF39" s="53">
        <v>0</v>
      </c>
      <c r="AG39" s="53">
        <v>0</v>
      </c>
      <c r="AH39" s="53">
        <f>IF(ISNUMBER(Tabella2[[#This Row],[Mean RADIAL stress  (MPa)]]), Tabella2[[#This Row],[Mean RADIAL stress  (MPa)]],"")</f>
        <v>0</v>
      </c>
      <c r="AI39" s="53">
        <f>IF(ISNUMBER(Tabella2[[#This Row],[Amplitute RADIAL stress  (MPa)]]), Tabella2[[#This Row],[Amplitute RADIAL stress  (MPa)]],"")</f>
        <v>0</v>
      </c>
      <c r="AJ39" s="53">
        <f>IF(ISNUMBER(Tabella2[[#This Row],[Mean AXIAL stress  (MPa)]]), IF(Tabella2[[#This Row],[derived from (AXIAL/BENDING) load]]="AXIAL",Tabella2[[#This Row],[Mean AXIAL stress  (MPa)]]*Tabella2[[#This Row],[Area (mm^2)]],"Null"), "")</f>
        <v>47904.272225482331</v>
      </c>
      <c r="AK39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39194.4045481219</v>
      </c>
      <c r="AL39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9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9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39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39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9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78.388809096243804</v>
      </c>
    </row>
    <row r="40" spans="1:43" ht="20.100000000000001" customHeight="1" x14ac:dyDescent="0.25">
      <c r="A40" s="49" t="s">
        <v>65</v>
      </c>
      <c r="B40" s="49">
        <v>2007</v>
      </c>
      <c r="C40" s="49" t="s">
        <v>64</v>
      </c>
      <c r="D40" s="49" t="s">
        <v>109</v>
      </c>
      <c r="E40" s="50">
        <v>247743.83116326499</v>
      </c>
      <c r="F40" s="49" t="s">
        <v>20</v>
      </c>
      <c r="G40" s="49" t="s">
        <v>69</v>
      </c>
      <c r="H40" s="49" t="e" vm="2">
        <v>#VALUE!</v>
      </c>
      <c r="I40" s="49" t="s">
        <v>70</v>
      </c>
      <c r="J40" s="49" t="s">
        <v>32</v>
      </c>
      <c r="K40" s="49">
        <v>25</v>
      </c>
      <c r="L40" s="49">
        <v>20</v>
      </c>
      <c r="M40" s="49">
        <v>0</v>
      </c>
      <c r="N40" s="49">
        <v>0</v>
      </c>
      <c r="O40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500</v>
      </c>
      <c r="P40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16666.666666666668</v>
      </c>
      <c r="Q40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0" s="49">
        <v>0</v>
      </c>
      <c r="S40" s="49">
        <v>0</v>
      </c>
      <c r="T40" s="49">
        <v>0</v>
      </c>
      <c r="U40" s="51" t="s">
        <v>21</v>
      </c>
      <c r="V40" s="51" t="s">
        <v>21</v>
      </c>
      <c r="W40" s="51" t="s">
        <v>21</v>
      </c>
      <c r="X40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0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0.10000000000000002</v>
      </c>
      <c r="Z40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0" s="53">
        <v>0</v>
      </c>
      <c r="AB40" s="53">
        <v>0</v>
      </c>
      <c r="AC40" s="54">
        <v>78.065080072274782</v>
      </c>
      <c r="AD40" s="54">
        <v>63.871429150042999</v>
      </c>
      <c r="AE40" s="52" t="s">
        <v>60</v>
      </c>
      <c r="AF40" s="53">
        <v>0</v>
      </c>
      <c r="AG40" s="53">
        <v>0</v>
      </c>
      <c r="AH40" s="53">
        <f>IF(ISNUMBER(Tabella2[[#This Row],[Mean RADIAL stress  (MPa)]]), Tabella2[[#This Row],[Mean RADIAL stress  (MPa)]],"")</f>
        <v>0</v>
      </c>
      <c r="AI40" s="53">
        <f>IF(ISNUMBER(Tabella2[[#This Row],[Amplitute RADIAL stress  (MPa)]]), Tabella2[[#This Row],[Amplitute RADIAL stress  (MPa)]],"")</f>
        <v>0</v>
      </c>
      <c r="AJ40" s="53">
        <f>IF(ISNUMBER(Tabella2[[#This Row],[Mean AXIAL stress  (MPa)]]), IF(Tabella2[[#This Row],[derived from (AXIAL/BENDING) load]]="AXIAL",Tabella2[[#This Row],[Mean AXIAL stress  (MPa)]]*Tabella2[[#This Row],[Area (mm^2)]],"Null"), "")</f>
        <v>39032.54003613739</v>
      </c>
      <c r="AK40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31935.714575021499</v>
      </c>
      <c r="AL40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0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0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40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40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0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63.871429150042999</v>
      </c>
    </row>
    <row r="41" spans="1:43" ht="20.100000000000001" customHeight="1" x14ac:dyDescent="0.25">
      <c r="A41" s="49" t="s">
        <v>65</v>
      </c>
      <c r="B41" s="49">
        <v>2007</v>
      </c>
      <c r="C41" s="49" t="s">
        <v>64</v>
      </c>
      <c r="D41" s="49" t="s">
        <v>110</v>
      </c>
      <c r="E41" s="50">
        <v>730011.25183729699</v>
      </c>
      <c r="F41" s="49" t="s">
        <v>20</v>
      </c>
      <c r="G41" s="49" t="s">
        <v>69</v>
      </c>
      <c r="H41" s="49" t="e" vm="2">
        <v>#VALUE!</v>
      </c>
      <c r="I41" s="49" t="s">
        <v>70</v>
      </c>
      <c r="J41" s="49" t="s">
        <v>32</v>
      </c>
      <c r="K41" s="49">
        <v>25</v>
      </c>
      <c r="L41" s="49">
        <v>20</v>
      </c>
      <c r="M41" s="49">
        <v>0</v>
      </c>
      <c r="N41" s="49">
        <v>0</v>
      </c>
      <c r="O41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500</v>
      </c>
      <c r="P41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16666.666666666668</v>
      </c>
      <c r="Q41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1" s="49">
        <v>0</v>
      </c>
      <c r="S41" s="49">
        <v>0</v>
      </c>
      <c r="T41" s="49">
        <v>0</v>
      </c>
      <c r="U41" s="51" t="s">
        <v>21</v>
      </c>
      <c r="V41" s="51" t="s">
        <v>21</v>
      </c>
      <c r="W41" s="51" t="s">
        <v>21</v>
      </c>
      <c r="X41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1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0.10000000000000003</v>
      </c>
      <c r="Z41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1" s="53">
        <v>0</v>
      </c>
      <c r="AB41" s="53">
        <v>0</v>
      </c>
      <c r="AC41" s="54">
        <v>66.983861752983884</v>
      </c>
      <c r="AD41" s="54">
        <v>54.804977797895901</v>
      </c>
      <c r="AE41" s="52" t="s">
        <v>60</v>
      </c>
      <c r="AF41" s="53">
        <v>0</v>
      </c>
      <c r="AG41" s="53">
        <v>0</v>
      </c>
      <c r="AH41" s="53">
        <f>IF(ISNUMBER(Tabella2[[#This Row],[Mean RADIAL stress  (MPa)]]), Tabella2[[#This Row],[Mean RADIAL stress  (MPa)]],"")</f>
        <v>0</v>
      </c>
      <c r="AI41" s="53">
        <f>IF(ISNUMBER(Tabella2[[#This Row],[Amplitute RADIAL stress  (MPa)]]), Tabella2[[#This Row],[Amplitute RADIAL stress  (MPa)]],"")</f>
        <v>0</v>
      </c>
      <c r="AJ41" s="53">
        <f>IF(ISNUMBER(Tabella2[[#This Row],[Mean AXIAL stress  (MPa)]]), IF(Tabella2[[#This Row],[derived from (AXIAL/BENDING) load]]="AXIAL",Tabella2[[#This Row],[Mean AXIAL stress  (MPa)]]*Tabella2[[#This Row],[Area (mm^2)]],"Null"), "")</f>
        <v>33491.930876491941</v>
      </c>
      <c r="AK41" s="53">
        <f>IF(ISNUMBER(Tabella2[[#This Row],[Amplitute AXIAL stress  (MPa)]]),    IF(Tabella2[[#This Row],[derived from (AXIAL/BENDING) load]]="AXIAL",Tabella2[[#This Row],[Amplitute AXIAL stress  (MPa)]]*Tabella2[[#This Row],[Area (mm^2)]],"Null"), "")</f>
        <v>27402.488898947951</v>
      </c>
      <c r="AL41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1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1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41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41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1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54.804977797895901</v>
      </c>
    </row>
    <row r="42" spans="1:43" ht="20.100000000000001" customHeight="1" x14ac:dyDescent="0.25">
      <c r="A42" s="49" t="s">
        <v>65</v>
      </c>
      <c r="B42" s="49">
        <v>2007</v>
      </c>
      <c r="C42" s="49" t="s">
        <v>64</v>
      </c>
      <c r="D42" s="49" t="s">
        <v>111</v>
      </c>
      <c r="E42" s="50">
        <v>13084.5079347346</v>
      </c>
      <c r="F42" s="49" t="s">
        <v>20</v>
      </c>
      <c r="G42" s="49" t="s">
        <v>69</v>
      </c>
      <c r="H42" s="49" t="e" vm="12">
        <v>#VALUE!</v>
      </c>
      <c r="I42" s="49" t="s">
        <v>70</v>
      </c>
      <c r="J42" s="49" t="s">
        <v>32</v>
      </c>
      <c r="K42" s="49">
        <v>25</v>
      </c>
      <c r="L42" s="49">
        <v>21</v>
      </c>
      <c r="M42" s="49">
        <v>0</v>
      </c>
      <c r="N42" s="49">
        <v>0</v>
      </c>
      <c r="O42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525</v>
      </c>
      <c r="P42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19293.75</v>
      </c>
      <c r="Q42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2" s="49">
        <v>0</v>
      </c>
      <c r="S42" s="49">
        <v>0</v>
      </c>
      <c r="T42" s="49">
        <v>0</v>
      </c>
      <c r="U42" s="51" t="s">
        <v>21</v>
      </c>
      <c r="V42" s="51" t="s">
        <v>21</v>
      </c>
      <c r="W42" s="51" t="s">
        <v>21</v>
      </c>
      <c r="X42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2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0.10000000000000002</v>
      </c>
      <c r="Z42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2" s="53">
        <v>0</v>
      </c>
      <c r="AB42" s="53">
        <v>0</v>
      </c>
      <c r="AC42" s="54">
        <v>158.88182742828491</v>
      </c>
      <c r="AD42" s="54">
        <v>129.99422244132401</v>
      </c>
      <c r="AE42" s="52" t="s">
        <v>60</v>
      </c>
      <c r="AF42" s="53">
        <v>0</v>
      </c>
      <c r="AG42" s="53">
        <v>0</v>
      </c>
      <c r="AH42" s="53">
        <f>IF(ISNUMBER(Tabella2[[#This Row],[Mean RADIAL stress  (MPa)]]), Tabella2[[#This Row],[Mean RADIAL stress  (MPa)]],"")</f>
        <v>0</v>
      </c>
      <c r="AI42" s="53">
        <f>IF(ISNUMBER(Tabella2[[#This Row],[Amplitute RADIAL stress  (MPa)]]), Tabella2[[#This Row],[Amplitute RADIAL stress  (MPa)]],"")</f>
        <v>0</v>
      </c>
      <c r="AJ42" s="53">
        <f>IF(ISNUMBER(Tabella2[[#This Row],[Mean AXIAL stress  (MPa)]]), IF(Tabella2[[#This Row],[derived from (AXIAL/BENDING) load]]="AXIAL",Tabella2[[#This Row],[Mean AXIAL stress  (MPa)]]*Tabella2[[#This Row],[Area (mm^2)]],"Null"), "")</f>
        <v>83412.959399849569</v>
      </c>
      <c r="AK42" s="53">
        <f>IF(ISNUMBER(Tabella2[[#This Row],[Amplitute AXIAL stress  (MPa)]]),    IF(Tabella2[[#This Row],[derived from (AXIAL/BENDING) load]]="AXIAL",Tabella2[[#This Row],[Amplitute AXIAL stress  (MPa)]]*Tabella2[[#This Row],[Area (mm^2)]],"Null"), "")</f>
        <v>68246.966781695111</v>
      </c>
      <c r="AL42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2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2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42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42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2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129.99422244132401</v>
      </c>
    </row>
    <row r="43" spans="1:43" ht="20.100000000000001" customHeight="1" x14ac:dyDescent="0.25">
      <c r="A43" s="49" t="s">
        <v>65</v>
      </c>
      <c r="B43" s="49">
        <v>2007</v>
      </c>
      <c r="C43" s="49" t="s">
        <v>64</v>
      </c>
      <c r="D43" s="49" t="s">
        <v>112</v>
      </c>
      <c r="E43" s="50">
        <v>15426.061788164699</v>
      </c>
      <c r="F43" s="49" t="s">
        <v>20</v>
      </c>
      <c r="G43" s="49" t="s">
        <v>69</v>
      </c>
      <c r="H43" s="49" t="e" vm="4">
        <v>#VALUE!</v>
      </c>
      <c r="I43" s="49" t="s">
        <v>70</v>
      </c>
      <c r="J43" s="49" t="s">
        <v>32</v>
      </c>
      <c r="K43" s="49">
        <v>25</v>
      </c>
      <c r="L43" s="49">
        <v>21</v>
      </c>
      <c r="M43" s="49">
        <v>0</v>
      </c>
      <c r="N43" s="49">
        <v>0</v>
      </c>
      <c r="O43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525</v>
      </c>
      <c r="P43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19293.75</v>
      </c>
      <c r="Q43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3" s="49">
        <v>0</v>
      </c>
      <c r="S43" s="49">
        <v>0</v>
      </c>
      <c r="T43" s="49">
        <v>0</v>
      </c>
      <c r="U43" s="51" t="s">
        <v>21</v>
      </c>
      <c r="V43" s="51" t="s">
        <v>21</v>
      </c>
      <c r="W43" s="51" t="s">
        <v>21</v>
      </c>
      <c r="X43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3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0.10000000000000002</v>
      </c>
      <c r="Z43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3" s="53">
        <v>0</v>
      </c>
      <c r="AB43" s="53">
        <v>0</v>
      </c>
      <c r="AC43" s="54">
        <v>157.72831702751446</v>
      </c>
      <c r="AD43" s="54">
        <v>129.05044120433001</v>
      </c>
      <c r="AE43" s="52" t="s">
        <v>60</v>
      </c>
      <c r="AF43" s="53">
        <v>0</v>
      </c>
      <c r="AG43" s="53">
        <v>0</v>
      </c>
      <c r="AH43" s="53">
        <f>IF(ISNUMBER(Tabella2[[#This Row],[Mean RADIAL stress  (MPa)]]), Tabella2[[#This Row],[Mean RADIAL stress  (MPa)]],"")</f>
        <v>0</v>
      </c>
      <c r="AI43" s="53">
        <f>IF(ISNUMBER(Tabella2[[#This Row],[Amplitute RADIAL stress  (MPa)]]), Tabella2[[#This Row],[Amplitute RADIAL stress  (MPa)]],"")</f>
        <v>0</v>
      </c>
      <c r="AJ43" s="53">
        <f>IF(ISNUMBER(Tabella2[[#This Row],[Mean AXIAL stress  (MPa)]]), IF(Tabella2[[#This Row],[derived from (AXIAL/BENDING) load]]="AXIAL",Tabella2[[#This Row],[Mean AXIAL stress  (MPa)]]*Tabella2[[#This Row],[Area (mm^2)]],"Null"), "")</f>
        <v>82807.36643944509</v>
      </c>
      <c r="AK43" s="53">
        <f>IF(ISNUMBER(Tabella2[[#This Row],[Amplitute AXIAL stress  (MPa)]]),    IF(Tabella2[[#This Row],[derived from (AXIAL/BENDING) load]]="AXIAL",Tabella2[[#This Row],[Amplitute AXIAL stress  (MPa)]]*Tabella2[[#This Row],[Area (mm^2)]],"Null"), "")</f>
        <v>67751.481632273251</v>
      </c>
      <c r="AL43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3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3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43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43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3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129.05044120433001</v>
      </c>
    </row>
    <row r="44" spans="1:43" ht="20.100000000000001" customHeight="1" x14ac:dyDescent="0.25">
      <c r="A44" s="49" t="s">
        <v>65</v>
      </c>
      <c r="B44" s="49">
        <v>2007</v>
      </c>
      <c r="C44" s="49" t="s">
        <v>64</v>
      </c>
      <c r="D44" s="49" t="s">
        <v>113</v>
      </c>
      <c r="E44" s="50">
        <v>35883.738637412403</v>
      </c>
      <c r="F44" s="49" t="s">
        <v>20</v>
      </c>
      <c r="G44" s="49" t="s">
        <v>69</v>
      </c>
      <c r="H44" s="49" t="e" vm="4">
        <v>#VALUE!</v>
      </c>
      <c r="I44" s="49" t="s">
        <v>70</v>
      </c>
      <c r="J44" s="49" t="s">
        <v>32</v>
      </c>
      <c r="K44" s="49">
        <v>25</v>
      </c>
      <c r="L44" s="49">
        <v>21</v>
      </c>
      <c r="M44" s="49">
        <v>0</v>
      </c>
      <c r="N44" s="49">
        <v>0</v>
      </c>
      <c r="O44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525</v>
      </c>
      <c r="P44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19293.75</v>
      </c>
      <c r="Q44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4" s="49">
        <v>0</v>
      </c>
      <c r="S44" s="49">
        <v>0</v>
      </c>
      <c r="T44" s="49">
        <v>0</v>
      </c>
      <c r="U44" s="51" t="s">
        <v>21</v>
      </c>
      <c r="V44" s="51" t="s">
        <v>21</v>
      </c>
      <c r="W44" s="51" t="s">
        <v>21</v>
      </c>
      <c r="X44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4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0.10000000000000003</v>
      </c>
      <c r="Z44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4" s="53">
        <v>0</v>
      </c>
      <c r="AB44" s="53">
        <v>0</v>
      </c>
      <c r="AC44" s="54">
        <v>117.84940410885034</v>
      </c>
      <c r="AD44" s="54">
        <v>96.422239725422997</v>
      </c>
      <c r="AE44" s="52" t="s">
        <v>60</v>
      </c>
      <c r="AF44" s="53">
        <v>0</v>
      </c>
      <c r="AG44" s="53">
        <v>0</v>
      </c>
      <c r="AH44" s="53">
        <f>IF(ISNUMBER(Tabella2[[#This Row],[Mean RADIAL stress  (MPa)]]), Tabella2[[#This Row],[Mean RADIAL stress  (MPa)]],"")</f>
        <v>0</v>
      </c>
      <c r="AI44" s="53">
        <f>IF(ISNUMBER(Tabella2[[#This Row],[Amplitute RADIAL stress  (MPa)]]), Tabella2[[#This Row],[Amplitute RADIAL stress  (MPa)]],"")</f>
        <v>0</v>
      </c>
      <c r="AJ44" s="53">
        <f>IF(ISNUMBER(Tabella2[[#This Row],[Mean AXIAL stress  (MPa)]]), IF(Tabella2[[#This Row],[derived from (AXIAL/BENDING) load]]="AXIAL",Tabella2[[#This Row],[Mean AXIAL stress  (MPa)]]*Tabella2[[#This Row],[Area (mm^2)]],"Null"), "")</f>
        <v>61870.937157146429</v>
      </c>
      <c r="AK44" s="53">
        <f>IF(ISNUMBER(Tabella2[[#This Row],[Amplitute AXIAL stress  (MPa)]]),    IF(Tabella2[[#This Row],[derived from (AXIAL/BENDING) load]]="AXIAL",Tabella2[[#This Row],[Amplitute AXIAL stress  (MPa)]]*Tabella2[[#This Row],[Area (mm^2)]],"Null"), "")</f>
        <v>50621.675855847076</v>
      </c>
      <c r="AL44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4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4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44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44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4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96.422239725422997</v>
      </c>
    </row>
    <row r="45" spans="1:43" ht="20.100000000000001" customHeight="1" x14ac:dyDescent="0.25">
      <c r="A45" s="49" t="s">
        <v>65</v>
      </c>
      <c r="B45" s="49">
        <v>2007</v>
      </c>
      <c r="C45" s="49" t="s">
        <v>64</v>
      </c>
      <c r="D45" s="49" t="s">
        <v>114</v>
      </c>
      <c r="E45" s="50">
        <v>38272.496975424001</v>
      </c>
      <c r="F45" s="49" t="s">
        <v>20</v>
      </c>
      <c r="G45" s="49" t="s">
        <v>69</v>
      </c>
      <c r="H45" s="49" t="e" vm="4">
        <v>#VALUE!</v>
      </c>
      <c r="I45" s="49" t="s">
        <v>70</v>
      </c>
      <c r="J45" s="49" t="s">
        <v>32</v>
      </c>
      <c r="K45" s="49">
        <v>25</v>
      </c>
      <c r="L45" s="49">
        <v>21</v>
      </c>
      <c r="M45" s="49">
        <v>0</v>
      </c>
      <c r="N45" s="49">
        <v>0</v>
      </c>
      <c r="O45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525</v>
      </c>
      <c r="P45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19293.75</v>
      </c>
      <c r="Q45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5" s="49">
        <v>0</v>
      </c>
      <c r="S45" s="49">
        <v>0</v>
      </c>
      <c r="T45" s="49">
        <v>0</v>
      </c>
      <c r="U45" s="51" t="s">
        <v>21</v>
      </c>
      <c r="V45" s="51" t="s">
        <v>21</v>
      </c>
      <c r="W45" s="51" t="s">
        <v>21</v>
      </c>
      <c r="X45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5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9.9999999999999992E-2</v>
      </c>
      <c r="Z45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5" s="53">
        <v>0</v>
      </c>
      <c r="AB45" s="53">
        <v>0</v>
      </c>
      <c r="AC45" s="54">
        <v>119.57943713078073</v>
      </c>
      <c r="AD45" s="54">
        <v>97.837721288820603</v>
      </c>
      <c r="AE45" s="52" t="s">
        <v>60</v>
      </c>
      <c r="AF45" s="53">
        <v>0</v>
      </c>
      <c r="AG45" s="53">
        <v>0</v>
      </c>
      <c r="AH45" s="53">
        <f>IF(ISNUMBER(Tabella2[[#This Row],[Mean RADIAL stress  (MPa)]]), Tabella2[[#This Row],[Mean RADIAL stress  (MPa)]],"")</f>
        <v>0</v>
      </c>
      <c r="AI45" s="53">
        <f>IF(ISNUMBER(Tabella2[[#This Row],[Amplitute RADIAL stress  (MPa)]]), Tabella2[[#This Row],[Amplitute RADIAL stress  (MPa)]],"")</f>
        <v>0</v>
      </c>
      <c r="AJ45" s="53">
        <f>IF(ISNUMBER(Tabella2[[#This Row],[Mean AXIAL stress  (MPa)]]), IF(Tabella2[[#This Row],[derived from (AXIAL/BENDING) load]]="AXIAL",Tabella2[[#This Row],[Mean AXIAL stress  (MPa)]]*Tabella2[[#This Row],[Area (mm^2)]],"Null"), "")</f>
        <v>62779.204493659883</v>
      </c>
      <c r="AK45" s="53">
        <f>IF(ISNUMBER(Tabella2[[#This Row],[Amplitute AXIAL stress  (MPa)]]),    IF(Tabella2[[#This Row],[derived from (AXIAL/BENDING) load]]="AXIAL",Tabella2[[#This Row],[Amplitute AXIAL stress  (MPa)]]*Tabella2[[#This Row],[Area (mm^2)]],"Null"), "")</f>
        <v>51364.803676630814</v>
      </c>
      <c r="AL45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5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5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45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45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5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97.837721288820603</v>
      </c>
    </row>
    <row r="46" spans="1:43" ht="20.100000000000001" customHeight="1" x14ac:dyDescent="0.25">
      <c r="A46" s="49" t="s">
        <v>65</v>
      </c>
      <c r="B46" s="49">
        <v>2007</v>
      </c>
      <c r="C46" s="49" t="s">
        <v>64</v>
      </c>
      <c r="D46" s="49" t="s">
        <v>115</v>
      </c>
      <c r="E46" s="50">
        <v>40815.650269324797</v>
      </c>
      <c r="F46" s="49" t="s">
        <v>20</v>
      </c>
      <c r="G46" s="49" t="s">
        <v>69</v>
      </c>
      <c r="H46" s="49" t="e" vm="4">
        <v>#VALUE!</v>
      </c>
      <c r="I46" s="49" t="s">
        <v>70</v>
      </c>
      <c r="J46" s="49" t="s">
        <v>32</v>
      </c>
      <c r="K46" s="49">
        <v>25</v>
      </c>
      <c r="L46" s="49">
        <v>21</v>
      </c>
      <c r="M46" s="49">
        <v>0</v>
      </c>
      <c r="N46" s="49">
        <v>0</v>
      </c>
      <c r="O46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525</v>
      </c>
      <c r="P46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19293.75</v>
      </c>
      <c r="Q46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6" s="49">
        <v>0</v>
      </c>
      <c r="S46" s="49">
        <v>0</v>
      </c>
      <c r="T46" s="49">
        <v>0</v>
      </c>
      <c r="U46" s="51" t="s">
        <v>21</v>
      </c>
      <c r="V46" s="51" t="s">
        <v>21</v>
      </c>
      <c r="W46" s="51" t="s">
        <v>21</v>
      </c>
      <c r="X46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6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9.9999999999999992E-2</v>
      </c>
      <c r="Z46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6" s="53">
        <v>0</v>
      </c>
      <c r="AB46" s="53">
        <v>0</v>
      </c>
      <c r="AC46" s="54">
        <v>112.80803884676394</v>
      </c>
      <c r="AD46" s="54">
        <v>92.297486329170496</v>
      </c>
      <c r="AE46" s="52" t="s">
        <v>60</v>
      </c>
      <c r="AF46" s="53">
        <v>0</v>
      </c>
      <c r="AG46" s="53">
        <v>0</v>
      </c>
      <c r="AH46" s="53">
        <f>IF(ISNUMBER(Tabella2[[#This Row],[Mean RADIAL stress  (MPa)]]), Tabella2[[#This Row],[Mean RADIAL stress  (MPa)]],"")</f>
        <v>0</v>
      </c>
      <c r="AI46" s="53">
        <f>IF(ISNUMBER(Tabella2[[#This Row],[Amplitute RADIAL stress  (MPa)]]), Tabella2[[#This Row],[Amplitute RADIAL stress  (MPa)]],"")</f>
        <v>0</v>
      </c>
      <c r="AJ46" s="53">
        <f>IF(ISNUMBER(Tabella2[[#This Row],[Mean AXIAL stress  (MPa)]]), IF(Tabella2[[#This Row],[derived from (AXIAL/BENDING) load]]="AXIAL",Tabella2[[#This Row],[Mean AXIAL stress  (MPa)]]*Tabella2[[#This Row],[Area (mm^2)]],"Null"), "")</f>
        <v>59224.220394551063</v>
      </c>
      <c r="AK46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48456.180322814507</v>
      </c>
      <c r="AL46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6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6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46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46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6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92.297486329170496</v>
      </c>
    </row>
    <row r="47" spans="1:43" ht="20.100000000000001" customHeight="1" x14ac:dyDescent="0.25">
      <c r="A47" s="49" t="s">
        <v>65</v>
      </c>
      <c r="B47" s="49">
        <v>2007</v>
      </c>
      <c r="C47" s="49" t="s">
        <v>64</v>
      </c>
      <c r="D47" s="49" t="s">
        <v>116</v>
      </c>
      <c r="E47" s="50">
        <v>43531.736792908698</v>
      </c>
      <c r="F47" s="49" t="s">
        <v>20</v>
      </c>
      <c r="G47" s="49" t="s">
        <v>69</v>
      </c>
      <c r="H47" s="49" t="e" vm="4">
        <v>#VALUE!</v>
      </c>
      <c r="I47" s="49" t="s">
        <v>70</v>
      </c>
      <c r="J47" s="49" t="s">
        <v>32</v>
      </c>
      <c r="K47" s="49">
        <v>25</v>
      </c>
      <c r="L47" s="49">
        <v>21</v>
      </c>
      <c r="M47" s="49">
        <v>0</v>
      </c>
      <c r="N47" s="49">
        <v>0</v>
      </c>
      <c r="O47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525</v>
      </c>
      <c r="P47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19293.75</v>
      </c>
      <c r="Q47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7" s="49">
        <v>0</v>
      </c>
      <c r="S47" s="49">
        <v>0</v>
      </c>
      <c r="T47" s="49">
        <v>0</v>
      </c>
      <c r="U47" s="51" t="s">
        <v>21</v>
      </c>
      <c r="V47" s="51" t="s">
        <v>21</v>
      </c>
      <c r="W47" s="51" t="s">
        <v>21</v>
      </c>
      <c r="X47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7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9.9999999999999992E-2</v>
      </c>
      <c r="Z47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7" s="53">
        <v>0</v>
      </c>
      <c r="AB47" s="53">
        <v>0</v>
      </c>
      <c r="AC47" s="54">
        <v>112.80803884676394</v>
      </c>
      <c r="AD47" s="54">
        <v>92.297486329170496</v>
      </c>
      <c r="AE47" s="52" t="s">
        <v>60</v>
      </c>
      <c r="AF47" s="53">
        <v>0</v>
      </c>
      <c r="AG47" s="53">
        <v>0</v>
      </c>
      <c r="AH47" s="53">
        <f>IF(ISNUMBER(Tabella2[[#This Row],[Mean RADIAL stress  (MPa)]]), Tabella2[[#This Row],[Mean RADIAL stress  (MPa)]],"")</f>
        <v>0</v>
      </c>
      <c r="AI47" s="53">
        <f>IF(ISNUMBER(Tabella2[[#This Row],[Amplitute RADIAL stress  (MPa)]]), Tabella2[[#This Row],[Amplitute RADIAL stress  (MPa)]],"")</f>
        <v>0</v>
      </c>
      <c r="AJ47" s="53">
        <f>IF(ISNUMBER(Tabella2[[#This Row],[Mean AXIAL stress  (MPa)]]), IF(Tabella2[[#This Row],[derived from (AXIAL/BENDING) load]]="AXIAL",Tabella2[[#This Row],[Mean AXIAL stress  (MPa)]]*Tabella2[[#This Row],[Area (mm^2)]],"Null"), "")</f>
        <v>59224.220394551063</v>
      </c>
      <c r="AK47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48456.180322814507</v>
      </c>
      <c r="AL47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7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7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47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47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7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92.297486329170496</v>
      </c>
    </row>
    <row r="48" spans="1:43" ht="20.100000000000001" customHeight="1" x14ac:dyDescent="0.25">
      <c r="A48" s="49" t="s">
        <v>65</v>
      </c>
      <c r="B48" s="49">
        <v>2007</v>
      </c>
      <c r="C48" s="49" t="s">
        <v>64</v>
      </c>
      <c r="D48" s="49" t="s">
        <v>117</v>
      </c>
      <c r="E48" s="50">
        <v>83481.3556645465</v>
      </c>
      <c r="F48" s="49" t="s">
        <v>20</v>
      </c>
      <c r="G48" s="49" t="s">
        <v>69</v>
      </c>
      <c r="H48" s="49" t="e" vm="4">
        <v>#VALUE!</v>
      </c>
      <c r="I48" s="49" t="s">
        <v>70</v>
      </c>
      <c r="J48" s="49" t="s">
        <v>32</v>
      </c>
      <c r="K48" s="49">
        <v>25</v>
      </c>
      <c r="L48" s="49">
        <v>21</v>
      </c>
      <c r="M48" s="49">
        <v>0</v>
      </c>
      <c r="N48" s="49">
        <v>0</v>
      </c>
      <c r="O48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525</v>
      </c>
      <c r="P48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19293.75</v>
      </c>
      <c r="Q48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8" s="49">
        <v>0</v>
      </c>
      <c r="S48" s="49">
        <v>0</v>
      </c>
      <c r="T48" s="49">
        <v>0</v>
      </c>
      <c r="U48" s="51" t="s">
        <v>21</v>
      </c>
      <c r="V48" s="51" t="s">
        <v>21</v>
      </c>
      <c r="W48" s="51" t="s">
        <v>21</v>
      </c>
      <c r="X48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8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0.10000000000000002</v>
      </c>
      <c r="Z48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8" s="53">
        <v>0</v>
      </c>
      <c r="AB48" s="53">
        <v>0</v>
      </c>
      <c r="AC48" s="54">
        <v>94.708875910546951</v>
      </c>
      <c r="AD48" s="54">
        <v>77.489080290447504</v>
      </c>
      <c r="AE48" s="52" t="s">
        <v>60</v>
      </c>
      <c r="AF48" s="53">
        <v>0</v>
      </c>
      <c r="AG48" s="53">
        <v>0</v>
      </c>
      <c r="AH48" s="53">
        <f>IF(ISNUMBER(Tabella2[[#This Row],[Mean RADIAL stress  (MPa)]]), Tabella2[[#This Row],[Mean RADIAL stress  (MPa)]],"")</f>
        <v>0</v>
      </c>
      <c r="AI48" s="53">
        <f>IF(ISNUMBER(Tabella2[[#This Row],[Amplitute RADIAL stress  (MPa)]]), Tabella2[[#This Row],[Amplitute RADIAL stress  (MPa)]],"")</f>
        <v>0</v>
      </c>
      <c r="AJ48" s="53">
        <f>IF(ISNUMBER(Tabella2[[#This Row],[Mean AXIAL stress  (MPa)]]), IF(Tabella2[[#This Row],[derived from (AXIAL/BENDING) load]]="AXIAL",Tabella2[[#This Row],[Mean AXIAL stress  (MPa)]]*Tabella2[[#This Row],[Area (mm^2)]],"Null"), "")</f>
        <v>49722.159853037148</v>
      </c>
      <c r="AK48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40681.767152484943</v>
      </c>
      <c r="AL48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8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8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48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48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8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77.489080290447504</v>
      </c>
    </row>
    <row r="49" spans="1:43" ht="20.100000000000001" customHeight="1" x14ac:dyDescent="0.25">
      <c r="A49" s="49" t="s">
        <v>65</v>
      </c>
      <c r="B49" s="49">
        <v>2007</v>
      </c>
      <c r="C49" s="49" t="s">
        <v>64</v>
      </c>
      <c r="D49" s="49" t="s">
        <v>118</v>
      </c>
      <c r="E49" s="50">
        <v>84685.120454256394</v>
      </c>
      <c r="F49" s="49" t="s">
        <v>20</v>
      </c>
      <c r="G49" s="49" t="s">
        <v>69</v>
      </c>
      <c r="H49" s="49" t="e" vm="4">
        <v>#VALUE!</v>
      </c>
      <c r="I49" s="49" t="s">
        <v>70</v>
      </c>
      <c r="J49" s="49" t="s">
        <v>32</v>
      </c>
      <c r="K49" s="49">
        <v>25</v>
      </c>
      <c r="L49" s="49">
        <v>21</v>
      </c>
      <c r="M49" s="49">
        <v>0</v>
      </c>
      <c r="N49" s="49">
        <v>0</v>
      </c>
      <c r="O49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525</v>
      </c>
      <c r="P49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19293.75</v>
      </c>
      <c r="Q49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49" s="49">
        <v>0</v>
      </c>
      <c r="S49" s="49">
        <v>0</v>
      </c>
      <c r="T49" s="49">
        <v>0</v>
      </c>
      <c r="U49" s="51" t="s">
        <v>21</v>
      </c>
      <c r="V49" s="51" t="s">
        <v>21</v>
      </c>
      <c r="W49" s="51" t="s">
        <v>21</v>
      </c>
      <c r="X49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9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0.10000000000000002</v>
      </c>
      <c r="Z49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9" s="53">
        <v>0</v>
      </c>
      <c r="AB49" s="53">
        <v>0</v>
      </c>
      <c r="AC49" s="54">
        <v>94.708875910546951</v>
      </c>
      <c r="AD49" s="54">
        <v>77.489080290447504</v>
      </c>
      <c r="AE49" s="52" t="s">
        <v>60</v>
      </c>
      <c r="AF49" s="53">
        <v>0</v>
      </c>
      <c r="AG49" s="53">
        <v>0</v>
      </c>
      <c r="AH49" s="53">
        <f>IF(ISNUMBER(Tabella2[[#This Row],[Mean RADIAL stress  (MPa)]]), Tabella2[[#This Row],[Mean RADIAL stress  (MPa)]],"")</f>
        <v>0</v>
      </c>
      <c r="AI49" s="53">
        <f>IF(ISNUMBER(Tabella2[[#This Row],[Amplitute RADIAL stress  (MPa)]]), Tabella2[[#This Row],[Amplitute RADIAL stress  (MPa)]],"")</f>
        <v>0</v>
      </c>
      <c r="AJ49" s="53">
        <f>IF(ISNUMBER(Tabella2[[#This Row],[Mean AXIAL stress  (MPa)]]), IF(Tabella2[[#This Row],[derived from (AXIAL/BENDING) load]]="AXIAL",Tabella2[[#This Row],[Mean AXIAL stress  (MPa)]]*Tabella2[[#This Row],[Area (mm^2)]],"Null"), "")</f>
        <v>49722.159853037148</v>
      </c>
      <c r="AK49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40681.767152484943</v>
      </c>
      <c r="AL49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9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9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49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49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9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77.489080290447504</v>
      </c>
    </row>
    <row r="50" spans="1:43" ht="20.100000000000001" customHeight="1" x14ac:dyDescent="0.25">
      <c r="A50" s="49" t="s">
        <v>65</v>
      </c>
      <c r="B50" s="49">
        <v>2007</v>
      </c>
      <c r="C50" s="49" t="s">
        <v>64</v>
      </c>
      <c r="D50" s="49" t="s">
        <v>119</v>
      </c>
      <c r="E50" s="50">
        <v>150070.50251497899</v>
      </c>
      <c r="F50" s="49" t="s">
        <v>20</v>
      </c>
      <c r="G50" s="49" t="s">
        <v>69</v>
      </c>
      <c r="H50" s="49" t="e" vm="4">
        <v>#VALUE!</v>
      </c>
      <c r="I50" s="49" t="s">
        <v>70</v>
      </c>
      <c r="J50" s="49" t="s">
        <v>32</v>
      </c>
      <c r="K50" s="49">
        <v>25</v>
      </c>
      <c r="L50" s="49">
        <v>21</v>
      </c>
      <c r="M50" s="49">
        <v>0</v>
      </c>
      <c r="N50" s="49">
        <v>0</v>
      </c>
      <c r="O50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525</v>
      </c>
      <c r="P50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19293.75</v>
      </c>
      <c r="Q50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0" s="49">
        <v>0</v>
      </c>
      <c r="S50" s="49">
        <v>0</v>
      </c>
      <c r="T50" s="49">
        <v>0</v>
      </c>
      <c r="U50" s="51" t="s">
        <v>21</v>
      </c>
      <c r="V50" s="51" t="s">
        <v>21</v>
      </c>
      <c r="W50" s="51" t="s">
        <v>21</v>
      </c>
      <c r="X50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0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0.10000000000000006</v>
      </c>
      <c r="Z50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0" s="53">
        <v>0</v>
      </c>
      <c r="AB50" s="53">
        <v>0</v>
      </c>
      <c r="AC50" s="54">
        <v>68.730606412153776</v>
      </c>
      <c r="AD50" s="54">
        <v>56.234132519034901</v>
      </c>
      <c r="AE50" s="52" t="s">
        <v>60</v>
      </c>
      <c r="AF50" s="53">
        <v>0</v>
      </c>
      <c r="AG50" s="53">
        <v>0</v>
      </c>
      <c r="AH50" s="53">
        <f>IF(ISNUMBER(Tabella2[[#This Row],[Mean RADIAL stress  (MPa)]]), Tabella2[[#This Row],[Mean RADIAL stress  (MPa)]],"")</f>
        <v>0</v>
      </c>
      <c r="AI50" s="53">
        <f>IF(ISNUMBER(Tabella2[[#This Row],[Amplitute RADIAL stress  (MPa)]]), Tabella2[[#This Row],[Amplitute RADIAL stress  (MPa)]],"")</f>
        <v>0</v>
      </c>
      <c r="AJ50" s="53">
        <f>IF(ISNUMBER(Tabella2[[#This Row],[Mean AXIAL stress  (MPa)]]), IF(Tabella2[[#This Row],[derived from (AXIAL/BENDING) load]]="AXIAL",Tabella2[[#This Row],[Mean AXIAL stress  (MPa)]]*Tabella2[[#This Row],[Area (mm^2)]],"Null"), "")</f>
        <v>36083.568366380736</v>
      </c>
      <c r="AK50" s="53">
        <f>IF(ISNUMBER(Tabella2[[#This Row],[Amplitute AXIAL stress  (MPa)]]),    IF(Tabella2[[#This Row],[derived from (AXIAL/BENDING) load]]="AXIAL",Tabella2[[#This Row],[Amplitute AXIAL stress  (MPa)]]*Tabella2[[#This Row],[Area (mm^2)]],"Null"), "")</f>
        <v>29522.919572493323</v>
      </c>
      <c r="AL50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0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0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50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50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0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56.234132519034901</v>
      </c>
    </row>
    <row r="51" spans="1:43" ht="20.100000000000001" customHeight="1" x14ac:dyDescent="0.25">
      <c r="A51" s="49" t="s">
        <v>65</v>
      </c>
      <c r="B51" s="49">
        <v>2007</v>
      </c>
      <c r="C51" s="49" t="s">
        <v>64</v>
      </c>
      <c r="D51" s="49" t="s">
        <v>120</v>
      </c>
      <c r="E51" s="50">
        <v>269838.85140553798</v>
      </c>
      <c r="F51" s="49" t="s">
        <v>20</v>
      </c>
      <c r="G51" s="49" t="s">
        <v>69</v>
      </c>
      <c r="H51" s="49" t="e" vm="4">
        <v>#VALUE!</v>
      </c>
      <c r="I51" s="49" t="s">
        <v>70</v>
      </c>
      <c r="J51" s="49" t="s">
        <v>32</v>
      </c>
      <c r="K51" s="49">
        <v>25</v>
      </c>
      <c r="L51" s="49">
        <v>21</v>
      </c>
      <c r="M51" s="49">
        <v>0</v>
      </c>
      <c r="N51" s="49">
        <v>0</v>
      </c>
      <c r="O51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525</v>
      </c>
      <c r="P51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19293.75</v>
      </c>
      <c r="Q51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1" s="49">
        <v>0</v>
      </c>
      <c r="S51" s="49">
        <v>0</v>
      </c>
      <c r="T51" s="49">
        <v>0</v>
      </c>
      <c r="U51" s="51" t="s">
        <v>21</v>
      </c>
      <c r="V51" s="51" t="s">
        <v>21</v>
      </c>
      <c r="W51" s="51" t="s">
        <v>21</v>
      </c>
      <c r="X51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1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</v>
      </c>
      <c r="Z51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1" s="53">
        <v>0</v>
      </c>
      <c r="AB51" s="53">
        <v>0</v>
      </c>
      <c r="AC51" s="54">
        <v>58.125321170594574</v>
      </c>
      <c r="AD51" s="54">
        <v>47.557080957759197</v>
      </c>
      <c r="AE51" s="52" t="s">
        <v>60</v>
      </c>
      <c r="AF51" s="53">
        <v>0</v>
      </c>
      <c r="AG51" s="53">
        <v>0</v>
      </c>
      <c r="AH51" s="53">
        <f>IF(ISNUMBER(Tabella2[[#This Row],[Mean RADIAL stress  (MPa)]]), Tabella2[[#This Row],[Mean RADIAL stress  (MPa)]],"")</f>
        <v>0</v>
      </c>
      <c r="AI51" s="53">
        <f>IF(ISNUMBER(Tabella2[[#This Row],[Amplitute RADIAL stress  (MPa)]]), Tabella2[[#This Row],[Amplitute RADIAL stress  (MPa)]],"")</f>
        <v>0</v>
      </c>
      <c r="AJ51" s="53">
        <f>IF(ISNUMBER(Tabella2[[#This Row],[Mean AXIAL stress  (MPa)]]), IF(Tabella2[[#This Row],[derived from (AXIAL/BENDING) load]]="AXIAL",Tabella2[[#This Row],[Mean AXIAL stress  (MPa)]]*Tabella2[[#This Row],[Area (mm^2)]],"Null"), "")</f>
        <v>30515.793614562153</v>
      </c>
      <c r="AK51" s="53">
        <f>IF(ISNUMBER(Tabella2[[#This Row],[Amplitute AXIAL stress  (MPa)]]),    IF(Tabella2[[#This Row],[derived from (AXIAL/BENDING) load]]="AXIAL",Tabella2[[#This Row],[Amplitute AXIAL stress  (MPa)]]*Tabella2[[#This Row],[Area (mm^2)]],"Null"), "")</f>
        <v>24967.46750282358</v>
      </c>
      <c r="AL51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1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1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51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51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1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47.557080957759197</v>
      </c>
    </row>
    <row r="52" spans="1:43" ht="20.100000000000001" customHeight="1" x14ac:dyDescent="0.25">
      <c r="A52" s="49" t="s">
        <v>65</v>
      </c>
      <c r="B52" s="49">
        <v>2007</v>
      </c>
      <c r="C52" s="49" t="s">
        <v>64</v>
      </c>
      <c r="D52" s="49" t="s">
        <v>121</v>
      </c>
      <c r="E52" s="50">
        <v>238975.35677106801</v>
      </c>
      <c r="F52" s="49" t="s">
        <v>20</v>
      </c>
      <c r="G52" s="49" t="s">
        <v>69</v>
      </c>
      <c r="H52" s="49" t="e" vm="4">
        <v>#VALUE!</v>
      </c>
      <c r="I52" s="49" t="s">
        <v>70</v>
      </c>
      <c r="J52" s="49" t="s">
        <v>32</v>
      </c>
      <c r="K52" s="49">
        <v>25</v>
      </c>
      <c r="L52" s="49">
        <v>21</v>
      </c>
      <c r="M52" s="49">
        <v>0</v>
      </c>
      <c r="N52" s="49">
        <v>0</v>
      </c>
      <c r="O52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525</v>
      </c>
      <c r="P52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19293.75</v>
      </c>
      <c r="Q52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2" s="49">
        <v>0</v>
      </c>
      <c r="S52" s="49">
        <v>0</v>
      </c>
      <c r="T52" s="49">
        <v>0</v>
      </c>
      <c r="U52" s="51" t="s">
        <v>21</v>
      </c>
      <c r="V52" s="51" t="s">
        <v>21</v>
      </c>
      <c r="W52" s="51" t="s">
        <v>21</v>
      </c>
      <c r="X52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2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9.9999999999999992E-2</v>
      </c>
      <c r="Z52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2" s="53">
        <v>0</v>
      </c>
      <c r="AB52" s="53">
        <v>0</v>
      </c>
      <c r="AC52" s="54">
        <v>67.244459141639268</v>
      </c>
      <c r="AD52" s="54">
        <v>55.018193843159402</v>
      </c>
      <c r="AE52" s="52" t="s">
        <v>60</v>
      </c>
      <c r="AF52" s="53">
        <v>0</v>
      </c>
      <c r="AG52" s="53">
        <v>0</v>
      </c>
      <c r="AH52" s="53">
        <f>IF(ISNUMBER(Tabella2[[#This Row],[Mean RADIAL stress  (MPa)]]), Tabella2[[#This Row],[Mean RADIAL stress  (MPa)]],"")</f>
        <v>0</v>
      </c>
      <c r="AI52" s="53">
        <f>IF(ISNUMBER(Tabella2[[#This Row],[Amplitute RADIAL stress  (MPa)]]), Tabella2[[#This Row],[Amplitute RADIAL stress  (MPa)]],"")</f>
        <v>0</v>
      </c>
      <c r="AJ52" s="53">
        <f>IF(ISNUMBER(Tabella2[[#This Row],[Mean AXIAL stress  (MPa)]]), IF(Tabella2[[#This Row],[derived from (AXIAL/BENDING) load]]="AXIAL",Tabella2[[#This Row],[Mean AXIAL stress  (MPa)]]*Tabella2[[#This Row],[Area (mm^2)]],"Null"), "")</f>
        <v>35303.341049360613</v>
      </c>
      <c r="AK52" s="53">
        <f>IF(ISNUMBER(Tabella2[[#This Row],[Amplitute AXIAL stress  (MPa)]]),    IF(Tabella2[[#This Row],[derived from (AXIAL/BENDING) load]]="AXIAL",Tabella2[[#This Row],[Amplitute AXIAL stress  (MPa)]]*Tabella2[[#This Row],[Area (mm^2)]],"Null"), "")</f>
        <v>28884.551767658686</v>
      </c>
      <c r="AL52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2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2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52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52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2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55.018193843159402</v>
      </c>
    </row>
    <row r="53" spans="1:43" ht="20.100000000000001" customHeight="1" x14ac:dyDescent="0.25">
      <c r="A53" s="49" t="s">
        <v>65</v>
      </c>
      <c r="B53" s="49">
        <v>2007</v>
      </c>
      <c r="C53" s="49" t="s">
        <v>64</v>
      </c>
      <c r="D53" s="49" t="s">
        <v>122</v>
      </c>
      <c r="E53" s="50">
        <v>253068.64628884799</v>
      </c>
      <c r="F53" s="49" t="s">
        <v>20</v>
      </c>
      <c r="G53" s="49" t="s">
        <v>69</v>
      </c>
      <c r="H53" s="49" t="e" vm="4">
        <v>#VALUE!</v>
      </c>
      <c r="I53" s="49" t="s">
        <v>70</v>
      </c>
      <c r="J53" s="49" t="s">
        <v>32</v>
      </c>
      <c r="K53" s="49">
        <v>25</v>
      </c>
      <c r="L53" s="49">
        <v>21</v>
      </c>
      <c r="M53" s="49">
        <v>0</v>
      </c>
      <c r="N53" s="49">
        <v>0</v>
      </c>
      <c r="O53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525</v>
      </c>
      <c r="P53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19293.75</v>
      </c>
      <c r="Q53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3" s="49">
        <v>0</v>
      </c>
      <c r="S53" s="49">
        <v>0</v>
      </c>
      <c r="T53" s="49">
        <v>0</v>
      </c>
      <c r="U53" s="51" t="s">
        <v>21</v>
      </c>
      <c r="V53" s="51" t="s">
        <v>21</v>
      </c>
      <c r="W53" s="51" t="s">
        <v>21</v>
      </c>
      <c r="X53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3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0.10000000000000006</v>
      </c>
      <c r="Z53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3" s="53">
        <v>0</v>
      </c>
      <c r="AB53" s="53">
        <v>0</v>
      </c>
      <c r="AC53" s="54">
        <v>68.730606412153776</v>
      </c>
      <c r="AD53" s="54">
        <v>56.234132519034901</v>
      </c>
      <c r="AE53" s="52" t="s">
        <v>60</v>
      </c>
      <c r="AF53" s="53">
        <v>0</v>
      </c>
      <c r="AG53" s="53">
        <v>0</v>
      </c>
      <c r="AH53" s="53">
        <f>IF(ISNUMBER(Tabella2[[#This Row],[Mean RADIAL stress  (MPa)]]), Tabella2[[#This Row],[Mean RADIAL stress  (MPa)]],"")</f>
        <v>0</v>
      </c>
      <c r="AI53" s="53">
        <f>IF(ISNUMBER(Tabella2[[#This Row],[Amplitute RADIAL stress  (MPa)]]), Tabella2[[#This Row],[Amplitute RADIAL stress  (MPa)]],"")</f>
        <v>0</v>
      </c>
      <c r="AJ53" s="53">
        <f>IF(ISNUMBER(Tabella2[[#This Row],[Mean AXIAL stress  (MPa)]]), IF(Tabella2[[#This Row],[derived from (AXIAL/BENDING) load]]="AXIAL",Tabella2[[#This Row],[Mean AXIAL stress  (MPa)]]*Tabella2[[#This Row],[Area (mm^2)]],"Null"), "")</f>
        <v>36083.568366380736</v>
      </c>
      <c r="AK53" s="53">
        <f>IF(ISNUMBER(Tabella2[[#This Row],[Amplitute AXIAL stress  (MPa)]]),    IF(Tabella2[[#This Row],[derived from (AXIAL/BENDING) load]]="AXIAL",Tabella2[[#This Row],[Amplitute AXIAL stress  (MPa)]]*Tabella2[[#This Row],[Area (mm^2)]],"Null"), "")</f>
        <v>29522.919572493323</v>
      </c>
      <c r="AL53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3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3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53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53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3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56.234132519034901</v>
      </c>
    </row>
    <row r="54" spans="1:43" ht="20.100000000000001" customHeight="1" x14ac:dyDescent="0.25">
      <c r="A54" s="49" t="s">
        <v>65</v>
      </c>
      <c r="B54" s="49">
        <v>2007</v>
      </c>
      <c r="C54" s="49" t="s">
        <v>64</v>
      </c>
      <c r="D54" s="49" t="s">
        <v>123</v>
      </c>
      <c r="E54" s="50">
        <v>359389.20595373702</v>
      </c>
      <c r="F54" s="49" t="s">
        <v>20</v>
      </c>
      <c r="G54" s="49" t="s">
        <v>69</v>
      </c>
      <c r="H54" s="49" t="e" vm="4">
        <v>#VALUE!</v>
      </c>
      <c r="I54" s="49" t="s">
        <v>70</v>
      </c>
      <c r="J54" s="49" t="s">
        <v>32</v>
      </c>
      <c r="K54" s="49">
        <v>25</v>
      </c>
      <c r="L54" s="49">
        <v>21</v>
      </c>
      <c r="M54" s="49">
        <v>0</v>
      </c>
      <c r="N54" s="49">
        <v>0</v>
      </c>
      <c r="O54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525</v>
      </c>
      <c r="P54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19293.75</v>
      </c>
      <c r="Q54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4" s="49">
        <v>0</v>
      </c>
      <c r="S54" s="49">
        <v>0</v>
      </c>
      <c r="T54" s="49">
        <v>0</v>
      </c>
      <c r="U54" s="51" t="s">
        <v>21</v>
      </c>
      <c r="V54" s="51" t="s">
        <v>21</v>
      </c>
      <c r="W54" s="51" t="s">
        <v>21</v>
      </c>
      <c r="X54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4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9.9999999999999978E-2</v>
      </c>
      <c r="Z54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4" s="53">
        <v>0</v>
      </c>
      <c r="AB54" s="53">
        <v>0</v>
      </c>
      <c r="AC54" s="54">
        <v>68.231609952766206</v>
      </c>
      <c r="AD54" s="54">
        <v>55.825862688626898</v>
      </c>
      <c r="AE54" s="52" t="s">
        <v>60</v>
      </c>
      <c r="AF54" s="53">
        <v>0</v>
      </c>
      <c r="AG54" s="53">
        <v>0</v>
      </c>
      <c r="AH54" s="53">
        <f>IF(ISNUMBER(Tabella2[[#This Row],[Mean RADIAL stress  (MPa)]]), Tabella2[[#This Row],[Mean RADIAL stress  (MPa)]],"")</f>
        <v>0</v>
      </c>
      <c r="AI54" s="53">
        <f>IF(ISNUMBER(Tabella2[[#This Row],[Amplitute RADIAL stress  (MPa)]]), Tabella2[[#This Row],[Amplitute RADIAL stress  (MPa)]],"")</f>
        <v>0</v>
      </c>
      <c r="AJ54" s="53">
        <f>IF(ISNUMBER(Tabella2[[#This Row],[Mean AXIAL stress  (MPa)]]), IF(Tabella2[[#This Row],[derived from (AXIAL/BENDING) load]]="AXIAL",Tabella2[[#This Row],[Mean AXIAL stress  (MPa)]]*Tabella2[[#This Row],[Area (mm^2)]],"Null"), "")</f>
        <v>35821.595225202262</v>
      </c>
      <c r="AK54" s="53">
        <f>IF(ISNUMBER(Tabella2[[#This Row],[Amplitute AXIAL stress  (MPa)]]),    IF(Tabella2[[#This Row],[derived from (AXIAL/BENDING) load]]="AXIAL",Tabella2[[#This Row],[Amplitute AXIAL stress  (MPa)]]*Tabella2[[#This Row],[Area (mm^2)]],"Null"), "")</f>
        <v>29308.577911529123</v>
      </c>
      <c r="AL54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4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4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54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54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4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55.825862688626898</v>
      </c>
    </row>
    <row r="55" spans="1:43" ht="20.100000000000001" customHeight="1" x14ac:dyDescent="0.25">
      <c r="A55" s="49" t="s">
        <v>65</v>
      </c>
      <c r="B55" s="49">
        <v>2007</v>
      </c>
      <c r="C55" s="49" t="s">
        <v>64</v>
      </c>
      <c r="D55" s="49" t="s">
        <v>124</v>
      </c>
      <c r="E55" s="50">
        <v>356748.99627545499</v>
      </c>
      <c r="F55" s="49" t="s">
        <v>20</v>
      </c>
      <c r="G55" s="49" t="s">
        <v>69</v>
      </c>
      <c r="H55" s="49" t="e" vm="4">
        <v>#VALUE!</v>
      </c>
      <c r="I55" s="49" t="s">
        <v>70</v>
      </c>
      <c r="J55" s="49" t="s">
        <v>32</v>
      </c>
      <c r="K55" s="49">
        <v>25</v>
      </c>
      <c r="L55" s="49">
        <v>21</v>
      </c>
      <c r="M55" s="49">
        <v>0</v>
      </c>
      <c r="N55" s="49">
        <v>0</v>
      </c>
      <c r="O55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525</v>
      </c>
      <c r="P55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19293.75</v>
      </c>
      <c r="Q55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5" s="49">
        <v>0</v>
      </c>
      <c r="S55" s="49">
        <v>0</v>
      </c>
      <c r="T55" s="49">
        <v>0</v>
      </c>
      <c r="U55" s="51" t="s">
        <v>21</v>
      </c>
      <c r="V55" s="51" t="s">
        <v>21</v>
      </c>
      <c r="W55" s="51" t="s">
        <v>21</v>
      </c>
      <c r="X55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5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0.10000000000000005</v>
      </c>
      <c r="Z55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5" s="53">
        <v>0</v>
      </c>
      <c r="AB55" s="53">
        <v>0</v>
      </c>
      <c r="AC55" s="54">
        <v>59.409929426919625</v>
      </c>
      <c r="AD55" s="54">
        <v>48.608124076570597</v>
      </c>
      <c r="AE55" s="52" t="s">
        <v>60</v>
      </c>
      <c r="AF55" s="53">
        <v>0</v>
      </c>
      <c r="AG55" s="53">
        <v>0</v>
      </c>
      <c r="AH55" s="53">
        <f>IF(ISNUMBER(Tabella2[[#This Row],[Mean RADIAL stress  (MPa)]]), Tabella2[[#This Row],[Mean RADIAL stress  (MPa)]],"")</f>
        <v>0</v>
      </c>
      <c r="AI55" s="53">
        <f>IF(ISNUMBER(Tabella2[[#This Row],[Amplitute RADIAL stress  (MPa)]]), Tabella2[[#This Row],[Amplitute RADIAL stress  (MPa)]],"")</f>
        <v>0</v>
      </c>
      <c r="AJ55" s="53">
        <f>IF(ISNUMBER(Tabella2[[#This Row],[Mean AXIAL stress  (MPa)]]), IF(Tabella2[[#This Row],[derived from (AXIAL/BENDING) load]]="AXIAL",Tabella2[[#This Row],[Mean AXIAL stress  (MPa)]]*Tabella2[[#This Row],[Area (mm^2)]],"Null"), "")</f>
        <v>31190.212949132801</v>
      </c>
      <c r="AK55" s="53">
        <f>IF(ISNUMBER(Tabella2[[#This Row],[Amplitute AXIAL stress  (MPa)]]),    IF(Tabella2[[#This Row],[derived from (AXIAL/BENDING) load]]="AXIAL",Tabella2[[#This Row],[Amplitute AXIAL stress  (MPa)]]*Tabella2[[#This Row],[Area (mm^2)]],"Null"), "")</f>
        <v>25519.265140199564</v>
      </c>
      <c r="AL55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5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5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55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55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5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48.608124076570597</v>
      </c>
    </row>
    <row r="56" spans="1:43" ht="20.100000000000001" customHeight="1" x14ac:dyDescent="0.25">
      <c r="A56" s="49" t="s">
        <v>65</v>
      </c>
      <c r="B56" s="49">
        <v>2007</v>
      </c>
      <c r="C56" s="49" t="s">
        <v>64</v>
      </c>
      <c r="D56" s="49" t="s">
        <v>125</v>
      </c>
      <c r="E56" s="50">
        <v>532637.11947296595</v>
      </c>
      <c r="F56" s="49" t="s">
        <v>20</v>
      </c>
      <c r="G56" s="49" t="s">
        <v>69</v>
      </c>
      <c r="H56" s="49" t="e" vm="4">
        <v>#VALUE!</v>
      </c>
      <c r="I56" s="49" t="s">
        <v>70</v>
      </c>
      <c r="J56" s="49" t="s">
        <v>32</v>
      </c>
      <c r="K56" s="49">
        <v>25</v>
      </c>
      <c r="L56" s="49">
        <v>21</v>
      </c>
      <c r="M56" s="49">
        <v>0</v>
      </c>
      <c r="N56" s="49">
        <v>0</v>
      </c>
      <c r="O56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525</v>
      </c>
      <c r="P56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19293.75</v>
      </c>
      <c r="Q56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6" s="49">
        <v>0</v>
      </c>
      <c r="S56" s="49">
        <v>0</v>
      </c>
      <c r="T56" s="49">
        <v>0</v>
      </c>
      <c r="U56" s="51" t="s">
        <v>21</v>
      </c>
      <c r="V56" s="51" t="s">
        <v>21</v>
      </c>
      <c r="W56" s="51" t="s">
        <v>21</v>
      </c>
      <c r="X56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6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0.10000000000000007</v>
      </c>
      <c r="Z56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6" s="53">
        <v>0</v>
      </c>
      <c r="AB56" s="53">
        <v>0</v>
      </c>
      <c r="AC56" s="54">
        <v>57.284384572728996</v>
      </c>
      <c r="AD56" s="54">
        <v>46.8690419231419</v>
      </c>
      <c r="AE56" s="52" t="s">
        <v>60</v>
      </c>
      <c r="AF56" s="53">
        <v>0</v>
      </c>
      <c r="AG56" s="53">
        <v>0</v>
      </c>
      <c r="AH56" s="53">
        <f>IF(ISNUMBER(Tabella2[[#This Row],[Mean RADIAL stress  (MPa)]]), Tabella2[[#This Row],[Mean RADIAL stress  (MPa)]],"")</f>
        <v>0</v>
      </c>
      <c r="AI56" s="53">
        <f>IF(ISNUMBER(Tabella2[[#This Row],[Amplitute RADIAL stress  (MPa)]]), Tabella2[[#This Row],[Amplitute RADIAL stress  (MPa)]],"")</f>
        <v>0</v>
      </c>
      <c r="AJ56" s="53">
        <f>IF(ISNUMBER(Tabella2[[#This Row],[Mean AXIAL stress  (MPa)]]), IF(Tabella2[[#This Row],[derived from (AXIAL/BENDING) load]]="AXIAL",Tabella2[[#This Row],[Mean AXIAL stress  (MPa)]]*Tabella2[[#This Row],[Area (mm^2)]],"Null"), "")</f>
        <v>30074.301900682723</v>
      </c>
      <c r="AK56" s="53">
        <f>IF(ISNUMBER(Tabella2[[#This Row],[Amplitute AXIAL stress  (MPa)]]),    IF(Tabella2[[#This Row],[derived from (AXIAL/BENDING) load]]="AXIAL",Tabella2[[#This Row],[Amplitute AXIAL stress  (MPa)]]*Tabella2[[#This Row],[Area (mm^2)]],"Null"), "")</f>
        <v>24606.247009649498</v>
      </c>
      <c r="AL56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6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6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56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56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6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46.8690419231419</v>
      </c>
    </row>
    <row r="57" spans="1:43" ht="20.100000000000001" customHeight="1" x14ac:dyDescent="0.25">
      <c r="A57" s="49" t="s">
        <v>65</v>
      </c>
      <c r="B57" s="49">
        <v>2007</v>
      </c>
      <c r="C57" s="49" t="s">
        <v>64</v>
      </c>
      <c r="D57" s="49" t="s">
        <v>126</v>
      </c>
      <c r="E57" s="50">
        <v>588822.31337799004</v>
      </c>
      <c r="F57" s="49" t="s">
        <v>20</v>
      </c>
      <c r="G57" s="49" t="s">
        <v>69</v>
      </c>
      <c r="H57" s="49" t="e" vm="4">
        <v>#VALUE!</v>
      </c>
      <c r="I57" s="49" t="s">
        <v>70</v>
      </c>
      <c r="J57" s="49" t="s">
        <v>32</v>
      </c>
      <c r="K57" s="49">
        <v>25</v>
      </c>
      <c r="L57" s="49">
        <v>21</v>
      </c>
      <c r="M57" s="49">
        <v>0</v>
      </c>
      <c r="N57" s="49">
        <v>0</v>
      </c>
      <c r="O57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525</v>
      </c>
      <c r="P57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19293.75</v>
      </c>
      <c r="Q57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7" s="49">
        <v>0</v>
      </c>
      <c r="S57" s="49">
        <v>0</v>
      </c>
      <c r="T57" s="49">
        <v>0</v>
      </c>
      <c r="U57" s="51" t="s">
        <v>21</v>
      </c>
      <c r="V57" s="51" t="s">
        <v>21</v>
      </c>
      <c r="W57" s="51" t="s">
        <v>21</v>
      </c>
      <c r="X57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7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0.10000000000000006</v>
      </c>
      <c r="Z57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7" s="53">
        <v>0</v>
      </c>
      <c r="AB57" s="53">
        <v>0</v>
      </c>
      <c r="AC57" s="54">
        <v>59.844410519436899</v>
      </c>
      <c r="AD57" s="54">
        <v>48.963608606812002</v>
      </c>
      <c r="AE57" s="52" t="s">
        <v>60</v>
      </c>
      <c r="AF57" s="53">
        <v>0</v>
      </c>
      <c r="AG57" s="53">
        <v>0</v>
      </c>
      <c r="AH57" s="53">
        <f>IF(ISNUMBER(Tabella2[[#This Row],[Mean RADIAL stress  (MPa)]]), Tabella2[[#This Row],[Mean RADIAL stress  (MPa)]],"")</f>
        <v>0</v>
      </c>
      <c r="AI57" s="53">
        <f>IF(ISNUMBER(Tabella2[[#This Row],[Amplitute RADIAL stress  (MPa)]]), Tabella2[[#This Row],[Amplitute RADIAL stress  (MPa)]],"")</f>
        <v>0</v>
      </c>
      <c r="AJ57" s="53">
        <f>IF(ISNUMBER(Tabella2[[#This Row],[Mean AXIAL stress  (MPa)]]), IF(Tabella2[[#This Row],[derived from (AXIAL/BENDING) load]]="AXIAL",Tabella2[[#This Row],[Mean AXIAL stress  (MPa)]]*Tabella2[[#This Row],[Area (mm^2)]],"Null"), "")</f>
        <v>31418.315522704372</v>
      </c>
      <c r="AK57" s="53">
        <f>IF(ISNUMBER(Tabella2[[#This Row],[Amplitute AXIAL stress  (MPa)]]),    IF(Tabella2[[#This Row],[derived from (AXIAL/BENDING) load]]="AXIAL",Tabella2[[#This Row],[Amplitute AXIAL stress  (MPa)]]*Tabella2[[#This Row],[Area (mm^2)]],"Null"), "")</f>
        <v>25705.8945185763</v>
      </c>
      <c r="AL57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7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7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57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57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7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48.963608606812002</v>
      </c>
    </row>
    <row r="58" spans="1:43" ht="20.100000000000001" customHeight="1" x14ac:dyDescent="0.25">
      <c r="A58" s="49" t="s">
        <v>65</v>
      </c>
      <c r="B58" s="49">
        <v>2007</v>
      </c>
      <c r="C58" s="49" t="s">
        <v>64</v>
      </c>
      <c r="D58" s="49" t="s">
        <v>127</v>
      </c>
      <c r="E58" s="50">
        <v>1837201.8891531499</v>
      </c>
      <c r="F58" s="49" t="s">
        <v>20</v>
      </c>
      <c r="G58" s="49" t="s">
        <v>69</v>
      </c>
      <c r="H58" s="49" t="e" vm="4">
        <v>#VALUE!</v>
      </c>
      <c r="I58" s="49" t="s">
        <v>70</v>
      </c>
      <c r="J58" s="49" t="s">
        <v>32</v>
      </c>
      <c r="K58" s="49">
        <v>25</v>
      </c>
      <c r="L58" s="49">
        <v>21</v>
      </c>
      <c r="M58" s="49">
        <v>0</v>
      </c>
      <c r="N58" s="49">
        <v>0</v>
      </c>
      <c r="O58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525</v>
      </c>
      <c r="P58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19293.75</v>
      </c>
      <c r="Q58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8" s="49">
        <v>0</v>
      </c>
      <c r="S58" s="49">
        <v>0</v>
      </c>
      <c r="T58" s="49">
        <v>0</v>
      </c>
      <c r="U58" s="51" t="s">
        <v>21</v>
      </c>
      <c r="V58" s="51" t="s">
        <v>21</v>
      </c>
      <c r="W58" s="51" t="s">
        <v>21</v>
      </c>
      <c r="X58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8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9.9999999999999964E-2</v>
      </c>
      <c r="Z58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8" s="53">
        <v>0</v>
      </c>
      <c r="AB58" s="53">
        <v>0</v>
      </c>
      <c r="AC58" s="54">
        <v>49.515949623987979</v>
      </c>
      <c r="AD58" s="54">
        <v>40.513049692353803</v>
      </c>
      <c r="AE58" s="52" t="s">
        <v>60</v>
      </c>
      <c r="AF58" s="53">
        <v>0</v>
      </c>
      <c r="AG58" s="53">
        <v>0</v>
      </c>
      <c r="AH58" s="53">
        <f>IF(ISNUMBER(Tabella2[[#This Row],[Mean RADIAL stress  (MPa)]]), Tabella2[[#This Row],[Mean RADIAL stress  (MPa)]],"")</f>
        <v>0</v>
      </c>
      <c r="AI58" s="53">
        <f>IF(ISNUMBER(Tabella2[[#This Row],[Amplitute RADIAL stress  (MPa)]]), Tabella2[[#This Row],[Amplitute RADIAL stress  (MPa)]],"")</f>
        <v>0</v>
      </c>
      <c r="AJ58" s="53">
        <f>IF(ISNUMBER(Tabella2[[#This Row],[Mean AXIAL stress  (MPa)]]), IF(Tabella2[[#This Row],[derived from (AXIAL/BENDING) load]]="AXIAL",Tabella2[[#This Row],[Mean AXIAL stress  (MPa)]]*Tabella2[[#This Row],[Area (mm^2)]],"Null"), "")</f>
        <v>25995.87355259369</v>
      </c>
      <c r="AK58" s="53">
        <f>IF(ISNUMBER(Tabella2[[#This Row],[Amplitute AXIAL stress  (MPa)]]),    IF(Tabella2[[#This Row],[derived from (AXIAL/BENDING) load]]="AXIAL",Tabella2[[#This Row],[Amplitute AXIAL stress  (MPa)]]*Tabella2[[#This Row],[Area (mm^2)]],"Null"), "")</f>
        <v>21269.351088485746</v>
      </c>
      <c r="AL58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8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8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58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58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8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40.513049692353803</v>
      </c>
    </row>
    <row r="59" spans="1:43" ht="20.100000000000001" customHeight="1" x14ac:dyDescent="0.25">
      <c r="A59" s="49" t="s">
        <v>65</v>
      </c>
      <c r="B59" s="49">
        <v>2007</v>
      </c>
      <c r="C59" s="49" t="s">
        <v>64</v>
      </c>
      <c r="D59" s="49" t="s">
        <v>128</v>
      </c>
      <c r="E59" s="50">
        <v>2074945.1661620999</v>
      </c>
      <c r="F59" s="49" t="s">
        <v>20</v>
      </c>
      <c r="G59" s="49" t="s">
        <v>69</v>
      </c>
      <c r="H59" s="49" t="e" vm="4">
        <v>#VALUE!</v>
      </c>
      <c r="I59" s="49" t="s">
        <v>70</v>
      </c>
      <c r="J59" s="49" t="s">
        <v>32</v>
      </c>
      <c r="K59" s="49">
        <v>25</v>
      </c>
      <c r="L59" s="49">
        <v>21</v>
      </c>
      <c r="M59" s="49">
        <v>0</v>
      </c>
      <c r="N59" s="49">
        <v>0</v>
      </c>
      <c r="O59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525</v>
      </c>
      <c r="P59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19293.75</v>
      </c>
      <c r="Q59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59" s="49">
        <v>0</v>
      </c>
      <c r="S59" s="49">
        <v>0</v>
      </c>
      <c r="T59" s="49">
        <v>0</v>
      </c>
      <c r="U59" s="51" t="s">
        <v>21</v>
      </c>
      <c r="V59" s="51" t="s">
        <v>21</v>
      </c>
      <c r="W59" s="51" t="s">
        <v>21</v>
      </c>
      <c r="X59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9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9.9999999999999964E-2</v>
      </c>
      <c r="Z59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9" s="53">
        <v>0</v>
      </c>
      <c r="AB59" s="53">
        <v>0</v>
      </c>
      <c r="AC59" s="54">
        <v>49.515949623987979</v>
      </c>
      <c r="AD59" s="54">
        <v>40.513049692353803</v>
      </c>
      <c r="AE59" s="52" t="s">
        <v>60</v>
      </c>
      <c r="AF59" s="53">
        <v>0</v>
      </c>
      <c r="AG59" s="53">
        <v>0</v>
      </c>
      <c r="AH59" s="53">
        <f>IF(ISNUMBER(Tabella2[[#This Row],[Mean RADIAL stress  (MPa)]]), Tabella2[[#This Row],[Mean RADIAL stress  (MPa)]],"")</f>
        <v>0</v>
      </c>
      <c r="AI59" s="53">
        <f>IF(ISNUMBER(Tabella2[[#This Row],[Amplitute RADIAL stress  (MPa)]]), Tabella2[[#This Row],[Amplitute RADIAL stress  (MPa)]],"")</f>
        <v>0</v>
      </c>
      <c r="AJ59" s="53">
        <f>IF(ISNUMBER(Tabella2[[#This Row],[Mean AXIAL stress  (MPa)]]), IF(Tabella2[[#This Row],[derived from (AXIAL/BENDING) load]]="AXIAL",Tabella2[[#This Row],[Mean AXIAL stress  (MPa)]]*Tabella2[[#This Row],[Area (mm^2)]],"Null"), "")</f>
        <v>25995.87355259369</v>
      </c>
      <c r="AK59" s="53">
        <f>IF(ISNUMBER(Tabella2[[#This Row],[Amplitute AXIAL stress  (MPa)]]),    IF(Tabella2[[#This Row],[derived from (AXIAL/BENDING) load]]="AXIAL",Tabella2[[#This Row],[Amplitute AXIAL stress  (MPa)]]*Tabella2[[#This Row],[Area (mm^2)]],"Null"), "")</f>
        <v>21269.351088485746</v>
      </c>
      <c r="AL59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9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9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59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59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9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40.513049692353803</v>
      </c>
    </row>
    <row r="60" spans="1:43" ht="20.100000000000001" customHeight="1" x14ac:dyDescent="0.25">
      <c r="A60" s="49" t="s">
        <v>65</v>
      </c>
      <c r="B60" s="49">
        <v>2007</v>
      </c>
      <c r="C60" s="49" t="s">
        <v>64</v>
      </c>
      <c r="D60" s="49" t="s">
        <v>129</v>
      </c>
      <c r="E60" s="50">
        <v>13760.280788264099</v>
      </c>
      <c r="F60" s="49" t="s">
        <v>20</v>
      </c>
      <c r="G60" s="49" t="s">
        <v>69</v>
      </c>
      <c r="H60" s="49" t="e" vm="13">
        <v>#VALUE!</v>
      </c>
      <c r="I60" s="49" t="s">
        <v>70</v>
      </c>
      <c r="J60" s="49" t="s">
        <v>32</v>
      </c>
      <c r="K60" s="49">
        <v>25</v>
      </c>
      <c r="L60" s="49">
        <v>17</v>
      </c>
      <c r="M60" s="49">
        <v>0</v>
      </c>
      <c r="N60" s="49">
        <v>0</v>
      </c>
      <c r="O60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425</v>
      </c>
      <c r="P60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10235.416666666666</v>
      </c>
      <c r="Q60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0" s="49">
        <v>0</v>
      </c>
      <c r="S60" s="49">
        <v>0</v>
      </c>
      <c r="T60" s="49">
        <v>0</v>
      </c>
      <c r="U60" s="51" t="s">
        <v>21</v>
      </c>
      <c r="V60" s="51" t="s">
        <v>21</v>
      </c>
      <c r="W60" s="51" t="s">
        <v>21</v>
      </c>
      <c r="X60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0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</v>
      </c>
      <c r="Z60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0" s="53">
        <v>0</v>
      </c>
      <c r="AB60" s="53">
        <v>0</v>
      </c>
      <c r="AC60" s="54">
        <v>185.14737024216154</v>
      </c>
      <c r="AD60" s="54">
        <v>151.48421201631399</v>
      </c>
      <c r="AE60" s="52" t="s">
        <v>60</v>
      </c>
      <c r="AF60" s="53">
        <v>0</v>
      </c>
      <c r="AG60" s="53">
        <v>0</v>
      </c>
      <c r="AH60" s="53">
        <f>IF(ISNUMBER(Tabella2[[#This Row],[Mean RADIAL stress  (MPa)]]), Tabella2[[#This Row],[Mean RADIAL stress  (MPa)]],"")</f>
        <v>0</v>
      </c>
      <c r="AI60" s="53">
        <f>IF(ISNUMBER(Tabella2[[#This Row],[Amplitute RADIAL stress  (MPa)]]), Tabella2[[#This Row],[Amplitute RADIAL stress  (MPa)]],"")</f>
        <v>0</v>
      </c>
      <c r="AJ60" s="53">
        <f>IF(ISNUMBER(Tabella2[[#This Row],[Mean AXIAL stress  (MPa)]]), IF(Tabella2[[#This Row],[derived from (AXIAL/BENDING) load]]="AXIAL",Tabella2[[#This Row],[Mean AXIAL stress  (MPa)]]*Tabella2[[#This Row],[Area (mm^2)]],"Null"), "")</f>
        <v>78687.632352918663</v>
      </c>
      <c r="AK60" s="53">
        <f>IF(ISNUMBER(Tabella2[[#This Row],[Amplitute AXIAL stress  (MPa)]]),    IF(Tabella2[[#This Row],[derived from (AXIAL/BENDING) load]]="AXIAL",Tabella2[[#This Row],[Amplitute AXIAL stress  (MPa)]]*Tabella2[[#This Row],[Area (mm^2)]],"Null"), "")</f>
        <v>64380.790106933448</v>
      </c>
      <c r="AL60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0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0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60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60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0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151.48421201631399</v>
      </c>
    </row>
    <row r="61" spans="1:43" ht="20.100000000000001" customHeight="1" x14ac:dyDescent="0.25">
      <c r="A61" s="49" t="s">
        <v>65</v>
      </c>
      <c r="B61" s="49">
        <v>2007</v>
      </c>
      <c r="C61" s="49" t="s">
        <v>64</v>
      </c>
      <c r="D61" s="49" t="s">
        <v>130</v>
      </c>
      <c r="E61" s="50">
        <v>14887.4146800579</v>
      </c>
      <c r="F61" s="49" t="s">
        <v>20</v>
      </c>
      <c r="G61" s="49" t="s">
        <v>69</v>
      </c>
      <c r="H61" s="49" t="e" vm="6">
        <v>#VALUE!</v>
      </c>
      <c r="I61" s="49" t="s">
        <v>70</v>
      </c>
      <c r="J61" s="49" t="s">
        <v>32</v>
      </c>
      <c r="K61" s="49">
        <v>25</v>
      </c>
      <c r="L61" s="49">
        <v>17</v>
      </c>
      <c r="M61" s="49">
        <v>0</v>
      </c>
      <c r="N61" s="49">
        <v>0</v>
      </c>
      <c r="O61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425</v>
      </c>
      <c r="P61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10235.416666666666</v>
      </c>
      <c r="Q61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1" s="49">
        <v>0</v>
      </c>
      <c r="S61" s="49">
        <v>0</v>
      </c>
      <c r="T61" s="49">
        <v>0</v>
      </c>
      <c r="U61" s="51" t="s">
        <v>21</v>
      </c>
      <c r="V61" s="51" t="s">
        <v>21</v>
      </c>
      <c r="W61" s="51" t="s">
        <v>21</v>
      </c>
      <c r="X61" s="49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1" s="49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0.10000000000000002</v>
      </c>
      <c r="Z61" s="49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1" s="53">
        <v>0</v>
      </c>
      <c r="AB61" s="53">
        <v>0</v>
      </c>
      <c r="AC61" s="54">
        <v>183.80787336380089</v>
      </c>
      <c r="AD61" s="54">
        <v>150.388260024928</v>
      </c>
      <c r="AE61" s="52" t="s">
        <v>60</v>
      </c>
      <c r="AF61" s="53">
        <v>0</v>
      </c>
      <c r="AG61" s="53">
        <v>0</v>
      </c>
      <c r="AH61" s="53">
        <f>IF(ISNUMBER(Tabella2[[#This Row],[Mean RADIAL stress  (MPa)]]), Tabella2[[#This Row],[Mean RADIAL stress  (MPa)]],"")</f>
        <v>0</v>
      </c>
      <c r="AI61" s="53">
        <f>IF(ISNUMBER(Tabella2[[#This Row],[Amplitute RADIAL stress  (MPa)]]), Tabella2[[#This Row],[Amplitute RADIAL stress  (MPa)]],"")</f>
        <v>0</v>
      </c>
      <c r="AJ61" s="53">
        <f>IF(ISNUMBER(Tabella2[[#This Row],[Mean AXIAL stress  (MPa)]]), IF(Tabella2[[#This Row],[derived from (AXIAL/BENDING) load]]="AXIAL",Tabella2[[#This Row],[Mean AXIAL stress  (MPa)]]*Tabella2[[#This Row],[Area (mm^2)]],"Null"), "")</f>
        <v>78118.346179615386</v>
      </c>
      <c r="AK61" s="53">
        <f>IF(ISNUMBER(Tabella2[[#This Row],[Amplitute AXIAL stress  (MPa)]]),    IF(Tabella2[[#This Row],[derived from (AXIAL/BENDING) load]]="AXIAL",Tabella2[[#This Row],[Amplitute AXIAL stress  (MPa)]]*Tabella2[[#This Row],[Area (mm^2)]],"Null"), "")</f>
        <v>63915.010510594402</v>
      </c>
      <c r="AL61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1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1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61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61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1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150.388260024928</v>
      </c>
    </row>
    <row r="62" spans="1:43" ht="20.100000000000001" customHeight="1" x14ac:dyDescent="0.25">
      <c r="A62" s="49" t="s">
        <v>65</v>
      </c>
      <c r="B62" s="49">
        <v>2007</v>
      </c>
      <c r="C62" s="49" t="s">
        <v>64</v>
      </c>
      <c r="D62" s="49" t="s">
        <v>131</v>
      </c>
      <c r="E62" s="50">
        <v>72907.562526081107</v>
      </c>
      <c r="F62" s="49" t="s">
        <v>20</v>
      </c>
      <c r="G62" s="49" t="s">
        <v>69</v>
      </c>
      <c r="H62" s="49" t="e" vm="6">
        <v>#VALUE!</v>
      </c>
      <c r="I62" s="49" t="s">
        <v>70</v>
      </c>
      <c r="J62" s="49" t="s">
        <v>32</v>
      </c>
      <c r="K62" s="49">
        <v>25</v>
      </c>
      <c r="L62" s="49">
        <v>17</v>
      </c>
      <c r="M62" s="49">
        <v>0</v>
      </c>
      <c r="N62" s="49">
        <v>0</v>
      </c>
      <c r="O62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425</v>
      </c>
      <c r="P62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10235.416666666666</v>
      </c>
      <c r="Q62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2" s="49">
        <v>0</v>
      </c>
      <c r="S62" s="49">
        <v>0</v>
      </c>
      <c r="T62" s="49">
        <v>0</v>
      </c>
      <c r="U62" s="51" t="s">
        <v>21</v>
      </c>
      <c r="V62" s="51" t="s">
        <v>21</v>
      </c>
      <c r="W62" s="51" t="s">
        <v>21</v>
      </c>
      <c r="X62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2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0.10000000000000003</v>
      </c>
      <c r="Z62" s="55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2" s="53">
        <v>0</v>
      </c>
      <c r="AB62" s="53">
        <v>0</v>
      </c>
      <c r="AC62" s="54">
        <v>136.24363237813168</v>
      </c>
      <c r="AD62" s="54">
        <v>111.472062854835</v>
      </c>
      <c r="AE62" s="52" t="s">
        <v>60</v>
      </c>
      <c r="AF62" s="53">
        <v>0</v>
      </c>
      <c r="AG62" s="53">
        <v>0</v>
      </c>
      <c r="AH62" s="53">
        <f>IF(ISNUMBER(Tabella2[[#This Row],[Mean RADIAL stress  (MPa)]]), Tabella2[[#This Row],[Mean RADIAL stress  (MPa)]],"")</f>
        <v>0</v>
      </c>
      <c r="AI62" s="53">
        <f>IF(ISNUMBER(Tabella2[[#This Row],[Amplitute RADIAL stress  (MPa)]]), Tabella2[[#This Row],[Amplitute RADIAL stress  (MPa)]],"")</f>
        <v>0</v>
      </c>
      <c r="AJ62" s="53">
        <f>IF(ISNUMBER(Tabella2[[#This Row],[Mean AXIAL stress  (MPa)]]), IF(Tabella2[[#This Row],[derived from (AXIAL/BENDING) load]]="AXIAL",Tabella2[[#This Row],[Mean AXIAL stress  (MPa)]]*Tabella2[[#This Row],[Area (mm^2)]],"Null"), "")</f>
        <v>57903.543760705965</v>
      </c>
      <c r="AK62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47375.626713304875</v>
      </c>
      <c r="AL62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2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2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62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62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2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111.472062854835</v>
      </c>
    </row>
    <row r="63" spans="1:43" ht="20.100000000000001" customHeight="1" x14ac:dyDescent="0.25">
      <c r="A63" s="49" t="s">
        <v>65</v>
      </c>
      <c r="B63" s="49">
        <v>2007</v>
      </c>
      <c r="C63" s="49" t="s">
        <v>64</v>
      </c>
      <c r="D63" s="49" t="s">
        <v>132</v>
      </c>
      <c r="E63" s="50">
        <v>112022.779180029</v>
      </c>
      <c r="F63" s="49" t="s">
        <v>20</v>
      </c>
      <c r="G63" s="49" t="s">
        <v>69</v>
      </c>
      <c r="H63" s="49" t="e" vm="6">
        <v>#VALUE!</v>
      </c>
      <c r="I63" s="49" t="s">
        <v>70</v>
      </c>
      <c r="J63" s="49" t="s">
        <v>32</v>
      </c>
      <c r="K63" s="49">
        <v>25</v>
      </c>
      <c r="L63" s="49">
        <v>17</v>
      </c>
      <c r="M63" s="49">
        <v>0</v>
      </c>
      <c r="N63" s="49">
        <v>0</v>
      </c>
      <c r="O63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425</v>
      </c>
      <c r="P63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10235.416666666666</v>
      </c>
      <c r="Q63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3" s="49">
        <v>0</v>
      </c>
      <c r="S63" s="49">
        <v>0</v>
      </c>
      <c r="T63" s="49">
        <v>0</v>
      </c>
      <c r="U63" s="51" t="s">
        <v>21</v>
      </c>
      <c r="V63" s="51" t="s">
        <v>21</v>
      </c>
      <c r="W63" s="51" t="s">
        <v>21</v>
      </c>
      <c r="X63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3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0.10000000000000002</v>
      </c>
      <c r="Z63" s="55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3" s="53">
        <v>0</v>
      </c>
      <c r="AB63" s="53">
        <v>0</v>
      </c>
      <c r="AC63" s="54">
        <v>137.31068734620357</v>
      </c>
      <c r="AD63" s="54">
        <v>112.345107828712</v>
      </c>
      <c r="AE63" s="52" t="s">
        <v>60</v>
      </c>
      <c r="AF63" s="53">
        <v>0</v>
      </c>
      <c r="AG63" s="53">
        <v>0</v>
      </c>
      <c r="AH63" s="53">
        <f>IF(ISNUMBER(Tabella2[[#This Row],[Mean RADIAL stress  (MPa)]]), Tabella2[[#This Row],[Mean RADIAL stress  (MPa)]],"")</f>
        <v>0</v>
      </c>
      <c r="AI63" s="53">
        <f>IF(ISNUMBER(Tabella2[[#This Row],[Amplitute RADIAL stress  (MPa)]]), Tabella2[[#This Row],[Amplitute RADIAL stress  (MPa)]],"")</f>
        <v>0</v>
      </c>
      <c r="AJ63" s="53">
        <f>IF(ISNUMBER(Tabella2[[#This Row],[Mean AXIAL stress  (MPa)]]), IF(Tabella2[[#This Row],[derived from (AXIAL/BENDING) load]]="AXIAL",Tabella2[[#This Row],[Mean AXIAL stress  (MPa)]]*Tabella2[[#This Row],[Area (mm^2)]],"Null"), "")</f>
        <v>58357.042122136518</v>
      </c>
      <c r="AK63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47746.670827202601</v>
      </c>
      <c r="AL63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3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3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63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63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3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112.345107828712</v>
      </c>
    </row>
    <row r="64" spans="1:43" ht="20.100000000000001" customHeight="1" x14ac:dyDescent="0.25">
      <c r="A64" s="49" t="s">
        <v>65</v>
      </c>
      <c r="B64" s="49">
        <v>2007</v>
      </c>
      <c r="C64" s="49" t="s">
        <v>64</v>
      </c>
      <c r="D64" s="49" t="s">
        <v>133</v>
      </c>
      <c r="E64" s="50">
        <v>256912.30863707099</v>
      </c>
      <c r="F64" s="49" t="s">
        <v>20</v>
      </c>
      <c r="G64" s="49" t="s">
        <v>69</v>
      </c>
      <c r="H64" s="49" t="e" vm="6">
        <v>#VALUE!</v>
      </c>
      <c r="I64" s="49" t="s">
        <v>70</v>
      </c>
      <c r="J64" s="49" t="s">
        <v>32</v>
      </c>
      <c r="K64" s="49">
        <v>25</v>
      </c>
      <c r="L64" s="49">
        <v>17</v>
      </c>
      <c r="M64" s="49">
        <v>0</v>
      </c>
      <c r="N64" s="49">
        <v>0</v>
      </c>
      <c r="O64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425</v>
      </c>
      <c r="P64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10235.416666666666</v>
      </c>
      <c r="Q64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4" s="49">
        <v>0</v>
      </c>
      <c r="S64" s="49">
        <v>0</v>
      </c>
      <c r="T64" s="49">
        <v>0</v>
      </c>
      <c r="U64" s="51" t="s">
        <v>21</v>
      </c>
      <c r="V64" s="51" t="s">
        <v>21</v>
      </c>
      <c r="W64" s="51" t="s">
        <v>21</v>
      </c>
      <c r="X64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4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9.9999999999999992E-2</v>
      </c>
      <c r="Z64" s="55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4" s="53">
        <v>0</v>
      </c>
      <c r="AB64" s="53">
        <v>0</v>
      </c>
      <c r="AC64" s="54">
        <v>111.06664105198297</v>
      </c>
      <c r="AD64" s="54">
        <v>90.872706315258796</v>
      </c>
      <c r="AE64" s="52" t="s">
        <v>60</v>
      </c>
      <c r="AF64" s="53">
        <v>0</v>
      </c>
      <c r="AG64" s="53">
        <v>0</v>
      </c>
      <c r="AH64" s="53">
        <f>IF(ISNUMBER(Tabella2[[#This Row],[Mean RADIAL stress  (MPa)]]), Tabella2[[#This Row],[Mean RADIAL stress  (MPa)]],"")</f>
        <v>0</v>
      </c>
      <c r="AI64" s="53">
        <f>IF(ISNUMBER(Tabella2[[#This Row],[Amplitute RADIAL stress  (MPa)]]), Tabella2[[#This Row],[Amplitute RADIAL stress  (MPa)]],"")</f>
        <v>0</v>
      </c>
      <c r="AJ64" s="53">
        <f>IF(ISNUMBER(Tabella2[[#This Row],[Mean AXIAL stress  (MPa)]]), IF(Tabella2[[#This Row],[derived from (AXIAL/BENDING) load]]="AXIAL",Tabella2[[#This Row],[Mean AXIAL stress  (MPa)]]*Tabella2[[#This Row],[Area (mm^2)]],"Null"), "")</f>
        <v>47203.32244709276</v>
      </c>
      <c r="AK64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38620.900183984988</v>
      </c>
      <c r="AL64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4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4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64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64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4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90.872706315258796</v>
      </c>
    </row>
    <row r="65" spans="1:43" ht="20.100000000000001" customHeight="1" x14ac:dyDescent="0.25">
      <c r="A65" s="49" t="s">
        <v>65</v>
      </c>
      <c r="B65" s="49">
        <v>2007</v>
      </c>
      <c r="C65" s="49" t="s">
        <v>64</v>
      </c>
      <c r="D65" s="49" t="s">
        <v>134</v>
      </c>
      <c r="E65" s="50">
        <v>359661.69332325098</v>
      </c>
      <c r="F65" s="49" t="s">
        <v>20</v>
      </c>
      <c r="G65" s="49" t="s">
        <v>69</v>
      </c>
      <c r="H65" s="49" t="e" vm="6">
        <v>#VALUE!</v>
      </c>
      <c r="I65" s="49" t="s">
        <v>70</v>
      </c>
      <c r="J65" s="49" t="s">
        <v>32</v>
      </c>
      <c r="K65" s="49">
        <v>25</v>
      </c>
      <c r="L65" s="49">
        <v>17</v>
      </c>
      <c r="M65" s="49">
        <v>0</v>
      </c>
      <c r="N65" s="49">
        <v>0</v>
      </c>
      <c r="O65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425</v>
      </c>
      <c r="P65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10235.416666666666</v>
      </c>
      <c r="Q65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5" s="49">
        <v>0</v>
      </c>
      <c r="S65" s="49">
        <v>0</v>
      </c>
      <c r="T65" s="49">
        <v>0</v>
      </c>
      <c r="U65" s="51" t="s">
        <v>21</v>
      </c>
      <c r="V65" s="51" t="s">
        <v>21</v>
      </c>
      <c r="W65" s="51" t="s">
        <v>21</v>
      </c>
      <c r="X65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5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0.10000000000000002</v>
      </c>
      <c r="Z65" s="55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5" s="53">
        <v>0</v>
      </c>
      <c r="AB65" s="53">
        <v>0</v>
      </c>
      <c r="AC65" s="54">
        <v>110.29331697750483</v>
      </c>
      <c r="AD65" s="54">
        <v>90.239986617958493</v>
      </c>
      <c r="AE65" s="52" t="s">
        <v>60</v>
      </c>
      <c r="AF65" s="53">
        <v>0</v>
      </c>
      <c r="AG65" s="53">
        <v>0</v>
      </c>
      <c r="AH65" s="53">
        <f>IF(ISNUMBER(Tabella2[[#This Row],[Mean RADIAL stress  (MPa)]]), Tabella2[[#This Row],[Mean RADIAL stress  (MPa)]],"")</f>
        <v>0</v>
      </c>
      <c r="AI65" s="53">
        <f>IF(ISNUMBER(Tabella2[[#This Row],[Amplitute RADIAL stress  (MPa)]]), Tabella2[[#This Row],[Amplitute RADIAL stress  (MPa)]],"")</f>
        <v>0</v>
      </c>
      <c r="AJ65" s="53">
        <f>IF(ISNUMBER(Tabella2[[#This Row],[Mean AXIAL stress  (MPa)]]), IF(Tabella2[[#This Row],[derived from (AXIAL/BENDING) load]]="AXIAL",Tabella2[[#This Row],[Mean AXIAL stress  (MPa)]]*Tabella2[[#This Row],[Area (mm^2)]],"Null"), "")</f>
        <v>46874.659715439549</v>
      </c>
      <c r="AK65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38351.994312632363</v>
      </c>
      <c r="AL65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5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5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65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65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5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90.239986617958493</v>
      </c>
    </row>
    <row r="66" spans="1:43" ht="20.100000000000001" customHeight="1" x14ac:dyDescent="0.25">
      <c r="A66" s="49" t="s">
        <v>65</v>
      </c>
      <c r="B66" s="49">
        <v>2007</v>
      </c>
      <c r="C66" s="49" t="s">
        <v>64</v>
      </c>
      <c r="D66" s="49" t="s">
        <v>135</v>
      </c>
      <c r="E66" s="50">
        <v>409056.60641264298</v>
      </c>
      <c r="F66" s="49" t="s">
        <v>20</v>
      </c>
      <c r="G66" s="49" t="s">
        <v>69</v>
      </c>
      <c r="H66" s="49" t="e" vm="6">
        <v>#VALUE!</v>
      </c>
      <c r="I66" s="49" t="s">
        <v>70</v>
      </c>
      <c r="J66" s="49" t="s">
        <v>32</v>
      </c>
      <c r="K66" s="49">
        <v>25</v>
      </c>
      <c r="L66" s="49">
        <v>17</v>
      </c>
      <c r="M66" s="49">
        <v>0</v>
      </c>
      <c r="N66" s="49">
        <v>0</v>
      </c>
      <c r="O66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425</v>
      </c>
      <c r="P66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10235.416666666666</v>
      </c>
      <c r="Q66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6" s="49">
        <v>0</v>
      </c>
      <c r="S66" s="49">
        <v>0</v>
      </c>
      <c r="T66" s="49">
        <v>0</v>
      </c>
      <c r="U66" s="51" t="s">
        <v>21</v>
      </c>
      <c r="V66" s="51" t="s">
        <v>21</v>
      </c>
      <c r="W66" s="51" t="s">
        <v>21</v>
      </c>
      <c r="X66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6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0.10000000000000003</v>
      </c>
      <c r="Z66" s="55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6" s="53">
        <v>0</v>
      </c>
      <c r="AB66" s="53">
        <v>0</v>
      </c>
      <c r="AC66" s="54">
        <v>99.529432013764506</v>
      </c>
      <c r="AD66" s="54">
        <v>81.4331716476255</v>
      </c>
      <c r="AE66" s="52" t="s">
        <v>60</v>
      </c>
      <c r="AF66" s="53">
        <v>0</v>
      </c>
      <c r="AG66" s="53">
        <v>0</v>
      </c>
      <c r="AH66" s="53">
        <f>IF(ISNUMBER(Tabella2[[#This Row],[Mean RADIAL stress  (MPa)]]), Tabella2[[#This Row],[Mean RADIAL stress  (MPa)]],"")</f>
        <v>0</v>
      </c>
      <c r="AI66" s="53">
        <f>IF(ISNUMBER(Tabella2[[#This Row],[Amplitute RADIAL stress  (MPa)]]), Tabella2[[#This Row],[Amplitute RADIAL stress  (MPa)]],"")</f>
        <v>0</v>
      </c>
      <c r="AJ66" s="53">
        <f>IF(ISNUMBER(Tabella2[[#This Row],[Mean AXIAL stress  (MPa)]]), IF(Tabella2[[#This Row],[derived from (AXIAL/BENDING) load]]="AXIAL",Tabella2[[#This Row],[Mean AXIAL stress  (MPa)]]*Tabella2[[#This Row],[Area (mm^2)]],"Null"), "")</f>
        <v>42300.008605849915</v>
      </c>
      <c r="AK66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34609.097950240837</v>
      </c>
      <c r="AL66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6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6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66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66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6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81.4331716476255</v>
      </c>
    </row>
    <row r="67" spans="1:43" ht="20.100000000000001" customHeight="1" x14ac:dyDescent="0.25">
      <c r="A67" s="49" t="s">
        <v>65</v>
      </c>
      <c r="B67" s="49">
        <v>2007</v>
      </c>
      <c r="C67" s="49" t="s">
        <v>64</v>
      </c>
      <c r="D67" s="49" t="s">
        <v>136</v>
      </c>
      <c r="E67" s="50">
        <v>465304.330597586</v>
      </c>
      <c r="F67" s="49" t="s">
        <v>20</v>
      </c>
      <c r="G67" s="49" t="s">
        <v>69</v>
      </c>
      <c r="H67" s="49" t="e" vm="6">
        <v>#VALUE!</v>
      </c>
      <c r="I67" s="49" t="s">
        <v>70</v>
      </c>
      <c r="J67" s="49" t="s">
        <v>32</v>
      </c>
      <c r="K67" s="49">
        <v>25</v>
      </c>
      <c r="L67" s="49">
        <v>17</v>
      </c>
      <c r="M67" s="49">
        <v>0</v>
      </c>
      <c r="N67" s="49">
        <v>0</v>
      </c>
      <c r="O67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425</v>
      </c>
      <c r="P67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10235.416666666666</v>
      </c>
      <c r="Q67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7" s="49">
        <v>0</v>
      </c>
      <c r="S67" s="49">
        <v>0</v>
      </c>
      <c r="T67" s="49">
        <v>0</v>
      </c>
      <c r="U67" s="51" t="s">
        <v>21</v>
      </c>
      <c r="V67" s="51" t="s">
        <v>21</v>
      </c>
      <c r="W67" s="51" t="s">
        <v>21</v>
      </c>
      <c r="X67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7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9.9999999999999978E-2</v>
      </c>
      <c r="Z67" s="55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7" s="53">
        <v>0</v>
      </c>
      <c r="AB67" s="53">
        <v>0</v>
      </c>
      <c r="AC67" s="54">
        <v>98.814624937452109</v>
      </c>
      <c r="AD67" s="54">
        <v>80.848329494279</v>
      </c>
      <c r="AE67" s="52" t="s">
        <v>60</v>
      </c>
      <c r="AF67" s="53">
        <v>0</v>
      </c>
      <c r="AG67" s="53">
        <v>0</v>
      </c>
      <c r="AH67" s="53">
        <f>IF(ISNUMBER(Tabella2[[#This Row],[Mean RADIAL stress  (MPa)]]), Tabella2[[#This Row],[Mean RADIAL stress  (MPa)]],"")</f>
        <v>0</v>
      </c>
      <c r="AI67" s="53">
        <f>IF(ISNUMBER(Tabella2[[#This Row],[Amplitute RADIAL stress  (MPa)]]), Tabella2[[#This Row],[Amplitute RADIAL stress  (MPa)]],"")</f>
        <v>0</v>
      </c>
      <c r="AJ67" s="53">
        <f>IF(ISNUMBER(Tabella2[[#This Row],[Mean AXIAL stress  (MPa)]]), IF(Tabella2[[#This Row],[derived from (AXIAL/BENDING) load]]="AXIAL",Tabella2[[#This Row],[Mean AXIAL stress  (MPa)]]*Tabella2[[#This Row],[Area (mm^2)]],"Null"), "")</f>
        <v>41996.215598417148</v>
      </c>
      <c r="AK67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34360.540035068574</v>
      </c>
      <c r="AL67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7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7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67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67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7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80.848329494279</v>
      </c>
    </row>
    <row r="68" spans="1:43" ht="20.100000000000001" customHeight="1" x14ac:dyDescent="0.25">
      <c r="A68" s="49" t="s">
        <v>65</v>
      </c>
      <c r="B68" s="49">
        <v>2007</v>
      </c>
      <c r="C68" s="49" t="s">
        <v>64</v>
      </c>
      <c r="D68" s="49" t="s">
        <v>137</v>
      </c>
      <c r="E68" s="50">
        <v>46798.764992251898</v>
      </c>
      <c r="F68" s="49" t="s">
        <v>20</v>
      </c>
      <c r="G68" s="49" t="s">
        <v>69</v>
      </c>
      <c r="H68" s="49" t="e" vm="14">
        <v>#VALUE!</v>
      </c>
      <c r="I68" s="49" t="s">
        <v>70</v>
      </c>
      <c r="J68" s="49" t="s">
        <v>32</v>
      </c>
      <c r="K68" s="49">
        <v>25</v>
      </c>
      <c r="L68" s="49">
        <v>21.5</v>
      </c>
      <c r="M68" s="49">
        <v>0</v>
      </c>
      <c r="N68" s="49">
        <v>0</v>
      </c>
      <c r="O68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537.5</v>
      </c>
      <c r="P68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20704.947916666668</v>
      </c>
      <c r="Q68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8" s="49">
        <v>0</v>
      </c>
      <c r="S68" s="49">
        <v>0</v>
      </c>
      <c r="T68" s="49">
        <v>0</v>
      </c>
      <c r="U68" s="51" t="s">
        <v>21</v>
      </c>
      <c r="V68" s="51" t="s">
        <v>21</v>
      </c>
      <c r="W68" s="51" t="s">
        <v>21</v>
      </c>
      <c r="X68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8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0.10000000000000003</v>
      </c>
      <c r="Z68" s="55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8" s="53">
        <v>0</v>
      </c>
      <c r="AB68" s="53">
        <v>0</v>
      </c>
      <c r="AC68" s="54">
        <v>185.38849836005525</v>
      </c>
      <c r="AD68" s="54">
        <v>151.68149865822701</v>
      </c>
      <c r="AE68" s="52" t="s">
        <v>60</v>
      </c>
      <c r="AF68" s="53">
        <v>0</v>
      </c>
      <c r="AG68" s="53">
        <v>0</v>
      </c>
      <c r="AH68" s="53">
        <f>IF(ISNUMBER(Tabella2[[#This Row],[Mean RADIAL stress  (MPa)]]), Tabella2[[#This Row],[Mean RADIAL stress  (MPa)]],"")</f>
        <v>0</v>
      </c>
      <c r="AI68" s="53">
        <f>IF(ISNUMBER(Tabella2[[#This Row],[Amplitute RADIAL stress  (MPa)]]), Tabella2[[#This Row],[Amplitute RADIAL stress  (MPa)]],"")</f>
        <v>0</v>
      </c>
      <c r="AJ68" s="53">
        <f>IF(ISNUMBER(Tabella2[[#This Row],[Mean AXIAL stress  (MPa)]]), IF(Tabella2[[#This Row],[derived from (AXIAL/BENDING) load]]="AXIAL",Tabella2[[#This Row],[Mean AXIAL stress  (MPa)]]*Tabella2[[#This Row],[Area (mm^2)]],"Null"), "")</f>
        <v>99646.317868529703</v>
      </c>
      <c r="AK68" s="53">
        <f>IF(ISNUMBER(Tabella2[[#This Row],[Amplitute AXIAL stress  (MPa)]]),    IF(Tabella2[[#This Row],[derived from (AXIAL/BENDING) load]]="AXIAL",Tabella2[[#This Row],[Amplitute AXIAL stress  (MPa)]]*Tabella2[[#This Row],[Area (mm^2)]],"Null"), "")</f>
        <v>81528.80552879702</v>
      </c>
      <c r="AL68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8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8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68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68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8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151.68149865822701</v>
      </c>
    </row>
    <row r="69" spans="1:43" ht="20.100000000000001" customHeight="1" x14ac:dyDescent="0.25">
      <c r="A69" s="49" t="s">
        <v>65</v>
      </c>
      <c r="B69" s="49">
        <v>2007</v>
      </c>
      <c r="C69" s="49" t="s">
        <v>64</v>
      </c>
      <c r="D69" s="49" t="s">
        <v>138</v>
      </c>
      <c r="E69" s="50">
        <v>55969.286402582497</v>
      </c>
      <c r="F69" s="49" t="s">
        <v>20</v>
      </c>
      <c r="G69" s="49" t="s">
        <v>69</v>
      </c>
      <c r="H69" s="49" t="e" vm="9">
        <v>#VALUE!</v>
      </c>
      <c r="I69" s="49" t="s">
        <v>70</v>
      </c>
      <c r="J69" s="49" t="s">
        <v>32</v>
      </c>
      <c r="K69" s="49">
        <v>25</v>
      </c>
      <c r="L69" s="49">
        <v>21.5</v>
      </c>
      <c r="M69" s="49">
        <v>0</v>
      </c>
      <c r="N69" s="49">
        <v>0</v>
      </c>
      <c r="O69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537.5</v>
      </c>
      <c r="P69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20704.947916666668</v>
      </c>
      <c r="Q69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69" s="49">
        <v>0</v>
      </c>
      <c r="S69" s="49">
        <v>0</v>
      </c>
      <c r="T69" s="49">
        <v>0</v>
      </c>
      <c r="U69" s="51" t="s">
        <v>21</v>
      </c>
      <c r="V69" s="51" t="s">
        <v>21</v>
      </c>
      <c r="W69" s="51" t="s">
        <v>21</v>
      </c>
      <c r="X69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9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0.10000000000000002</v>
      </c>
      <c r="Z69" s="55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9" s="53">
        <v>0</v>
      </c>
      <c r="AB69" s="53">
        <v>0</v>
      </c>
      <c r="AC69" s="54">
        <v>184.06686943754022</v>
      </c>
      <c r="AD69" s="54">
        <v>150.60016590344199</v>
      </c>
      <c r="AE69" s="52" t="s">
        <v>60</v>
      </c>
      <c r="AF69" s="53">
        <v>0</v>
      </c>
      <c r="AG69" s="53">
        <v>0</v>
      </c>
      <c r="AH69" s="53">
        <f>IF(ISNUMBER(Tabella2[[#This Row],[Mean RADIAL stress  (MPa)]]), Tabella2[[#This Row],[Mean RADIAL stress  (MPa)]],"")</f>
        <v>0</v>
      </c>
      <c r="AI69" s="53">
        <f>IF(ISNUMBER(Tabella2[[#This Row],[Amplitute RADIAL stress  (MPa)]]), Tabella2[[#This Row],[Amplitute RADIAL stress  (MPa)]],"")</f>
        <v>0</v>
      </c>
      <c r="AJ69" s="53">
        <f>IF(ISNUMBER(Tabella2[[#This Row],[Mean AXIAL stress  (MPa)]]), IF(Tabella2[[#This Row],[derived from (AXIAL/BENDING) load]]="AXIAL",Tabella2[[#This Row],[Mean AXIAL stress  (MPa)]]*Tabella2[[#This Row],[Area (mm^2)]],"Null"), "")</f>
        <v>98935.942322677874</v>
      </c>
      <c r="AK69" s="53">
        <f>IF(ISNUMBER(Tabella2[[#This Row],[Amplitute AXIAL stress  (MPa)]]),    IF(Tabella2[[#This Row],[derived from (AXIAL/BENDING) load]]="AXIAL",Tabella2[[#This Row],[Amplitute AXIAL stress  (MPa)]]*Tabella2[[#This Row],[Area (mm^2)]],"Null"), "")</f>
        <v>80947.589173100074</v>
      </c>
      <c r="AL69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9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9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69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69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9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150.60016590344199</v>
      </c>
    </row>
    <row r="70" spans="1:43" ht="20.100000000000001" customHeight="1" x14ac:dyDescent="0.25">
      <c r="A70" s="49" t="s">
        <v>65</v>
      </c>
      <c r="B70" s="49">
        <v>2007</v>
      </c>
      <c r="C70" s="49" t="s">
        <v>64</v>
      </c>
      <c r="D70" s="49" t="s">
        <v>139</v>
      </c>
      <c r="E70" s="50">
        <v>143952.40859193099</v>
      </c>
      <c r="F70" s="49" t="s">
        <v>20</v>
      </c>
      <c r="G70" s="49" t="s">
        <v>69</v>
      </c>
      <c r="H70" s="49" t="e" vm="9">
        <v>#VALUE!</v>
      </c>
      <c r="I70" s="49" t="s">
        <v>70</v>
      </c>
      <c r="J70" s="49" t="s">
        <v>32</v>
      </c>
      <c r="K70" s="49">
        <v>25</v>
      </c>
      <c r="L70" s="49">
        <v>21.5</v>
      </c>
      <c r="M70" s="49">
        <v>0</v>
      </c>
      <c r="N70" s="49">
        <v>0</v>
      </c>
      <c r="O70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537.5</v>
      </c>
      <c r="P70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20704.947916666668</v>
      </c>
      <c r="Q70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70" s="49">
        <v>0</v>
      </c>
      <c r="S70" s="49">
        <v>0</v>
      </c>
      <c r="T70" s="49">
        <v>0</v>
      </c>
      <c r="U70" s="51" t="s">
        <v>21</v>
      </c>
      <c r="V70" s="51" t="s">
        <v>21</v>
      </c>
      <c r="W70" s="51" t="s">
        <v>21</v>
      </c>
      <c r="X70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0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0.10000000000000002</v>
      </c>
      <c r="Z70" s="55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0" s="53">
        <v>0</v>
      </c>
      <c r="AB70" s="53">
        <v>0</v>
      </c>
      <c r="AC70" s="54">
        <v>160.25286033348777</v>
      </c>
      <c r="AD70" s="54">
        <v>131.11597663648999</v>
      </c>
      <c r="AE70" s="52" t="s">
        <v>60</v>
      </c>
      <c r="AF70" s="53">
        <v>0</v>
      </c>
      <c r="AG70" s="53">
        <v>0</v>
      </c>
      <c r="AH70" s="53">
        <f>IF(ISNUMBER(Tabella2[[#This Row],[Mean RADIAL stress  (MPa)]]), Tabella2[[#This Row],[Mean RADIAL stress  (MPa)]],"")</f>
        <v>0</v>
      </c>
      <c r="AI70" s="53">
        <f>IF(ISNUMBER(Tabella2[[#This Row],[Amplitute RADIAL stress  (MPa)]]), Tabella2[[#This Row],[Amplitute RADIAL stress  (MPa)]],"")</f>
        <v>0</v>
      </c>
      <c r="AJ70" s="53">
        <f>IF(ISNUMBER(Tabella2[[#This Row],[Mean AXIAL stress  (MPa)]]), IF(Tabella2[[#This Row],[derived from (AXIAL/BENDING) load]]="AXIAL",Tabella2[[#This Row],[Mean AXIAL stress  (MPa)]]*Tabella2[[#This Row],[Area (mm^2)]],"Null"), "")</f>
        <v>86135.912429249685</v>
      </c>
      <c r="AK70" s="53">
        <f>IF(ISNUMBER(Tabella2[[#This Row],[Amplitute AXIAL stress  (MPa)]]),    IF(Tabella2[[#This Row],[derived from (AXIAL/BENDING) load]]="AXIAL",Tabella2[[#This Row],[Amplitute AXIAL stress  (MPa)]]*Tabella2[[#This Row],[Area (mm^2)]],"Null"), "")</f>
        <v>70474.837442113363</v>
      </c>
      <c r="AL70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0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0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70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70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0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131.11597663648999</v>
      </c>
    </row>
    <row r="71" spans="1:43" ht="20.100000000000001" customHeight="1" x14ac:dyDescent="0.25">
      <c r="A71" s="49" t="s">
        <v>65</v>
      </c>
      <c r="B71" s="49">
        <v>2007</v>
      </c>
      <c r="C71" s="49" t="s">
        <v>64</v>
      </c>
      <c r="D71" s="49" t="s">
        <v>140</v>
      </c>
      <c r="E71" s="50">
        <v>150271.55297662399</v>
      </c>
      <c r="F71" s="49" t="s">
        <v>20</v>
      </c>
      <c r="G71" s="49" t="s">
        <v>69</v>
      </c>
      <c r="H71" s="49" t="e" vm="9">
        <v>#VALUE!</v>
      </c>
      <c r="I71" s="49" t="s">
        <v>70</v>
      </c>
      <c r="J71" s="49" t="s">
        <v>32</v>
      </c>
      <c r="K71" s="49">
        <v>25</v>
      </c>
      <c r="L71" s="49">
        <v>21.5</v>
      </c>
      <c r="M71" s="49">
        <v>0</v>
      </c>
      <c r="N71" s="49">
        <v>0</v>
      </c>
      <c r="O71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537.5</v>
      </c>
      <c r="P71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20704.947916666668</v>
      </c>
      <c r="Q71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71" s="49">
        <v>0</v>
      </c>
      <c r="S71" s="49">
        <v>0</v>
      </c>
      <c r="T71" s="49">
        <v>0</v>
      </c>
      <c r="U71" s="51" t="s">
        <v>21</v>
      </c>
      <c r="V71" s="51" t="s">
        <v>21</v>
      </c>
      <c r="W71" s="51" t="s">
        <v>21</v>
      </c>
      <c r="X71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1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0.10000000000000003</v>
      </c>
      <c r="Z71" s="55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1" s="53">
        <v>0</v>
      </c>
      <c r="AB71" s="53">
        <v>0</v>
      </c>
      <c r="AC71" s="54">
        <v>161.44158800268158</v>
      </c>
      <c r="AD71" s="54">
        <v>132.08857200219401</v>
      </c>
      <c r="AE71" s="52" t="s">
        <v>60</v>
      </c>
      <c r="AF71" s="53">
        <v>0</v>
      </c>
      <c r="AG71" s="53">
        <v>0</v>
      </c>
      <c r="AH71" s="53">
        <f>IF(ISNUMBER(Tabella2[[#This Row],[Mean RADIAL stress  (MPa)]]), Tabella2[[#This Row],[Mean RADIAL stress  (MPa)]],"")</f>
        <v>0</v>
      </c>
      <c r="AI71" s="53">
        <f>IF(ISNUMBER(Tabella2[[#This Row],[Amplitute RADIAL stress  (MPa)]]), Tabella2[[#This Row],[Amplitute RADIAL stress  (MPa)]],"")</f>
        <v>0</v>
      </c>
      <c r="AJ71" s="53">
        <f>IF(ISNUMBER(Tabella2[[#This Row],[Mean AXIAL stress  (MPa)]]), IF(Tabella2[[#This Row],[derived from (AXIAL/BENDING) load]]="AXIAL",Tabella2[[#This Row],[Mean AXIAL stress  (MPa)]]*Tabella2[[#This Row],[Area (mm^2)]],"Null"), "")</f>
        <v>86774.853551441352</v>
      </c>
      <c r="AK71" s="53">
        <f>IF(ISNUMBER(Tabella2[[#This Row],[Amplitute AXIAL stress  (MPa)]]),    IF(Tabella2[[#This Row],[derived from (AXIAL/BENDING) load]]="AXIAL",Tabella2[[#This Row],[Amplitute AXIAL stress  (MPa)]]*Tabella2[[#This Row],[Area (mm^2)]],"Null"), "")</f>
        <v>70997.607451179283</v>
      </c>
      <c r="AL71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1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1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71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71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1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132.08857200219401</v>
      </c>
    </row>
    <row r="72" spans="1:43" ht="20.100000000000001" customHeight="1" x14ac:dyDescent="0.25">
      <c r="A72" s="49" t="s">
        <v>65</v>
      </c>
      <c r="B72" s="49">
        <v>2007</v>
      </c>
      <c r="C72" s="49" t="s">
        <v>64</v>
      </c>
      <c r="D72" s="49" t="s">
        <v>141</v>
      </c>
      <c r="E72" s="50">
        <v>300824.137036103</v>
      </c>
      <c r="F72" s="49" t="s">
        <v>20</v>
      </c>
      <c r="G72" s="49" t="s">
        <v>69</v>
      </c>
      <c r="H72" s="49" t="e" vm="9">
        <v>#VALUE!</v>
      </c>
      <c r="I72" s="49" t="s">
        <v>70</v>
      </c>
      <c r="J72" s="49" t="s">
        <v>32</v>
      </c>
      <c r="K72" s="49">
        <v>25</v>
      </c>
      <c r="L72" s="49">
        <v>21.5</v>
      </c>
      <c r="M72" s="49">
        <v>0</v>
      </c>
      <c r="N72" s="49">
        <v>0</v>
      </c>
      <c r="O72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537.5</v>
      </c>
      <c r="P72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20704.947916666668</v>
      </c>
      <c r="Q72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72" s="49">
        <v>0</v>
      </c>
      <c r="S72" s="49">
        <v>0</v>
      </c>
      <c r="T72" s="49">
        <v>0</v>
      </c>
      <c r="U72" s="51" t="s">
        <v>21</v>
      </c>
      <c r="V72" s="51" t="s">
        <v>21</v>
      </c>
      <c r="W72" s="51" t="s">
        <v>21</v>
      </c>
      <c r="X72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2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0.10000000000000009</v>
      </c>
      <c r="Z72" s="55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2" s="53">
        <v>0</v>
      </c>
      <c r="AB72" s="53">
        <v>0</v>
      </c>
      <c r="AC72" s="54">
        <v>135.4505905634567</v>
      </c>
      <c r="AD72" s="54">
        <v>110.82321046101001</v>
      </c>
      <c r="AE72" s="52" t="s">
        <v>60</v>
      </c>
      <c r="AF72" s="53">
        <v>0</v>
      </c>
      <c r="AG72" s="53">
        <v>0</v>
      </c>
      <c r="AH72" s="53">
        <f>IF(ISNUMBER(Tabella2[[#This Row],[Mean RADIAL stress  (MPa)]]), Tabella2[[#This Row],[Mean RADIAL stress  (MPa)]],"")</f>
        <v>0</v>
      </c>
      <c r="AI72" s="53">
        <f>IF(ISNUMBER(Tabella2[[#This Row],[Amplitute RADIAL stress  (MPa)]]), Tabella2[[#This Row],[Amplitute RADIAL stress  (MPa)]],"")</f>
        <v>0</v>
      </c>
      <c r="AJ72" s="53">
        <f>IF(ISNUMBER(Tabella2[[#This Row],[Mean AXIAL stress  (MPa)]]), IF(Tabella2[[#This Row],[derived from (AXIAL/BENDING) load]]="AXIAL",Tabella2[[#This Row],[Mean AXIAL stress  (MPa)]]*Tabella2[[#This Row],[Area (mm^2)]],"Null"), "")</f>
        <v>72804.692427857983</v>
      </c>
      <c r="AK72" s="53">
        <f>IF(ISNUMBER(Tabella2[[#This Row],[Amplitute AXIAL stress  (MPa)]]),    IF(Tabella2[[#This Row],[derived from (AXIAL/BENDING) load]]="AXIAL",Tabella2[[#This Row],[Amplitute AXIAL stress  (MPa)]]*Tabella2[[#This Row],[Area (mm^2)]],"Null"), "")</f>
        <v>59567.475622792881</v>
      </c>
      <c r="AL72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2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2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72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72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2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110.82321046101001</v>
      </c>
    </row>
    <row r="73" spans="1:43" ht="20.100000000000001" customHeight="1" x14ac:dyDescent="0.25">
      <c r="A73" s="49" t="s">
        <v>65</v>
      </c>
      <c r="B73" s="49">
        <v>2007</v>
      </c>
      <c r="C73" s="49" t="s">
        <v>64</v>
      </c>
      <c r="D73" s="49" t="s">
        <v>142</v>
      </c>
      <c r="E73" s="50">
        <v>364964.51621017698</v>
      </c>
      <c r="F73" s="49" t="s">
        <v>20</v>
      </c>
      <c r="G73" s="49" t="s">
        <v>69</v>
      </c>
      <c r="H73" s="49" t="e" vm="9">
        <v>#VALUE!</v>
      </c>
      <c r="I73" s="49" t="s">
        <v>70</v>
      </c>
      <c r="J73" s="49" t="s">
        <v>32</v>
      </c>
      <c r="K73" s="49">
        <v>25</v>
      </c>
      <c r="L73" s="49">
        <v>21.5</v>
      </c>
      <c r="M73" s="49">
        <v>0</v>
      </c>
      <c r="N73" s="49">
        <v>0</v>
      </c>
      <c r="O73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537.5</v>
      </c>
      <c r="P73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20704.947916666668</v>
      </c>
      <c r="Q73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73" s="49">
        <v>0</v>
      </c>
      <c r="S73" s="49">
        <v>0</v>
      </c>
      <c r="T73" s="49">
        <v>0</v>
      </c>
      <c r="U73" s="51" t="s">
        <v>21</v>
      </c>
      <c r="V73" s="51" t="s">
        <v>21</v>
      </c>
      <c r="W73" s="51" t="s">
        <v>21</v>
      </c>
      <c r="X73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3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0.10000000000000007</v>
      </c>
      <c r="Z73" s="55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3" s="53">
        <v>0</v>
      </c>
      <c r="AB73" s="53">
        <v>0</v>
      </c>
      <c r="AC73" s="54">
        <v>135.47842874353825</v>
      </c>
      <c r="AD73" s="54">
        <v>110.845987153804</v>
      </c>
      <c r="AE73" s="52" t="s">
        <v>60</v>
      </c>
      <c r="AF73" s="53">
        <v>0</v>
      </c>
      <c r="AG73" s="53">
        <v>0</v>
      </c>
      <c r="AH73" s="53">
        <f>IF(ISNUMBER(Tabella2[[#This Row],[Mean RADIAL stress  (MPa)]]), Tabella2[[#This Row],[Mean RADIAL stress  (MPa)]],"")</f>
        <v>0</v>
      </c>
      <c r="AI73" s="53">
        <f>IF(ISNUMBER(Tabella2[[#This Row],[Amplitute RADIAL stress  (MPa)]]), Tabella2[[#This Row],[Amplitute RADIAL stress  (MPa)]],"")</f>
        <v>0</v>
      </c>
      <c r="AJ73" s="53">
        <f>IF(ISNUMBER(Tabella2[[#This Row],[Mean AXIAL stress  (MPa)]]), IF(Tabella2[[#This Row],[derived from (AXIAL/BENDING) load]]="AXIAL",Tabella2[[#This Row],[Mean AXIAL stress  (MPa)]]*Tabella2[[#This Row],[Area (mm^2)]],"Null"), "")</f>
        <v>72819.655449651807</v>
      </c>
      <c r="AK73" s="53">
        <f>IF(ISNUMBER(Tabella2[[#This Row],[Amplitute AXIAL stress  (MPa)]]),    IF(Tabella2[[#This Row],[derived from (AXIAL/BENDING) load]]="AXIAL",Tabella2[[#This Row],[Amplitute AXIAL stress  (MPa)]]*Tabella2[[#This Row],[Area (mm^2)]],"Null"), "")</f>
        <v>59579.71809516965</v>
      </c>
      <c r="AL73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3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3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73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73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3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110.845987153804</v>
      </c>
    </row>
    <row r="74" spans="1:43" ht="20.100000000000001" customHeight="1" x14ac:dyDescent="0.25">
      <c r="A74" s="49" t="s">
        <v>65</v>
      </c>
      <c r="B74" s="49">
        <v>2007</v>
      </c>
      <c r="C74" s="49" t="s">
        <v>64</v>
      </c>
      <c r="D74" s="49" t="s">
        <v>143</v>
      </c>
      <c r="E74" s="50">
        <v>544772.62994623603</v>
      </c>
      <c r="F74" s="49" t="s">
        <v>20</v>
      </c>
      <c r="G74" s="49" t="s">
        <v>69</v>
      </c>
      <c r="H74" s="49" t="e" vm="9">
        <v>#VALUE!</v>
      </c>
      <c r="I74" s="49" t="s">
        <v>70</v>
      </c>
      <c r="J74" s="49" t="s">
        <v>32</v>
      </c>
      <c r="K74" s="49">
        <v>25</v>
      </c>
      <c r="L74" s="49">
        <v>21.5</v>
      </c>
      <c r="M74" s="49">
        <v>0</v>
      </c>
      <c r="N74" s="49">
        <v>0</v>
      </c>
      <c r="O74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537.5</v>
      </c>
      <c r="P74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20704.947916666668</v>
      </c>
      <c r="Q74" s="51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74" s="49">
        <v>0</v>
      </c>
      <c r="S74" s="49">
        <v>0</v>
      </c>
      <c r="T74" s="49">
        <v>0</v>
      </c>
      <c r="U74" s="51" t="s">
        <v>21</v>
      </c>
      <c r="V74" s="51" t="s">
        <v>21</v>
      </c>
      <c r="W74" s="51" t="s">
        <v>21</v>
      </c>
      <c r="X74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4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0.10000000000000002</v>
      </c>
      <c r="Z74" s="55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4" s="53">
        <v>0</v>
      </c>
      <c r="AB74" s="53">
        <v>0</v>
      </c>
      <c r="AC74" s="54">
        <v>111.97485590660271</v>
      </c>
      <c r="AD74" s="54">
        <v>91.615791196311307</v>
      </c>
      <c r="AE74" s="52" t="s">
        <v>60</v>
      </c>
      <c r="AF74" s="53">
        <v>0</v>
      </c>
      <c r="AG74" s="53">
        <v>0</v>
      </c>
      <c r="AH74" s="53">
        <f>IF(ISNUMBER(Tabella2[[#This Row],[Mean RADIAL stress  (MPa)]]), Tabella2[[#This Row],[Mean RADIAL stress  (MPa)]],"")</f>
        <v>0</v>
      </c>
      <c r="AI74" s="53">
        <f>IF(ISNUMBER(Tabella2[[#This Row],[Amplitute RADIAL stress  (MPa)]]), Tabella2[[#This Row],[Amplitute RADIAL stress  (MPa)]],"")</f>
        <v>0</v>
      </c>
      <c r="AJ74" s="53">
        <f>IF(ISNUMBER(Tabella2[[#This Row],[Mean AXIAL stress  (MPa)]]), IF(Tabella2[[#This Row],[derived from (AXIAL/BENDING) load]]="AXIAL",Tabella2[[#This Row],[Mean AXIAL stress  (MPa)]]*Tabella2[[#This Row],[Area (mm^2)]],"Null"), "")</f>
        <v>60186.485049798961</v>
      </c>
      <c r="AK74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49243.48776801733</v>
      </c>
      <c r="AL74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4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4" s="53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74" s="53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74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4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91.615791196311307</v>
      </c>
    </row>
    <row r="75" spans="1:43" s="17" customFormat="1" ht="20.100000000000001" customHeight="1" thickBot="1" x14ac:dyDescent="0.3">
      <c r="A75" s="17" t="s">
        <v>65</v>
      </c>
      <c r="B75" s="17">
        <v>2007</v>
      </c>
      <c r="C75" s="17" t="s">
        <v>64</v>
      </c>
      <c r="D75" s="17" t="s">
        <v>144</v>
      </c>
      <c r="E75" s="30">
        <v>1232012.32507578</v>
      </c>
      <c r="F75" s="17" t="s">
        <v>20</v>
      </c>
      <c r="G75" s="17" t="s">
        <v>69</v>
      </c>
      <c r="H75" s="17" t="e" vm="9">
        <v>#VALUE!</v>
      </c>
      <c r="I75" s="17" t="s">
        <v>70</v>
      </c>
      <c r="J75" s="17" t="s">
        <v>32</v>
      </c>
      <c r="K75" s="17">
        <v>25</v>
      </c>
      <c r="L75" s="17">
        <v>21.5</v>
      </c>
      <c r="M75" s="17">
        <v>0</v>
      </c>
      <c r="N75" s="17">
        <v>0</v>
      </c>
      <c r="O75" s="1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537.5</v>
      </c>
      <c r="P75" s="1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20704.947916666668</v>
      </c>
      <c r="Q75" s="18" t="str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Cannot be calculated</v>
      </c>
      <c r="R75" s="17">
        <v>0</v>
      </c>
      <c r="S75" s="17">
        <v>0</v>
      </c>
      <c r="T75" s="17">
        <v>0</v>
      </c>
      <c r="U75" s="18" t="s">
        <v>21</v>
      </c>
      <c r="V75" s="18" t="s">
        <v>21</v>
      </c>
      <c r="W75" s="18" t="s">
        <v>21</v>
      </c>
      <c r="X75" s="58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5" s="58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9.9999999999999964E-2</v>
      </c>
      <c r="Z75" s="58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5" s="19">
        <v>0</v>
      </c>
      <c r="AB75" s="19">
        <v>0</v>
      </c>
      <c r="AC75" s="20">
        <v>111.25192649579384</v>
      </c>
      <c r="AD75" s="20">
        <v>91.024303496558602</v>
      </c>
      <c r="AE75" s="21" t="s">
        <v>60</v>
      </c>
      <c r="AF75" s="19">
        <v>0</v>
      </c>
      <c r="AG75" s="19">
        <v>0</v>
      </c>
      <c r="AH75" s="19">
        <f>IF(ISNUMBER(Tabella2[[#This Row],[Mean RADIAL stress  (MPa)]]), Tabella2[[#This Row],[Mean RADIAL stress  (MPa)]],"")</f>
        <v>0</v>
      </c>
      <c r="AI75" s="19">
        <f>IF(ISNUMBER(Tabella2[[#This Row],[Amplitute RADIAL stress  (MPa)]]), Tabella2[[#This Row],[Amplitute RADIAL stress  (MPa)]],"")</f>
        <v>0</v>
      </c>
      <c r="AJ75" s="19">
        <f>IF(ISNUMBER(Tabella2[[#This Row],[Mean AXIAL stress  (MPa)]]), IF(Tabella2[[#This Row],[derived from (AXIAL/BENDING) load]]="AXIAL",Tabella2[[#This Row],[Mean AXIAL stress  (MPa)]]*Tabella2[[#This Row],[Area (mm^2)]],"Null"), "")</f>
        <v>59797.910491489187</v>
      </c>
      <c r="AK75" s="19">
        <f>IF(ISNUMBER(Tabella2[[#This Row],[Amplitute AXIAL stress  (MPa)]]),    IF(Tabella2[[#This Row],[derived from (AXIAL/BENDING) load]]="AXIAL",Tabella2[[#This Row],[Amplitute AXIAL stress  (MPa)]]*Tabella2[[#This Row],[Area (mm^2)]],"Null"), "")</f>
        <v>48925.563129400245</v>
      </c>
      <c r="AL75" s="1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5" s="1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5" s="19" t="str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Null</v>
      </c>
      <c r="AO75" s="19" t="str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Null</v>
      </c>
      <c r="AP75" s="2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5" s="20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91.024303496558602</v>
      </c>
    </row>
    <row r="76" spans="1:43" ht="20.100000000000001" customHeight="1" x14ac:dyDescent="0.25">
      <c r="A76" s="49" t="s">
        <v>65</v>
      </c>
      <c r="B76" s="49">
        <v>2008</v>
      </c>
      <c r="C76" s="49" t="s">
        <v>67</v>
      </c>
      <c r="D76" s="49" t="s">
        <v>145</v>
      </c>
      <c r="E76" s="51">
        <v>14743</v>
      </c>
      <c r="F76" s="49" t="s">
        <v>20</v>
      </c>
      <c r="G76" s="49" t="s">
        <v>69</v>
      </c>
      <c r="H76" s="49" t="e" vm="15">
        <v>#VALUE!</v>
      </c>
      <c r="I76" s="49" t="s">
        <v>27</v>
      </c>
      <c r="J76" s="49" t="s">
        <v>71</v>
      </c>
      <c r="K76" s="49" t="s">
        <v>21</v>
      </c>
      <c r="L76" s="49" t="s">
        <v>21</v>
      </c>
      <c r="M76" s="49">
        <v>0</v>
      </c>
      <c r="N76" s="49">
        <v>5</v>
      </c>
      <c r="O76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76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76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76" s="49">
        <v>0</v>
      </c>
      <c r="S76" s="49">
        <v>0</v>
      </c>
      <c r="T76" s="49">
        <v>0</v>
      </c>
      <c r="U76" s="51" t="s">
        <v>21</v>
      </c>
      <c r="V76" s="51" t="s">
        <v>21</v>
      </c>
      <c r="W76" s="51" t="s">
        <v>21</v>
      </c>
      <c r="X76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6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76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76" s="53">
        <v>0</v>
      </c>
      <c r="AB76" s="53">
        <v>0</v>
      </c>
      <c r="AC76" s="54">
        <v>0</v>
      </c>
      <c r="AD76" s="54">
        <v>259.60000000000002</v>
      </c>
      <c r="AE76" s="52" t="s">
        <v>60</v>
      </c>
      <c r="AF76" s="53">
        <v>0</v>
      </c>
      <c r="AG76" s="53">
        <v>155.9</v>
      </c>
      <c r="AH76" s="53">
        <f>IF(ISNUMBER(Tabella2[[#This Row],[Mean RADIAL stress  (MPa)]]), Tabella2[[#This Row],[Mean RADIAL stress  (MPa)]],"")</f>
        <v>0</v>
      </c>
      <c r="AI76" s="53">
        <f>IF(ISNUMBER(Tabella2[[#This Row],[Amplitute RADIAL stress  (MPa)]]), Tabella2[[#This Row],[Amplitute RADIAL stress  (MPa)]],"")</f>
        <v>0</v>
      </c>
      <c r="AJ76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6" s="53">
        <f>IF(ISNUMBER(Tabella2[[#This Row],[Amplitute AXIAL stress  (MPa)]]),    IF(Tabella2[[#This Row],[derived from (AXIAL/BENDING) load]]="AXIAL",Tabella2[[#This Row],[Amplitute AXIAL stress  (MPa)]]*Tabella2[[#This Row],[Area (mm^2)]],"Null"), "")</f>
        <v>5097.2340804494397</v>
      </c>
      <c r="AL76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6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6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6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3826.3616773019435</v>
      </c>
      <c r="AP76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0.60053929121725724</v>
      </c>
      <c r="AQ76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374.57521274104619</v>
      </c>
    </row>
    <row r="77" spans="1:43" ht="20.100000000000001" customHeight="1" x14ac:dyDescent="0.25">
      <c r="A77" s="49" t="s">
        <v>65</v>
      </c>
      <c r="B77" s="49">
        <v>2008</v>
      </c>
      <c r="C77" s="49" t="s">
        <v>67</v>
      </c>
      <c r="D77" s="49" t="s">
        <v>146</v>
      </c>
      <c r="E77" s="51">
        <v>30837</v>
      </c>
      <c r="F77" s="49" t="s">
        <v>20</v>
      </c>
      <c r="G77" s="49" t="s">
        <v>69</v>
      </c>
      <c r="H77" s="49" t="e" vm="16">
        <v>#VALUE!</v>
      </c>
      <c r="I77" s="49" t="s">
        <v>27</v>
      </c>
      <c r="J77" s="49" t="s">
        <v>71</v>
      </c>
      <c r="K77" s="49" t="s">
        <v>21</v>
      </c>
      <c r="L77" s="49" t="s">
        <v>21</v>
      </c>
      <c r="M77" s="49">
        <v>0</v>
      </c>
      <c r="N77" s="49">
        <v>5</v>
      </c>
      <c r="O77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77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77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77" s="49">
        <v>0</v>
      </c>
      <c r="S77" s="49">
        <v>0</v>
      </c>
      <c r="T77" s="49">
        <v>0</v>
      </c>
      <c r="U77" s="51" t="s">
        <v>21</v>
      </c>
      <c r="V77" s="51" t="s">
        <v>21</v>
      </c>
      <c r="W77" s="51" t="s">
        <v>21</v>
      </c>
      <c r="X77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7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77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77" s="53">
        <v>0</v>
      </c>
      <c r="AB77" s="53">
        <v>0</v>
      </c>
      <c r="AC77" s="54">
        <v>0</v>
      </c>
      <c r="AD77" s="54">
        <v>216.3</v>
      </c>
      <c r="AE77" s="52" t="s">
        <v>60</v>
      </c>
      <c r="AF77" s="53">
        <v>0</v>
      </c>
      <c r="AG77" s="53">
        <v>129.9</v>
      </c>
      <c r="AH77" s="53">
        <f>IF(ISNUMBER(Tabella2[[#This Row],[Mean RADIAL stress  (MPa)]]), Tabella2[[#This Row],[Mean RADIAL stress  (MPa)]],"")</f>
        <v>0</v>
      </c>
      <c r="AI77" s="53">
        <f>IF(ISNUMBER(Tabella2[[#This Row],[Amplitute RADIAL stress  (MPa)]]), Tabella2[[#This Row],[Amplitute RADIAL stress  (MPa)]],"")</f>
        <v>0</v>
      </c>
      <c r="AJ77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7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4247.0405685717024</v>
      </c>
      <c r="AL77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7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7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7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3188.2256695415172</v>
      </c>
      <c r="AP77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0.60055478502080439</v>
      </c>
      <c r="AQ77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312.10209867926233</v>
      </c>
    </row>
    <row r="78" spans="1:43" ht="20.100000000000001" customHeight="1" x14ac:dyDescent="0.25">
      <c r="A78" s="49" t="s">
        <v>65</v>
      </c>
      <c r="B78" s="49">
        <v>2008</v>
      </c>
      <c r="C78" s="49" t="s">
        <v>67</v>
      </c>
      <c r="D78" s="49" t="s">
        <v>147</v>
      </c>
      <c r="E78" s="51">
        <v>87177</v>
      </c>
      <c r="F78" s="49" t="s">
        <v>20</v>
      </c>
      <c r="G78" s="49" t="s">
        <v>69</v>
      </c>
      <c r="H78" s="49" t="e" vm="16">
        <v>#VALUE!</v>
      </c>
      <c r="I78" s="49" t="s">
        <v>27</v>
      </c>
      <c r="J78" s="49" t="s">
        <v>71</v>
      </c>
      <c r="K78" s="49" t="s">
        <v>21</v>
      </c>
      <c r="L78" s="49" t="s">
        <v>21</v>
      </c>
      <c r="M78" s="49">
        <v>0</v>
      </c>
      <c r="N78" s="49">
        <v>5</v>
      </c>
      <c r="O78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78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78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78" s="49">
        <v>0</v>
      </c>
      <c r="S78" s="49">
        <v>0</v>
      </c>
      <c r="T78" s="49">
        <v>0</v>
      </c>
      <c r="U78" s="51" t="s">
        <v>21</v>
      </c>
      <c r="V78" s="51" t="s">
        <v>21</v>
      </c>
      <c r="W78" s="51" t="s">
        <v>21</v>
      </c>
      <c r="X78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8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78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78" s="53">
        <v>0</v>
      </c>
      <c r="AB78" s="53">
        <v>0</v>
      </c>
      <c r="AC78" s="54">
        <v>0</v>
      </c>
      <c r="AD78" s="54">
        <v>183.9</v>
      </c>
      <c r="AE78" s="52" t="s">
        <v>60</v>
      </c>
      <c r="AF78" s="53">
        <v>0</v>
      </c>
      <c r="AG78" s="53">
        <v>110.4</v>
      </c>
      <c r="AH78" s="53">
        <f>IF(ISNUMBER(Tabella2[[#This Row],[Mean RADIAL stress  (MPa)]]), Tabella2[[#This Row],[Mean RADIAL stress  (MPa)]],"")</f>
        <v>0</v>
      </c>
      <c r="AI78" s="53">
        <f>IF(ISNUMBER(Tabella2[[#This Row],[Amplitute RADIAL stress  (MPa)]]), Tabella2[[#This Row],[Amplitute RADIAL stress  (MPa)]],"")</f>
        <v>0</v>
      </c>
      <c r="AJ78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8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3610.8680562197687</v>
      </c>
      <c r="AL78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8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8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8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2709.6236637211969</v>
      </c>
      <c r="AP78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0.60032626427406199</v>
      </c>
      <c r="AQ78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265.29924613537821</v>
      </c>
    </row>
    <row r="79" spans="1:43" ht="20.100000000000001" customHeight="1" x14ac:dyDescent="0.25">
      <c r="A79" s="49" t="s">
        <v>65</v>
      </c>
      <c r="B79" s="49">
        <v>2008</v>
      </c>
      <c r="C79" s="49" t="s">
        <v>67</v>
      </c>
      <c r="D79" s="49" t="s">
        <v>148</v>
      </c>
      <c r="E79" s="51">
        <v>460400</v>
      </c>
      <c r="F79" s="49" t="s">
        <v>20</v>
      </c>
      <c r="G79" s="49" t="s">
        <v>69</v>
      </c>
      <c r="H79" s="49" t="e" vm="16">
        <v>#VALUE!</v>
      </c>
      <c r="I79" s="49" t="s">
        <v>27</v>
      </c>
      <c r="J79" s="49" t="s">
        <v>71</v>
      </c>
      <c r="K79" s="49" t="s">
        <v>21</v>
      </c>
      <c r="L79" s="49" t="s">
        <v>21</v>
      </c>
      <c r="M79" s="49">
        <v>0</v>
      </c>
      <c r="N79" s="49">
        <v>5</v>
      </c>
      <c r="O79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79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79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79" s="49">
        <v>0</v>
      </c>
      <c r="S79" s="49">
        <v>0</v>
      </c>
      <c r="T79" s="49">
        <v>0</v>
      </c>
      <c r="U79" s="51" t="s">
        <v>21</v>
      </c>
      <c r="V79" s="51" t="s">
        <v>21</v>
      </c>
      <c r="W79" s="51" t="s">
        <v>21</v>
      </c>
      <c r="X79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9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79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79" s="53">
        <v>0</v>
      </c>
      <c r="AB79" s="53">
        <v>0</v>
      </c>
      <c r="AC79" s="54">
        <v>0</v>
      </c>
      <c r="AD79" s="54">
        <v>146</v>
      </c>
      <c r="AE79" s="52" t="s">
        <v>60</v>
      </c>
      <c r="AF79" s="53">
        <v>0</v>
      </c>
      <c r="AG79" s="53">
        <v>87.7</v>
      </c>
      <c r="AH79" s="53">
        <f>IF(ISNUMBER(Tabella2[[#This Row],[Mean RADIAL stress  (MPa)]]), Tabella2[[#This Row],[Mean RADIAL stress  (MPa)]],"")</f>
        <v>0</v>
      </c>
      <c r="AI79" s="53">
        <f>IF(ISNUMBER(Tabella2[[#This Row],[Amplitute RADIAL stress  (MPa)]]), Tabella2[[#This Row],[Amplitute RADIAL stress  (MPa)]],"")</f>
        <v>0</v>
      </c>
      <c r="AJ79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9" s="53">
        <f>IF(ISNUMBER(Tabella2[[#This Row],[Amplitute AXIAL stress  (MPa)]]),    IF(Tabella2[[#This Row],[derived from (AXIAL/BENDING) load]]="AXIAL",Tabella2[[#This Row],[Amplitute AXIAL stress  (MPa)]]*Tabella2[[#This Row],[Area (mm^2)]],"Null"), "")</f>
        <v>2866.7032964006862</v>
      </c>
      <c r="AL79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9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9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9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2152.4818415611317</v>
      </c>
      <c r="AP79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0.60068493150684932</v>
      </c>
      <c r="AQ79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210.68903625960229</v>
      </c>
    </row>
    <row r="80" spans="1:43" ht="20.100000000000001" customHeight="1" x14ac:dyDescent="0.25">
      <c r="A80" s="49" t="s">
        <v>65</v>
      </c>
      <c r="B80" s="49">
        <v>2008</v>
      </c>
      <c r="C80" s="49" t="s">
        <v>67</v>
      </c>
      <c r="D80" s="49" t="s">
        <v>149</v>
      </c>
      <c r="E80" s="51">
        <v>227391</v>
      </c>
      <c r="F80" s="49" t="s">
        <v>20</v>
      </c>
      <c r="G80" s="49" t="s">
        <v>69</v>
      </c>
      <c r="H80" s="49" t="e" vm="16">
        <v>#VALUE!</v>
      </c>
      <c r="I80" s="49" t="s">
        <v>27</v>
      </c>
      <c r="J80" s="49" t="s">
        <v>71</v>
      </c>
      <c r="K80" s="49" t="s">
        <v>21</v>
      </c>
      <c r="L80" s="49" t="s">
        <v>21</v>
      </c>
      <c r="M80" s="49">
        <v>0</v>
      </c>
      <c r="N80" s="49">
        <v>5</v>
      </c>
      <c r="O80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80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80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80" s="49">
        <v>0</v>
      </c>
      <c r="S80" s="49">
        <v>0</v>
      </c>
      <c r="T80" s="49">
        <v>0</v>
      </c>
      <c r="U80" s="51" t="s">
        <v>21</v>
      </c>
      <c r="V80" s="51" t="s">
        <v>21</v>
      </c>
      <c r="W80" s="51" t="s">
        <v>21</v>
      </c>
      <c r="X80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0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80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0" s="53">
        <v>0</v>
      </c>
      <c r="AB80" s="53">
        <v>0</v>
      </c>
      <c r="AC80" s="54">
        <v>0</v>
      </c>
      <c r="AD80" s="54">
        <v>135.19999999999999</v>
      </c>
      <c r="AE80" s="52" t="s">
        <v>60</v>
      </c>
      <c r="AF80" s="53">
        <v>0</v>
      </c>
      <c r="AG80" s="53">
        <v>81.2</v>
      </c>
      <c r="AH80" s="53">
        <f>IF(ISNUMBER(Tabella2[[#This Row],[Mean RADIAL stress  (MPa)]]), Tabella2[[#This Row],[Mean RADIAL stress  (MPa)]],"")</f>
        <v>0</v>
      </c>
      <c r="AI80" s="53">
        <f>IF(ISNUMBER(Tabella2[[#This Row],[Amplitute RADIAL stress  (MPa)]]), Tabella2[[#This Row],[Amplitute RADIAL stress  (MPa)]],"")</f>
        <v>0</v>
      </c>
      <c r="AJ80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0" s="53">
        <f>IF(ISNUMBER(Tabella2[[#This Row],[Amplitute AXIAL stress  (MPa)]]),    IF(Tabella2[[#This Row],[derived from (AXIAL/BENDING) load]]="AXIAL",Tabella2[[#This Row],[Amplitute AXIAL stress  (MPa)]]*Tabella2[[#This Row],[Area (mm^2)]],"Null"), "")</f>
        <v>2654.6457922833752</v>
      </c>
      <c r="AL80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0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0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0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1992.9478396210252</v>
      </c>
      <c r="AP80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0.60059171597633143</v>
      </c>
      <c r="AQ80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195.08808267036713</v>
      </c>
    </row>
    <row r="81" spans="1:43" ht="20.100000000000001" customHeight="1" x14ac:dyDescent="0.25">
      <c r="A81" s="49" t="s">
        <v>65</v>
      </c>
      <c r="B81" s="49">
        <v>2008</v>
      </c>
      <c r="C81" s="49" t="s">
        <v>67</v>
      </c>
      <c r="D81" s="49" t="s">
        <v>150</v>
      </c>
      <c r="E81" s="51">
        <v>924890</v>
      </c>
      <c r="F81" s="49" t="s">
        <v>20</v>
      </c>
      <c r="G81" s="49" t="s">
        <v>69</v>
      </c>
      <c r="H81" s="49" t="e" vm="16">
        <v>#VALUE!</v>
      </c>
      <c r="I81" s="49" t="s">
        <v>27</v>
      </c>
      <c r="J81" s="49" t="s">
        <v>71</v>
      </c>
      <c r="K81" s="49" t="s">
        <v>21</v>
      </c>
      <c r="L81" s="49" t="s">
        <v>21</v>
      </c>
      <c r="M81" s="49">
        <v>0</v>
      </c>
      <c r="N81" s="49">
        <v>5</v>
      </c>
      <c r="O81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81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81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81" s="49">
        <v>0</v>
      </c>
      <c r="S81" s="49">
        <v>0</v>
      </c>
      <c r="T81" s="49">
        <v>0</v>
      </c>
      <c r="U81" s="51" t="s">
        <v>21</v>
      </c>
      <c r="V81" s="51" t="s">
        <v>21</v>
      </c>
      <c r="W81" s="51" t="s">
        <v>21</v>
      </c>
      <c r="X81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1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81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1" s="53">
        <v>0</v>
      </c>
      <c r="AB81" s="53">
        <v>0</v>
      </c>
      <c r="AC81" s="54">
        <v>0</v>
      </c>
      <c r="AD81" s="54">
        <v>135.19999999999999</v>
      </c>
      <c r="AE81" s="52" t="s">
        <v>60</v>
      </c>
      <c r="AF81" s="53">
        <v>0</v>
      </c>
      <c r="AG81" s="53">
        <v>81.2</v>
      </c>
      <c r="AH81" s="53">
        <f>IF(ISNUMBER(Tabella2[[#This Row],[Mean RADIAL stress  (MPa)]]), Tabella2[[#This Row],[Mean RADIAL stress  (MPa)]],"")</f>
        <v>0</v>
      </c>
      <c r="AI81" s="53">
        <f>IF(ISNUMBER(Tabella2[[#This Row],[Amplitute RADIAL stress  (MPa)]]), Tabella2[[#This Row],[Amplitute RADIAL stress  (MPa)]],"")</f>
        <v>0</v>
      </c>
      <c r="AJ81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1" s="53">
        <f>IF(ISNUMBER(Tabella2[[#This Row],[Amplitute AXIAL stress  (MPa)]]),    IF(Tabella2[[#This Row],[derived from (AXIAL/BENDING) load]]="AXIAL",Tabella2[[#This Row],[Amplitute AXIAL stress  (MPa)]]*Tabella2[[#This Row],[Area (mm^2)]],"Null"), "")</f>
        <v>2654.6457922833752</v>
      </c>
      <c r="AL81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1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1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1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1992.9478396210252</v>
      </c>
      <c r="AP81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0.60059171597633143</v>
      </c>
      <c r="AQ81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195.08808267036713</v>
      </c>
    </row>
    <row r="82" spans="1:43" ht="20.100000000000001" customHeight="1" x14ac:dyDescent="0.25">
      <c r="A82" s="49" t="s">
        <v>65</v>
      </c>
      <c r="B82" s="49">
        <v>2008</v>
      </c>
      <c r="C82" s="49" t="s">
        <v>67</v>
      </c>
      <c r="D82" s="49" t="s">
        <v>151</v>
      </c>
      <c r="E82" s="51">
        <v>67416</v>
      </c>
      <c r="F82" s="49" t="s">
        <v>20</v>
      </c>
      <c r="G82" s="49" t="s">
        <v>69</v>
      </c>
      <c r="H82" s="49" t="e" vm="17">
        <v>#VALUE!</v>
      </c>
      <c r="I82" s="49" t="s">
        <v>27</v>
      </c>
      <c r="J82" s="49" t="s">
        <v>71</v>
      </c>
      <c r="K82" s="49" t="s">
        <v>21</v>
      </c>
      <c r="L82" s="49" t="s">
        <v>21</v>
      </c>
      <c r="M82" s="49">
        <v>0</v>
      </c>
      <c r="N82" s="49">
        <v>5</v>
      </c>
      <c r="O82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82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82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82" s="49">
        <v>0</v>
      </c>
      <c r="S82" s="49">
        <v>0</v>
      </c>
      <c r="T82" s="49">
        <v>0</v>
      </c>
      <c r="U82" s="51" t="s">
        <v>21</v>
      </c>
      <c r="V82" s="51" t="s">
        <v>21</v>
      </c>
      <c r="W82" s="51" t="s">
        <v>21</v>
      </c>
      <c r="X82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2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82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2" s="53">
        <v>0</v>
      </c>
      <c r="AB82" s="53">
        <v>0</v>
      </c>
      <c r="AC82" s="54">
        <v>0</v>
      </c>
      <c r="AD82" s="54">
        <v>183.9</v>
      </c>
      <c r="AE82" s="52" t="s">
        <v>60</v>
      </c>
      <c r="AF82" s="53">
        <v>0</v>
      </c>
      <c r="AG82" s="53">
        <v>110.4</v>
      </c>
      <c r="AH82" s="53">
        <f>IF(ISNUMBER(Tabella2[[#This Row],[Mean RADIAL stress  (MPa)]]), Tabella2[[#This Row],[Mean RADIAL stress  (MPa)]],"")</f>
        <v>0</v>
      </c>
      <c r="AI82" s="53">
        <f>IF(ISNUMBER(Tabella2[[#This Row],[Amplitute RADIAL stress  (MPa)]]), Tabella2[[#This Row],[Amplitute RADIAL stress  (MPa)]],"")</f>
        <v>0</v>
      </c>
      <c r="AJ82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2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3610.8680562197687</v>
      </c>
      <c r="AL82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2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2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2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2709.6236637211969</v>
      </c>
      <c r="AP82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0.60032626427406199</v>
      </c>
      <c r="AQ82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265.29924613537821</v>
      </c>
    </row>
    <row r="83" spans="1:43" ht="20.100000000000001" customHeight="1" x14ac:dyDescent="0.25">
      <c r="A83" s="49" t="s">
        <v>65</v>
      </c>
      <c r="B83" s="49">
        <v>2008</v>
      </c>
      <c r="C83" s="49" t="s">
        <v>67</v>
      </c>
      <c r="D83" s="49" t="s">
        <v>152</v>
      </c>
      <c r="E83" s="51">
        <v>30764</v>
      </c>
      <c r="F83" s="49" t="s">
        <v>20</v>
      </c>
      <c r="G83" s="49" t="s">
        <v>69</v>
      </c>
      <c r="H83" s="49" t="e" vm="18">
        <v>#VALUE!</v>
      </c>
      <c r="I83" s="49" t="s">
        <v>27</v>
      </c>
      <c r="J83" s="49" t="s">
        <v>71</v>
      </c>
      <c r="K83" s="49" t="s">
        <v>21</v>
      </c>
      <c r="L83" s="49" t="s">
        <v>21</v>
      </c>
      <c r="M83" s="49">
        <v>0</v>
      </c>
      <c r="N83" s="49">
        <v>5</v>
      </c>
      <c r="O83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83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83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83" s="49">
        <v>0</v>
      </c>
      <c r="S83" s="49">
        <v>0</v>
      </c>
      <c r="T83" s="49">
        <v>0</v>
      </c>
      <c r="U83" s="51" t="s">
        <v>21</v>
      </c>
      <c r="V83" s="51" t="s">
        <v>21</v>
      </c>
      <c r="W83" s="51" t="s">
        <v>21</v>
      </c>
      <c r="X83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3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83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3" s="53">
        <v>0</v>
      </c>
      <c r="AB83" s="53">
        <v>0</v>
      </c>
      <c r="AC83" s="54">
        <v>0</v>
      </c>
      <c r="AD83" s="54">
        <v>216.3</v>
      </c>
      <c r="AE83" s="52" t="s">
        <v>60</v>
      </c>
      <c r="AF83" s="53">
        <v>0</v>
      </c>
      <c r="AG83" s="53">
        <v>129.9</v>
      </c>
      <c r="AH83" s="53">
        <f>IF(ISNUMBER(Tabella2[[#This Row],[Mean RADIAL stress  (MPa)]]), Tabella2[[#This Row],[Mean RADIAL stress  (MPa)]],"")</f>
        <v>0</v>
      </c>
      <c r="AI83" s="53">
        <f>IF(ISNUMBER(Tabella2[[#This Row],[Amplitute RADIAL stress  (MPa)]]), Tabella2[[#This Row],[Amplitute RADIAL stress  (MPa)]],"")</f>
        <v>0</v>
      </c>
      <c r="AJ83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3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4247.0405685717024</v>
      </c>
      <c r="AL83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3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3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3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3188.2256695415172</v>
      </c>
      <c r="AP83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0.60055478502080439</v>
      </c>
      <c r="AQ83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312.10209867926233</v>
      </c>
    </row>
    <row r="84" spans="1:43" ht="20.100000000000001" customHeight="1" x14ac:dyDescent="0.25">
      <c r="A84" s="49" t="s">
        <v>65</v>
      </c>
      <c r="B84" s="49">
        <v>2008</v>
      </c>
      <c r="C84" s="49" t="s">
        <v>67</v>
      </c>
      <c r="D84" s="49" t="s">
        <v>153</v>
      </c>
      <c r="E84" s="51">
        <v>210914</v>
      </c>
      <c r="F84" s="49" t="s">
        <v>20</v>
      </c>
      <c r="G84" s="49" t="s">
        <v>69</v>
      </c>
      <c r="H84" s="49" t="e" vm="18">
        <v>#VALUE!</v>
      </c>
      <c r="I84" s="49" t="s">
        <v>27</v>
      </c>
      <c r="J84" s="49" t="s">
        <v>71</v>
      </c>
      <c r="K84" s="49" t="s">
        <v>21</v>
      </c>
      <c r="L84" s="49" t="s">
        <v>21</v>
      </c>
      <c r="M84" s="49">
        <v>0</v>
      </c>
      <c r="N84" s="49">
        <v>5</v>
      </c>
      <c r="O84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84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84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84" s="49">
        <v>0</v>
      </c>
      <c r="S84" s="49">
        <v>0</v>
      </c>
      <c r="T84" s="49">
        <v>0</v>
      </c>
      <c r="U84" s="51" t="s">
        <v>21</v>
      </c>
      <c r="V84" s="51" t="s">
        <v>21</v>
      </c>
      <c r="W84" s="51" t="s">
        <v>21</v>
      </c>
      <c r="X84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4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84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4" s="53">
        <v>0</v>
      </c>
      <c r="AB84" s="53">
        <v>0</v>
      </c>
      <c r="AC84" s="54">
        <v>0</v>
      </c>
      <c r="AD84" s="54">
        <v>146</v>
      </c>
      <c r="AE84" s="52" t="s">
        <v>60</v>
      </c>
      <c r="AF84" s="53">
        <v>0</v>
      </c>
      <c r="AG84" s="53">
        <v>87.7</v>
      </c>
      <c r="AH84" s="53">
        <f>IF(ISNUMBER(Tabella2[[#This Row],[Mean RADIAL stress  (MPa)]]), Tabella2[[#This Row],[Mean RADIAL stress  (MPa)]],"")</f>
        <v>0</v>
      </c>
      <c r="AI84" s="53">
        <f>IF(ISNUMBER(Tabella2[[#This Row],[Amplitute RADIAL stress  (MPa)]]), Tabella2[[#This Row],[Amplitute RADIAL stress  (MPa)]],"")</f>
        <v>0</v>
      </c>
      <c r="AJ84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4" s="53">
        <f>IF(ISNUMBER(Tabella2[[#This Row],[Amplitute AXIAL stress  (MPa)]]),    IF(Tabella2[[#This Row],[derived from (AXIAL/BENDING) load]]="AXIAL",Tabella2[[#This Row],[Amplitute AXIAL stress  (MPa)]]*Tabella2[[#This Row],[Area (mm^2)]],"Null"), "")</f>
        <v>2866.7032964006862</v>
      </c>
      <c r="AL84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4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4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4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2152.4818415611317</v>
      </c>
      <c r="AP84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0.60068493150684932</v>
      </c>
      <c r="AQ84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210.68903625960229</v>
      </c>
    </row>
    <row r="85" spans="1:43" ht="20.100000000000001" customHeight="1" x14ac:dyDescent="0.25">
      <c r="A85" s="49" t="s">
        <v>65</v>
      </c>
      <c r="B85" s="49">
        <v>2008</v>
      </c>
      <c r="C85" s="49" t="s">
        <v>67</v>
      </c>
      <c r="D85" s="49" t="s">
        <v>154</v>
      </c>
      <c r="E85" s="51">
        <v>9202</v>
      </c>
      <c r="F85" s="49" t="s">
        <v>20</v>
      </c>
      <c r="G85" s="49" t="s">
        <v>69</v>
      </c>
      <c r="H85" s="49" t="e" vm="18">
        <v>#VALUE!</v>
      </c>
      <c r="I85" s="49" t="s">
        <v>27</v>
      </c>
      <c r="J85" s="49" t="s">
        <v>71</v>
      </c>
      <c r="K85" s="49" t="s">
        <v>21</v>
      </c>
      <c r="L85" s="49" t="s">
        <v>21</v>
      </c>
      <c r="M85" s="49">
        <v>0</v>
      </c>
      <c r="N85" s="49">
        <v>5</v>
      </c>
      <c r="O85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85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85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85" s="49">
        <v>0</v>
      </c>
      <c r="S85" s="49">
        <v>0</v>
      </c>
      <c r="T85" s="49">
        <v>0</v>
      </c>
      <c r="U85" s="51" t="s">
        <v>21</v>
      </c>
      <c r="V85" s="51" t="s">
        <v>21</v>
      </c>
      <c r="W85" s="51" t="s">
        <v>21</v>
      </c>
      <c r="X85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5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85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5" s="53">
        <v>0</v>
      </c>
      <c r="AB85" s="53">
        <v>0</v>
      </c>
      <c r="AC85" s="54">
        <v>0</v>
      </c>
      <c r="AD85" s="54">
        <v>259.60000000000002</v>
      </c>
      <c r="AE85" s="52" t="s">
        <v>60</v>
      </c>
      <c r="AF85" s="53">
        <v>0</v>
      </c>
      <c r="AG85" s="53">
        <v>155.9</v>
      </c>
      <c r="AH85" s="53">
        <f>IF(ISNUMBER(Tabella2[[#This Row],[Mean RADIAL stress  (MPa)]]), Tabella2[[#This Row],[Mean RADIAL stress  (MPa)]],"")</f>
        <v>0</v>
      </c>
      <c r="AI85" s="53">
        <f>IF(ISNUMBER(Tabella2[[#This Row],[Amplitute RADIAL stress  (MPa)]]), Tabella2[[#This Row],[Amplitute RADIAL stress  (MPa)]],"")</f>
        <v>0</v>
      </c>
      <c r="AJ85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5" s="53">
        <f>IF(ISNUMBER(Tabella2[[#This Row],[Amplitute AXIAL stress  (MPa)]]),    IF(Tabella2[[#This Row],[derived from (AXIAL/BENDING) load]]="AXIAL",Tabella2[[#This Row],[Amplitute AXIAL stress  (MPa)]]*Tabella2[[#This Row],[Area (mm^2)]],"Null"), "")</f>
        <v>5097.2340804494397</v>
      </c>
      <c r="AL85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5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5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5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3826.3616773019435</v>
      </c>
      <c r="AP85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0.60053929121725724</v>
      </c>
      <c r="AQ85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374.57521274104619</v>
      </c>
    </row>
    <row r="86" spans="1:43" ht="20.100000000000001" customHeight="1" x14ac:dyDescent="0.25">
      <c r="A86" s="49" t="s">
        <v>65</v>
      </c>
      <c r="B86" s="49">
        <v>2008</v>
      </c>
      <c r="C86" s="49" t="s">
        <v>67</v>
      </c>
      <c r="D86" s="49" t="s">
        <v>155</v>
      </c>
      <c r="E86" s="51">
        <v>189952</v>
      </c>
      <c r="F86" s="49" t="s">
        <v>20</v>
      </c>
      <c r="G86" s="49" t="s">
        <v>69</v>
      </c>
      <c r="H86" s="49" t="e" vm="18">
        <v>#VALUE!</v>
      </c>
      <c r="I86" s="49" t="s">
        <v>27</v>
      </c>
      <c r="J86" s="49" t="s">
        <v>71</v>
      </c>
      <c r="K86" s="49" t="s">
        <v>21</v>
      </c>
      <c r="L86" s="49" t="s">
        <v>21</v>
      </c>
      <c r="M86" s="49">
        <v>0</v>
      </c>
      <c r="N86" s="49">
        <v>5</v>
      </c>
      <c r="O86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86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86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86" s="49">
        <v>0</v>
      </c>
      <c r="S86" s="49">
        <v>0</v>
      </c>
      <c r="T86" s="49">
        <v>0</v>
      </c>
      <c r="U86" s="51" t="s">
        <v>21</v>
      </c>
      <c r="V86" s="51" t="s">
        <v>21</v>
      </c>
      <c r="W86" s="51" t="s">
        <v>21</v>
      </c>
      <c r="X86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6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86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6" s="53">
        <v>0</v>
      </c>
      <c r="AB86" s="53">
        <v>0</v>
      </c>
      <c r="AC86" s="54">
        <v>0</v>
      </c>
      <c r="AD86" s="54">
        <v>135.19999999999999</v>
      </c>
      <c r="AE86" s="52" t="s">
        <v>60</v>
      </c>
      <c r="AF86" s="53">
        <v>0</v>
      </c>
      <c r="AG86" s="53">
        <v>81.2</v>
      </c>
      <c r="AH86" s="53">
        <f>IF(ISNUMBER(Tabella2[[#This Row],[Mean RADIAL stress  (MPa)]]), Tabella2[[#This Row],[Mean RADIAL stress  (MPa)]],"")</f>
        <v>0</v>
      </c>
      <c r="AI86" s="53">
        <f>IF(ISNUMBER(Tabella2[[#This Row],[Amplitute RADIAL stress  (MPa)]]), Tabella2[[#This Row],[Amplitute RADIAL stress  (MPa)]],"")</f>
        <v>0</v>
      </c>
      <c r="AJ86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6" s="53">
        <f>IF(ISNUMBER(Tabella2[[#This Row],[Amplitute AXIAL stress  (MPa)]]),    IF(Tabella2[[#This Row],[derived from (AXIAL/BENDING) load]]="AXIAL",Tabella2[[#This Row],[Amplitute AXIAL stress  (MPa)]]*Tabella2[[#This Row],[Area (mm^2)]],"Null"), "")</f>
        <v>2654.6457922833752</v>
      </c>
      <c r="AL86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6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6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6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1992.9478396210252</v>
      </c>
      <c r="AP86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0.60059171597633143</v>
      </c>
      <c r="AQ86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195.08808267036713</v>
      </c>
    </row>
    <row r="87" spans="1:43" ht="20.100000000000001" customHeight="1" x14ac:dyDescent="0.25">
      <c r="A87" s="49" t="s">
        <v>65</v>
      </c>
      <c r="B87" s="49">
        <v>2008</v>
      </c>
      <c r="C87" s="49" t="s">
        <v>67</v>
      </c>
      <c r="D87" s="49" t="s">
        <v>156</v>
      </c>
      <c r="E87" s="51">
        <v>1646841</v>
      </c>
      <c r="F87" s="49" t="s">
        <v>20</v>
      </c>
      <c r="G87" s="49" t="s">
        <v>69</v>
      </c>
      <c r="H87" s="49" t="e" vm="18">
        <v>#VALUE!</v>
      </c>
      <c r="I87" s="49" t="s">
        <v>27</v>
      </c>
      <c r="J87" s="49" t="s">
        <v>71</v>
      </c>
      <c r="K87" s="49" t="s">
        <v>21</v>
      </c>
      <c r="L87" s="49" t="s">
        <v>21</v>
      </c>
      <c r="M87" s="49">
        <v>0</v>
      </c>
      <c r="N87" s="49">
        <v>5</v>
      </c>
      <c r="O87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87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87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87" s="49">
        <v>0</v>
      </c>
      <c r="S87" s="49">
        <v>0</v>
      </c>
      <c r="T87" s="49">
        <v>0</v>
      </c>
      <c r="U87" s="51" t="s">
        <v>21</v>
      </c>
      <c r="V87" s="51" t="s">
        <v>21</v>
      </c>
      <c r="W87" s="51" t="s">
        <v>21</v>
      </c>
      <c r="X87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7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87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7" s="53">
        <v>0</v>
      </c>
      <c r="AB87" s="53">
        <v>0</v>
      </c>
      <c r="AC87" s="54">
        <v>0</v>
      </c>
      <c r="AD87" s="54">
        <v>129.80000000000001</v>
      </c>
      <c r="AE87" s="52" t="s">
        <v>60</v>
      </c>
      <c r="AF87" s="53">
        <v>0</v>
      </c>
      <c r="AG87" s="53">
        <v>77.900000000000006</v>
      </c>
      <c r="AH87" s="53">
        <f>IF(ISNUMBER(Tabella2[[#This Row],[Mean RADIAL stress  (MPa)]]), Tabella2[[#This Row],[Mean RADIAL stress  (MPa)]],"")</f>
        <v>0</v>
      </c>
      <c r="AI87" s="53">
        <f>IF(ISNUMBER(Tabella2[[#This Row],[Amplitute RADIAL stress  (MPa)]]), Tabella2[[#This Row],[Amplitute RADIAL stress  (MPa)]],"")</f>
        <v>0</v>
      </c>
      <c r="AJ87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7" s="53">
        <f>IF(ISNUMBER(Tabella2[[#This Row],[Amplitute AXIAL stress  (MPa)]]),    IF(Tabella2[[#This Row],[derived from (AXIAL/BENDING) load]]="AXIAL",Tabella2[[#This Row],[Amplitute AXIAL stress  (MPa)]]*Tabella2[[#This Row],[Area (mm^2)]],"Null"), "")</f>
        <v>2548.6170402247199</v>
      </c>
      <c r="AL87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7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7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7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1911.9536540206634</v>
      </c>
      <c r="AP87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0.60015408320493069</v>
      </c>
      <c r="AQ87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187.22518527164021</v>
      </c>
    </row>
    <row r="88" spans="1:43" ht="20.100000000000001" customHeight="1" x14ac:dyDescent="0.25">
      <c r="A88" s="49" t="s">
        <v>65</v>
      </c>
      <c r="B88" s="49">
        <v>2008</v>
      </c>
      <c r="C88" s="49" t="s">
        <v>67</v>
      </c>
      <c r="D88" s="49" t="s">
        <v>157</v>
      </c>
      <c r="E88" s="51">
        <v>88682</v>
      </c>
      <c r="F88" s="49" t="s">
        <v>20</v>
      </c>
      <c r="G88" s="49" t="s">
        <v>69</v>
      </c>
      <c r="H88" s="49" t="e" vm="19">
        <v>#VALUE!</v>
      </c>
      <c r="I88" s="49" t="s">
        <v>27</v>
      </c>
      <c r="J88" s="49" t="s">
        <v>71</v>
      </c>
      <c r="K88" s="49" t="s">
        <v>21</v>
      </c>
      <c r="L88" s="49" t="s">
        <v>21</v>
      </c>
      <c r="M88" s="49">
        <v>0</v>
      </c>
      <c r="N88" s="49">
        <v>5</v>
      </c>
      <c r="O88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88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88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88" s="49">
        <v>0</v>
      </c>
      <c r="S88" s="49">
        <v>0</v>
      </c>
      <c r="T88" s="49">
        <v>0</v>
      </c>
      <c r="U88" s="51" t="s">
        <v>21</v>
      </c>
      <c r="V88" s="51" t="s">
        <v>21</v>
      </c>
      <c r="W88" s="51" t="s">
        <v>21</v>
      </c>
      <c r="X88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8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88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8" s="53">
        <v>0</v>
      </c>
      <c r="AB88" s="53">
        <v>0</v>
      </c>
      <c r="AC88" s="54">
        <v>0</v>
      </c>
      <c r="AD88" s="54">
        <v>290</v>
      </c>
      <c r="AE88" s="52" t="s">
        <v>60</v>
      </c>
      <c r="AF88" s="53">
        <v>0</v>
      </c>
      <c r="AG88" s="53">
        <v>167.4</v>
      </c>
      <c r="AH88" s="53">
        <f>IF(ISNUMBER(Tabella2[[#This Row],[Mean RADIAL stress  (MPa)]]), Tabella2[[#This Row],[Mean RADIAL stress  (MPa)]],"")</f>
        <v>0</v>
      </c>
      <c r="AI88" s="53">
        <f>IF(ISNUMBER(Tabella2[[#This Row],[Amplitute RADIAL stress  (MPa)]]), Tabella2[[#This Row],[Amplitute RADIAL stress  (MPa)]],"")</f>
        <v>0</v>
      </c>
      <c r="AJ88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8" s="53">
        <f>IF(ISNUMBER(Tabella2[[#This Row],[Amplitute AXIAL stress  (MPa)]]),    IF(Tabella2[[#This Row],[derived from (AXIAL/BENDING) load]]="AXIAL",Tabella2[[#This Row],[Amplitute AXIAL stress  (MPa)]]*Tabella2[[#This Row],[Area (mm^2)]],"Null"), "")</f>
        <v>5694.1366846315004</v>
      </c>
      <c r="AL88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8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8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8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4108.6141422729015</v>
      </c>
      <c r="AP88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0.5772413793103448</v>
      </c>
      <c r="AQ88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410.08325983877955</v>
      </c>
    </row>
    <row r="89" spans="1:43" ht="20.100000000000001" customHeight="1" x14ac:dyDescent="0.25">
      <c r="A89" s="49" t="s">
        <v>65</v>
      </c>
      <c r="B89" s="49">
        <v>2008</v>
      </c>
      <c r="C89" s="49" t="s">
        <v>67</v>
      </c>
      <c r="D89" s="49" t="s">
        <v>158</v>
      </c>
      <c r="E89" s="51">
        <v>7427</v>
      </c>
      <c r="F89" s="49" t="s">
        <v>20</v>
      </c>
      <c r="G89" s="49" t="s">
        <v>69</v>
      </c>
      <c r="H89" s="49" t="e" vm="20">
        <v>#VALUE!</v>
      </c>
      <c r="I89" s="49" t="s">
        <v>27</v>
      </c>
      <c r="J89" s="49" t="s">
        <v>71</v>
      </c>
      <c r="K89" s="49" t="s">
        <v>21</v>
      </c>
      <c r="L89" s="49" t="s">
        <v>21</v>
      </c>
      <c r="M89" s="49">
        <v>0</v>
      </c>
      <c r="N89" s="49">
        <v>5</v>
      </c>
      <c r="O89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89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89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89" s="49">
        <v>0</v>
      </c>
      <c r="S89" s="49">
        <v>0</v>
      </c>
      <c r="T89" s="49">
        <v>0</v>
      </c>
      <c r="U89" s="51" t="s">
        <v>21</v>
      </c>
      <c r="V89" s="51" t="s">
        <v>21</v>
      </c>
      <c r="W89" s="51" t="s">
        <v>21</v>
      </c>
      <c r="X89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9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89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9" s="53">
        <v>0</v>
      </c>
      <c r="AB89" s="53">
        <v>0</v>
      </c>
      <c r="AC89" s="54">
        <v>0</v>
      </c>
      <c r="AD89" s="54">
        <v>350</v>
      </c>
      <c r="AE89" s="52" t="s">
        <v>60</v>
      </c>
      <c r="AF89" s="53">
        <v>0</v>
      </c>
      <c r="AG89" s="53">
        <v>202.1</v>
      </c>
      <c r="AH89" s="53">
        <f>IF(ISNUMBER(Tabella2[[#This Row],[Mean RADIAL stress  (MPa)]]), Tabella2[[#This Row],[Mean RADIAL stress  (MPa)]],"")</f>
        <v>0</v>
      </c>
      <c r="AI89" s="53">
        <f>IF(ISNUMBER(Tabella2[[#This Row],[Amplitute RADIAL stress  (MPa)]]), Tabella2[[#This Row],[Amplitute RADIAL stress  (MPa)]],"")</f>
        <v>0</v>
      </c>
      <c r="AJ89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9" s="53">
        <f>IF(ISNUMBER(Tabella2[[#This Row],[Amplitute AXIAL stress  (MPa)]]),    IF(Tabella2[[#This Row],[derived from (AXIAL/BENDING) load]]="AXIAL",Tabella2[[#This Row],[Amplitute AXIAL stress  (MPa)]]*Tabella2[[#This Row],[Area (mm^2)]],"Null"), "")</f>
        <v>6872.2339297276731</v>
      </c>
      <c r="AL89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9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9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9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4960.2802757070094</v>
      </c>
      <c r="AP89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0.5774285714285714</v>
      </c>
      <c r="AQ89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495.00831306150809</v>
      </c>
    </row>
    <row r="90" spans="1:43" ht="20.100000000000001" customHeight="1" x14ac:dyDescent="0.25">
      <c r="A90" s="49" t="s">
        <v>65</v>
      </c>
      <c r="B90" s="49">
        <v>2008</v>
      </c>
      <c r="C90" s="49" t="s">
        <v>67</v>
      </c>
      <c r="D90" s="49" t="s">
        <v>159</v>
      </c>
      <c r="E90" s="51">
        <v>51504</v>
      </c>
      <c r="F90" s="49" t="s">
        <v>20</v>
      </c>
      <c r="G90" s="49" t="s">
        <v>69</v>
      </c>
      <c r="H90" s="49" t="e" vm="20">
        <v>#VALUE!</v>
      </c>
      <c r="I90" s="49" t="s">
        <v>27</v>
      </c>
      <c r="J90" s="49" t="s">
        <v>71</v>
      </c>
      <c r="K90" s="49" t="s">
        <v>21</v>
      </c>
      <c r="L90" s="49" t="s">
        <v>21</v>
      </c>
      <c r="M90" s="49">
        <v>0</v>
      </c>
      <c r="N90" s="49">
        <v>5</v>
      </c>
      <c r="O90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90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90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90" s="49">
        <v>0</v>
      </c>
      <c r="S90" s="49">
        <v>0</v>
      </c>
      <c r="T90" s="49">
        <v>0</v>
      </c>
      <c r="U90" s="51" t="s">
        <v>21</v>
      </c>
      <c r="V90" s="51" t="s">
        <v>21</v>
      </c>
      <c r="W90" s="51" t="s">
        <v>21</v>
      </c>
      <c r="X90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0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90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90" s="53">
        <v>0</v>
      </c>
      <c r="AB90" s="53">
        <v>0</v>
      </c>
      <c r="AC90" s="54">
        <v>0</v>
      </c>
      <c r="AD90" s="54">
        <v>270</v>
      </c>
      <c r="AE90" s="52" t="s">
        <v>60</v>
      </c>
      <c r="AF90" s="53">
        <v>0</v>
      </c>
      <c r="AG90" s="53">
        <v>155.9</v>
      </c>
      <c r="AH90" s="53">
        <f>IF(ISNUMBER(Tabella2[[#This Row],[Mean RADIAL stress  (MPa)]]), Tabella2[[#This Row],[Mean RADIAL stress  (MPa)]],"")</f>
        <v>0</v>
      </c>
      <c r="AI90" s="53">
        <f>IF(ISNUMBER(Tabella2[[#This Row],[Amplitute RADIAL stress  (MPa)]]), Tabella2[[#This Row],[Amplitute RADIAL stress  (MPa)]],"")</f>
        <v>0</v>
      </c>
      <c r="AJ90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90" s="53">
        <f>IF(ISNUMBER(Tabella2[[#This Row],[Amplitute AXIAL stress  (MPa)]]),    IF(Tabella2[[#This Row],[derived from (AXIAL/BENDING) load]]="AXIAL",Tabella2[[#This Row],[Amplitute AXIAL stress  (MPa)]]*Tabella2[[#This Row],[Area (mm^2)]],"Null"), "")</f>
        <v>5301.4376029327759</v>
      </c>
      <c r="AL90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0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0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0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3826.3616773019435</v>
      </c>
      <c r="AP90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0.57740740740740748</v>
      </c>
      <c r="AQ90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381.85655683777384</v>
      </c>
    </row>
    <row r="91" spans="1:43" ht="20.100000000000001" customHeight="1" x14ac:dyDescent="0.25">
      <c r="A91" s="49" t="s">
        <v>65</v>
      </c>
      <c r="B91" s="49">
        <v>2008</v>
      </c>
      <c r="C91" s="49" t="s">
        <v>67</v>
      </c>
      <c r="D91" s="49" t="s">
        <v>160</v>
      </c>
      <c r="E91" s="51">
        <v>181609</v>
      </c>
      <c r="F91" s="49" t="s">
        <v>20</v>
      </c>
      <c r="G91" s="49" t="s">
        <v>69</v>
      </c>
      <c r="H91" s="49" t="e" vm="20">
        <v>#VALUE!</v>
      </c>
      <c r="I91" s="49" t="s">
        <v>27</v>
      </c>
      <c r="J91" s="49" t="s">
        <v>71</v>
      </c>
      <c r="K91" s="49" t="s">
        <v>21</v>
      </c>
      <c r="L91" s="49" t="s">
        <v>21</v>
      </c>
      <c r="M91" s="49">
        <v>0</v>
      </c>
      <c r="N91" s="49">
        <v>5</v>
      </c>
      <c r="O91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91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91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91" s="49">
        <v>0</v>
      </c>
      <c r="S91" s="49">
        <v>0</v>
      </c>
      <c r="T91" s="49">
        <v>0</v>
      </c>
      <c r="U91" s="51" t="s">
        <v>21</v>
      </c>
      <c r="V91" s="51" t="s">
        <v>21</v>
      </c>
      <c r="W91" s="51" t="s">
        <v>21</v>
      </c>
      <c r="X91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1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91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91" s="53">
        <v>0</v>
      </c>
      <c r="AB91" s="53">
        <v>0</v>
      </c>
      <c r="AC91" s="54">
        <v>0</v>
      </c>
      <c r="AD91" s="54">
        <v>230</v>
      </c>
      <c r="AE91" s="52" t="s">
        <v>60</v>
      </c>
      <c r="AF91" s="53">
        <v>0</v>
      </c>
      <c r="AG91" s="53">
        <v>132.80000000000001</v>
      </c>
      <c r="AH91" s="53">
        <f>IF(ISNUMBER(Tabella2[[#This Row],[Mean RADIAL stress  (MPa)]]), Tabella2[[#This Row],[Mean RADIAL stress  (MPa)]],"")</f>
        <v>0</v>
      </c>
      <c r="AI91" s="53">
        <f>IF(ISNUMBER(Tabella2[[#This Row],[Amplitute RADIAL stress  (MPa)]]), Tabella2[[#This Row],[Amplitute RADIAL stress  (MPa)]],"")</f>
        <v>0</v>
      </c>
      <c r="AJ91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91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4516.0394395353278</v>
      </c>
      <c r="AL91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1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1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1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3259.4023780994107</v>
      </c>
      <c r="AP91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0.57739130434782615</v>
      </c>
      <c r="AQ91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325.28067879909503</v>
      </c>
    </row>
    <row r="92" spans="1:43" ht="20.100000000000001" customHeight="1" x14ac:dyDescent="0.25">
      <c r="A92" s="49" t="s">
        <v>65</v>
      </c>
      <c r="B92" s="49">
        <v>2008</v>
      </c>
      <c r="C92" s="49" t="s">
        <v>67</v>
      </c>
      <c r="D92" s="49" t="s">
        <v>161</v>
      </c>
      <c r="E92" s="51">
        <v>6725</v>
      </c>
      <c r="F92" s="49" t="s">
        <v>20</v>
      </c>
      <c r="G92" s="49" t="s">
        <v>69</v>
      </c>
      <c r="H92" s="49" t="e" vm="20">
        <v>#VALUE!</v>
      </c>
      <c r="I92" s="49" t="s">
        <v>27</v>
      </c>
      <c r="J92" s="49" t="s">
        <v>71</v>
      </c>
      <c r="K92" s="49" t="s">
        <v>21</v>
      </c>
      <c r="L92" s="49" t="s">
        <v>21</v>
      </c>
      <c r="M92" s="49">
        <v>0</v>
      </c>
      <c r="N92" s="49">
        <v>5</v>
      </c>
      <c r="O92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92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92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92" s="49">
        <v>0</v>
      </c>
      <c r="S92" s="49">
        <v>0</v>
      </c>
      <c r="T92" s="49">
        <v>0</v>
      </c>
      <c r="U92" s="51" t="s">
        <v>21</v>
      </c>
      <c r="V92" s="51" t="s">
        <v>21</v>
      </c>
      <c r="W92" s="51" t="s">
        <v>21</v>
      </c>
      <c r="X92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2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92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92" s="53">
        <v>0</v>
      </c>
      <c r="AB92" s="53">
        <v>0</v>
      </c>
      <c r="AC92" s="54">
        <v>0</v>
      </c>
      <c r="AD92" s="54">
        <v>345</v>
      </c>
      <c r="AE92" s="52" t="s">
        <v>60</v>
      </c>
      <c r="AF92" s="53">
        <v>0</v>
      </c>
      <c r="AG92" s="53">
        <v>199.2</v>
      </c>
      <c r="AH92" s="53">
        <f>IF(ISNUMBER(Tabella2[[#This Row],[Mean RADIAL stress  (MPa)]]), Tabella2[[#This Row],[Mean RADIAL stress  (MPa)]],"")</f>
        <v>0</v>
      </c>
      <c r="AI92" s="53">
        <f>IF(ISNUMBER(Tabella2[[#This Row],[Amplitute RADIAL stress  (MPa)]]), Tabella2[[#This Row],[Amplitute RADIAL stress  (MPa)]],"")</f>
        <v>0</v>
      </c>
      <c r="AJ92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92" s="53">
        <f>IF(ISNUMBER(Tabella2[[#This Row],[Amplitute AXIAL stress  (MPa)]]),    IF(Tabella2[[#This Row],[derived from (AXIAL/BENDING) load]]="AXIAL",Tabella2[[#This Row],[Amplitute AXIAL stress  (MPa)]]*Tabella2[[#This Row],[Area (mm^2)]],"Null"), "")</f>
        <v>6774.0591593029922</v>
      </c>
      <c r="AL92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2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2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2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4889.1035671491154</v>
      </c>
      <c r="AP92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0.57739130434782604</v>
      </c>
      <c r="AQ92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487.92101819864246</v>
      </c>
    </row>
    <row r="93" spans="1:43" ht="20.100000000000001" customHeight="1" x14ac:dyDescent="0.25">
      <c r="A93" s="49" t="s">
        <v>65</v>
      </c>
      <c r="B93" s="49">
        <v>2008</v>
      </c>
      <c r="C93" s="49" t="s">
        <v>67</v>
      </c>
      <c r="D93" s="49" t="s">
        <v>162</v>
      </c>
      <c r="E93" s="51">
        <v>266899</v>
      </c>
      <c r="F93" s="49" t="s">
        <v>20</v>
      </c>
      <c r="G93" s="49" t="s">
        <v>69</v>
      </c>
      <c r="H93" s="49" t="e" vm="20">
        <v>#VALUE!</v>
      </c>
      <c r="I93" s="49" t="s">
        <v>27</v>
      </c>
      <c r="J93" s="49" t="s">
        <v>71</v>
      </c>
      <c r="K93" s="49" t="s">
        <v>21</v>
      </c>
      <c r="L93" s="49" t="s">
        <v>21</v>
      </c>
      <c r="M93" s="49">
        <v>0</v>
      </c>
      <c r="N93" s="49">
        <v>5</v>
      </c>
      <c r="O93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93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93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93" s="49">
        <v>0</v>
      </c>
      <c r="S93" s="49">
        <v>0</v>
      </c>
      <c r="T93" s="49">
        <v>0</v>
      </c>
      <c r="U93" s="51" t="s">
        <v>21</v>
      </c>
      <c r="V93" s="51" t="s">
        <v>21</v>
      </c>
      <c r="W93" s="51" t="s">
        <v>21</v>
      </c>
      <c r="X93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3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93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93" s="53">
        <v>0</v>
      </c>
      <c r="AB93" s="53">
        <v>0</v>
      </c>
      <c r="AC93" s="54">
        <v>0</v>
      </c>
      <c r="AD93" s="54">
        <v>245</v>
      </c>
      <c r="AE93" s="52" t="s">
        <v>60</v>
      </c>
      <c r="AF93" s="53">
        <v>0</v>
      </c>
      <c r="AG93" s="53">
        <v>141.5</v>
      </c>
      <c r="AH93" s="53">
        <f>IF(ISNUMBER(Tabella2[[#This Row],[Mean RADIAL stress  (MPa)]]), Tabella2[[#This Row],[Mean RADIAL stress  (MPa)]],"")</f>
        <v>0</v>
      </c>
      <c r="AI93" s="53">
        <f>IF(ISNUMBER(Tabella2[[#This Row],[Amplitute RADIAL stress  (MPa)]]), Tabella2[[#This Row],[Amplitute RADIAL stress  (MPa)]],"")</f>
        <v>0</v>
      </c>
      <c r="AJ93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93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4810.5637508093705</v>
      </c>
      <c r="AL93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3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3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3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3472.9325037730914</v>
      </c>
      <c r="AP93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0.57755102040816331</v>
      </c>
      <c r="AQ93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346.5425659280545</v>
      </c>
    </row>
    <row r="94" spans="1:43" ht="20.100000000000001" customHeight="1" x14ac:dyDescent="0.25">
      <c r="A94" s="49" t="s">
        <v>65</v>
      </c>
      <c r="B94" s="49">
        <v>2008</v>
      </c>
      <c r="C94" s="49" t="s">
        <v>67</v>
      </c>
      <c r="D94" s="49" t="s">
        <v>163</v>
      </c>
      <c r="E94" s="51">
        <v>49000</v>
      </c>
      <c r="F94" s="49" t="s">
        <v>20</v>
      </c>
      <c r="G94" s="49" t="s">
        <v>69</v>
      </c>
      <c r="H94" s="49" t="e" vm="20">
        <v>#VALUE!</v>
      </c>
      <c r="I94" s="49" t="s">
        <v>27</v>
      </c>
      <c r="J94" s="49" t="s">
        <v>71</v>
      </c>
      <c r="K94" s="49" t="s">
        <v>21</v>
      </c>
      <c r="L94" s="49" t="s">
        <v>21</v>
      </c>
      <c r="M94" s="49">
        <v>0</v>
      </c>
      <c r="N94" s="49">
        <v>5</v>
      </c>
      <c r="O94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94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94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94" s="49">
        <v>0</v>
      </c>
      <c r="S94" s="49">
        <v>0</v>
      </c>
      <c r="T94" s="49">
        <v>0</v>
      </c>
      <c r="U94" s="51" t="s">
        <v>21</v>
      </c>
      <c r="V94" s="51" t="s">
        <v>21</v>
      </c>
      <c r="W94" s="51" t="s">
        <v>21</v>
      </c>
      <c r="X94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4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94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94" s="53">
        <v>0</v>
      </c>
      <c r="AB94" s="53">
        <v>0</v>
      </c>
      <c r="AC94" s="54">
        <v>250</v>
      </c>
      <c r="AD94" s="54">
        <v>250</v>
      </c>
      <c r="AE94" s="52" t="s">
        <v>60</v>
      </c>
      <c r="AF94" s="53">
        <v>144.30000000000001</v>
      </c>
      <c r="AG94" s="53">
        <v>144.30000000000001</v>
      </c>
      <c r="AH94" s="53">
        <f>IF(ISNUMBER(Tabella2[[#This Row],[Mean RADIAL stress  (MPa)]]), Tabella2[[#This Row],[Mean RADIAL stress  (MPa)]],"")</f>
        <v>0</v>
      </c>
      <c r="AI94" s="53">
        <f>IF(ISNUMBER(Tabella2[[#This Row],[Amplitute RADIAL stress  (MPa)]]), Tabella2[[#This Row],[Amplitute RADIAL stress  (MPa)]],"")</f>
        <v>0</v>
      </c>
      <c r="AJ94" s="53">
        <f>IF(ISNUMBER(Tabella2[[#This Row],[Mean AXIAL stress  (MPa)]]), IF(Tabella2[[#This Row],[derived from (AXIAL/BENDING) load]]="AXIAL",Tabella2[[#This Row],[Mean AXIAL stress  (MPa)]]*Tabella2[[#This Row],[Area (mm^2)]],"Null"), "")</f>
        <v>4908.7385212340523</v>
      </c>
      <c r="AK94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4908.7385212340523</v>
      </c>
      <c r="AL94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4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4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3541.6548430703688</v>
      </c>
      <c r="AO94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3541.6548430703688</v>
      </c>
      <c r="AP94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0.57720000000000005</v>
      </c>
      <c r="AQ94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353.50738323265614</v>
      </c>
    </row>
    <row r="95" spans="1:43" ht="20.100000000000001" customHeight="1" x14ac:dyDescent="0.25">
      <c r="A95" s="49" t="s">
        <v>65</v>
      </c>
      <c r="B95" s="49">
        <v>2008</v>
      </c>
      <c r="C95" s="49" t="s">
        <v>67</v>
      </c>
      <c r="D95" s="49" t="s">
        <v>164</v>
      </c>
      <c r="E95" s="51">
        <v>106129</v>
      </c>
      <c r="F95" s="49" t="s">
        <v>20</v>
      </c>
      <c r="G95" s="49" t="s">
        <v>69</v>
      </c>
      <c r="H95" s="49" t="e" vm="20">
        <v>#VALUE!</v>
      </c>
      <c r="I95" s="49" t="s">
        <v>27</v>
      </c>
      <c r="J95" s="49" t="s">
        <v>71</v>
      </c>
      <c r="K95" s="49" t="s">
        <v>21</v>
      </c>
      <c r="L95" s="49" t="s">
        <v>21</v>
      </c>
      <c r="M95" s="49">
        <v>0</v>
      </c>
      <c r="N95" s="49">
        <v>5</v>
      </c>
      <c r="O95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95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95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95" s="49">
        <v>0</v>
      </c>
      <c r="S95" s="49">
        <v>0</v>
      </c>
      <c r="T95" s="49">
        <v>0</v>
      </c>
      <c r="U95" s="51" t="s">
        <v>21</v>
      </c>
      <c r="V95" s="51" t="s">
        <v>21</v>
      </c>
      <c r="W95" s="51" t="s">
        <v>21</v>
      </c>
      <c r="X95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5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95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95" s="53">
        <v>0</v>
      </c>
      <c r="AB95" s="53">
        <v>0</v>
      </c>
      <c r="AC95" s="54">
        <v>245</v>
      </c>
      <c r="AD95" s="54">
        <v>245</v>
      </c>
      <c r="AE95" s="52" t="s">
        <v>60</v>
      </c>
      <c r="AF95" s="53">
        <v>141.5</v>
      </c>
      <c r="AG95" s="53">
        <v>141.5</v>
      </c>
      <c r="AH95" s="53">
        <f>IF(ISNUMBER(Tabella2[[#This Row],[Mean RADIAL stress  (MPa)]]), Tabella2[[#This Row],[Mean RADIAL stress  (MPa)]],"")</f>
        <v>0</v>
      </c>
      <c r="AI95" s="53">
        <f>IF(ISNUMBER(Tabella2[[#This Row],[Amplitute RADIAL stress  (MPa)]]), Tabella2[[#This Row],[Amplitute RADIAL stress  (MPa)]],"")</f>
        <v>0</v>
      </c>
      <c r="AJ95" s="53">
        <f>IF(ISNUMBER(Tabella2[[#This Row],[Mean AXIAL stress  (MPa)]]), IF(Tabella2[[#This Row],[derived from (AXIAL/BENDING) load]]="AXIAL",Tabella2[[#This Row],[Mean AXIAL stress  (MPa)]]*Tabella2[[#This Row],[Area (mm^2)]],"Null"), "")</f>
        <v>4810.5637508093705</v>
      </c>
      <c r="AK95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4810.5637508093705</v>
      </c>
      <c r="AL95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5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5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3472.9325037730914</v>
      </c>
      <c r="AO95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3472.9325037730914</v>
      </c>
      <c r="AP95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0.57755102040816331</v>
      </c>
      <c r="AQ95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346.5425659280545</v>
      </c>
    </row>
    <row r="96" spans="1:43" ht="20.100000000000001" customHeight="1" x14ac:dyDescent="0.25">
      <c r="A96" s="49" t="s">
        <v>65</v>
      </c>
      <c r="B96" s="49">
        <v>2008</v>
      </c>
      <c r="C96" s="49" t="s">
        <v>67</v>
      </c>
      <c r="D96" s="49" t="s">
        <v>165</v>
      </c>
      <c r="E96" s="51">
        <v>72734</v>
      </c>
      <c r="F96" s="49" t="s">
        <v>20</v>
      </c>
      <c r="G96" s="49" t="s">
        <v>69</v>
      </c>
      <c r="H96" s="49" t="e" vm="20">
        <v>#VALUE!</v>
      </c>
      <c r="I96" s="49" t="s">
        <v>27</v>
      </c>
      <c r="J96" s="49" t="s">
        <v>71</v>
      </c>
      <c r="K96" s="49" t="s">
        <v>21</v>
      </c>
      <c r="L96" s="49" t="s">
        <v>21</v>
      </c>
      <c r="M96" s="49">
        <v>0</v>
      </c>
      <c r="N96" s="49">
        <v>5</v>
      </c>
      <c r="O96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96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96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96" s="49">
        <v>0</v>
      </c>
      <c r="S96" s="49">
        <v>0</v>
      </c>
      <c r="T96" s="49">
        <v>0</v>
      </c>
      <c r="U96" s="51" t="s">
        <v>21</v>
      </c>
      <c r="V96" s="51" t="s">
        <v>21</v>
      </c>
      <c r="W96" s="51" t="s">
        <v>21</v>
      </c>
      <c r="X96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6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96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96" s="53">
        <v>0</v>
      </c>
      <c r="AB96" s="53">
        <v>0</v>
      </c>
      <c r="AC96" s="54">
        <v>230</v>
      </c>
      <c r="AD96" s="54">
        <v>230</v>
      </c>
      <c r="AE96" s="52" t="s">
        <v>60</v>
      </c>
      <c r="AF96" s="53">
        <v>132.80000000000001</v>
      </c>
      <c r="AG96" s="53">
        <v>132.80000000000001</v>
      </c>
      <c r="AH96" s="53">
        <f>IF(ISNUMBER(Tabella2[[#This Row],[Mean RADIAL stress  (MPa)]]), Tabella2[[#This Row],[Mean RADIAL stress  (MPa)]],"")</f>
        <v>0</v>
      </c>
      <c r="AI96" s="53">
        <f>IF(ISNUMBER(Tabella2[[#This Row],[Amplitute RADIAL stress  (MPa)]]), Tabella2[[#This Row],[Amplitute RADIAL stress  (MPa)]],"")</f>
        <v>0</v>
      </c>
      <c r="AJ96" s="53">
        <f>IF(ISNUMBER(Tabella2[[#This Row],[Mean AXIAL stress  (MPa)]]), IF(Tabella2[[#This Row],[derived from (AXIAL/BENDING) load]]="AXIAL",Tabella2[[#This Row],[Mean AXIAL stress  (MPa)]]*Tabella2[[#This Row],[Area (mm^2)]],"Null"), "")</f>
        <v>4516.0394395353278</v>
      </c>
      <c r="AK96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4516.0394395353278</v>
      </c>
      <c r="AL96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6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6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3259.4023780994107</v>
      </c>
      <c r="AO96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3259.4023780994107</v>
      </c>
      <c r="AP96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0.57739130434782615</v>
      </c>
      <c r="AQ96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325.28067879909503</v>
      </c>
    </row>
    <row r="97" spans="1:43" ht="20.100000000000001" customHeight="1" x14ac:dyDescent="0.25">
      <c r="A97" s="49" t="s">
        <v>65</v>
      </c>
      <c r="B97" s="49">
        <v>2008</v>
      </c>
      <c r="C97" s="49" t="s">
        <v>67</v>
      </c>
      <c r="D97" s="49" t="s">
        <v>166</v>
      </c>
      <c r="E97" s="51">
        <v>60399</v>
      </c>
      <c r="F97" s="49" t="s">
        <v>20</v>
      </c>
      <c r="G97" s="49" t="s">
        <v>69</v>
      </c>
      <c r="H97" s="49" t="e" vm="20">
        <v>#VALUE!</v>
      </c>
      <c r="I97" s="49" t="s">
        <v>27</v>
      </c>
      <c r="J97" s="49" t="s">
        <v>71</v>
      </c>
      <c r="K97" s="49" t="s">
        <v>21</v>
      </c>
      <c r="L97" s="49" t="s">
        <v>21</v>
      </c>
      <c r="M97" s="49">
        <v>0</v>
      </c>
      <c r="N97" s="49">
        <v>5</v>
      </c>
      <c r="O97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97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97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97" s="49">
        <v>0</v>
      </c>
      <c r="S97" s="49">
        <v>0</v>
      </c>
      <c r="T97" s="49">
        <v>0</v>
      </c>
      <c r="U97" s="51" t="s">
        <v>21</v>
      </c>
      <c r="V97" s="51" t="s">
        <v>21</v>
      </c>
      <c r="W97" s="51" t="s">
        <v>21</v>
      </c>
      <c r="X97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7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97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97" s="53">
        <v>0</v>
      </c>
      <c r="AB97" s="53">
        <v>0</v>
      </c>
      <c r="AC97" s="54">
        <v>235</v>
      </c>
      <c r="AD97" s="54">
        <v>235</v>
      </c>
      <c r="AE97" s="52" t="s">
        <v>60</v>
      </c>
      <c r="AF97" s="53">
        <v>135.69999999999999</v>
      </c>
      <c r="AG97" s="53">
        <v>135.69999999999999</v>
      </c>
      <c r="AH97" s="53">
        <f>IF(ISNUMBER(Tabella2[[#This Row],[Mean RADIAL stress  (MPa)]]), Tabella2[[#This Row],[Mean RADIAL stress  (MPa)]],"")</f>
        <v>0</v>
      </c>
      <c r="AI97" s="53">
        <f>IF(ISNUMBER(Tabella2[[#This Row],[Amplitute RADIAL stress  (MPa)]]), Tabella2[[#This Row],[Amplitute RADIAL stress  (MPa)]],"")</f>
        <v>0</v>
      </c>
      <c r="AJ97" s="53">
        <f>IF(ISNUMBER(Tabella2[[#This Row],[Mean AXIAL stress  (MPa)]]), IF(Tabella2[[#This Row],[derived from (AXIAL/BENDING) load]]="AXIAL",Tabella2[[#This Row],[Mean AXIAL stress  (MPa)]]*Tabella2[[#This Row],[Area (mm^2)]],"Null"), "")</f>
        <v>4614.2142099600087</v>
      </c>
      <c r="AK97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4614.2142099600087</v>
      </c>
      <c r="AL97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7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7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3330.5790866573034</v>
      </c>
      <c r="AO97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3330.5790866573034</v>
      </c>
      <c r="AP97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0.57744680851063823</v>
      </c>
      <c r="AQ97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332.36797378808927</v>
      </c>
    </row>
    <row r="98" spans="1:43" ht="20.100000000000001" customHeight="1" x14ac:dyDescent="0.25">
      <c r="A98" s="49" t="s">
        <v>65</v>
      </c>
      <c r="B98" s="49">
        <v>2008</v>
      </c>
      <c r="C98" s="49" t="s">
        <v>67</v>
      </c>
      <c r="D98" s="49" t="s">
        <v>167</v>
      </c>
      <c r="E98" s="51">
        <v>407794</v>
      </c>
      <c r="F98" s="49" t="s">
        <v>20</v>
      </c>
      <c r="G98" s="49" t="s">
        <v>69</v>
      </c>
      <c r="H98" s="49" t="e" vm="20">
        <v>#VALUE!</v>
      </c>
      <c r="I98" s="49" t="s">
        <v>27</v>
      </c>
      <c r="J98" s="49" t="s">
        <v>71</v>
      </c>
      <c r="K98" s="49" t="s">
        <v>21</v>
      </c>
      <c r="L98" s="49" t="s">
        <v>21</v>
      </c>
      <c r="M98" s="49">
        <v>0</v>
      </c>
      <c r="N98" s="49">
        <v>5</v>
      </c>
      <c r="O98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98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98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98" s="49">
        <v>0</v>
      </c>
      <c r="S98" s="49">
        <v>0</v>
      </c>
      <c r="T98" s="49">
        <v>0</v>
      </c>
      <c r="U98" s="51" t="s">
        <v>21</v>
      </c>
      <c r="V98" s="51" t="s">
        <v>21</v>
      </c>
      <c r="W98" s="51" t="s">
        <v>21</v>
      </c>
      <c r="X98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8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98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98" s="53">
        <v>0</v>
      </c>
      <c r="AB98" s="53">
        <v>0</v>
      </c>
      <c r="AC98" s="54">
        <v>228</v>
      </c>
      <c r="AD98" s="54">
        <v>228</v>
      </c>
      <c r="AE98" s="52" t="s">
        <v>60</v>
      </c>
      <c r="AF98" s="53">
        <v>131.6</v>
      </c>
      <c r="AG98" s="53">
        <v>131.6</v>
      </c>
      <c r="AH98" s="53">
        <f>IF(ISNUMBER(Tabella2[[#This Row],[Mean RADIAL stress  (MPa)]]), Tabella2[[#This Row],[Mean RADIAL stress  (MPa)]],"")</f>
        <v>0</v>
      </c>
      <c r="AI98" s="53">
        <f>IF(ISNUMBER(Tabella2[[#This Row],[Amplitute RADIAL stress  (MPa)]]), Tabella2[[#This Row],[Amplitute RADIAL stress  (MPa)]],"")</f>
        <v>0</v>
      </c>
      <c r="AJ98" s="53">
        <f>IF(ISNUMBER(Tabella2[[#This Row],[Mean AXIAL stress  (MPa)]]), IF(Tabella2[[#This Row],[derived from (AXIAL/BENDING) load]]="AXIAL",Tabella2[[#This Row],[Mean AXIAL stress  (MPa)]]*Tabella2[[#This Row],[Area (mm^2)]],"Null"), "")</f>
        <v>4476.7695313654558</v>
      </c>
      <c r="AK98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4476.7695313654558</v>
      </c>
      <c r="AL98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8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8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3229.9499469720058</v>
      </c>
      <c r="AO98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3229.9499469720058</v>
      </c>
      <c r="AP98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0.57719298245614037</v>
      </c>
      <c r="AQ98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322.39677417741012</v>
      </c>
    </row>
    <row r="99" spans="1:43" ht="20.100000000000001" customHeight="1" x14ac:dyDescent="0.25">
      <c r="A99" s="49" t="s">
        <v>65</v>
      </c>
      <c r="B99" s="49">
        <v>2008</v>
      </c>
      <c r="C99" s="49" t="s">
        <v>67</v>
      </c>
      <c r="D99" s="49" t="s">
        <v>168</v>
      </c>
      <c r="E99" s="51">
        <v>165543</v>
      </c>
      <c r="F99" s="49" t="s">
        <v>20</v>
      </c>
      <c r="G99" s="49" t="s">
        <v>69</v>
      </c>
      <c r="H99" s="49" t="e" vm="20">
        <v>#VALUE!</v>
      </c>
      <c r="I99" s="49" t="s">
        <v>27</v>
      </c>
      <c r="J99" s="49" t="s">
        <v>71</v>
      </c>
      <c r="K99" s="49" t="s">
        <v>21</v>
      </c>
      <c r="L99" s="49" t="s">
        <v>21</v>
      </c>
      <c r="M99" s="49">
        <v>0</v>
      </c>
      <c r="N99" s="49">
        <v>5</v>
      </c>
      <c r="O99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99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99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99" s="49">
        <v>0</v>
      </c>
      <c r="S99" s="49">
        <v>0</v>
      </c>
      <c r="T99" s="49">
        <v>0</v>
      </c>
      <c r="U99" s="51" t="s">
        <v>21</v>
      </c>
      <c r="V99" s="51" t="s">
        <v>21</v>
      </c>
      <c r="W99" s="51" t="s">
        <v>21</v>
      </c>
      <c r="X99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9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99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99" s="53">
        <v>0</v>
      </c>
      <c r="AB99" s="53">
        <v>0</v>
      </c>
      <c r="AC99" s="54">
        <v>224</v>
      </c>
      <c r="AD99" s="54">
        <v>224</v>
      </c>
      <c r="AE99" s="52" t="s">
        <v>60</v>
      </c>
      <c r="AF99" s="53">
        <v>129.30000000000001</v>
      </c>
      <c r="AG99" s="53">
        <v>129.30000000000001</v>
      </c>
      <c r="AH99" s="53">
        <f>IF(ISNUMBER(Tabella2[[#This Row],[Mean RADIAL stress  (MPa)]]), Tabella2[[#This Row],[Mean RADIAL stress  (MPa)]],"")</f>
        <v>0</v>
      </c>
      <c r="AI99" s="53">
        <f>IF(ISNUMBER(Tabella2[[#This Row],[Amplitute RADIAL stress  (MPa)]]), Tabella2[[#This Row],[Amplitute RADIAL stress  (MPa)]],"")</f>
        <v>0</v>
      </c>
      <c r="AJ99" s="53">
        <f>IF(ISNUMBER(Tabella2[[#This Row],[Mean AXIAL stress  (MPa)]]), IF(Tabella2[[#This Row],[derived from (AXIAL/BENDING) load]]="AXIAL",Tabella2[[#This Row],[Mean AXIAL stress  (MPa)]]*Tabella2[[#This Row],[Area (mm^2)]],"Null"), "")</f>
        <v>4398.2297150257109</v>
      </c>
      <c r="AK99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4398.2297150257109</v>
      </c>
      <c r="AL99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9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9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3173.4994539778149</v>
      </c>
      <c r="AO99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3173.4994539778149</v>
      </c>
      <c r="AP99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0.57723214285714286</v>
      </c>
      <c r="AQ99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316.75143251451919</v>
      </c>
    </row>
    <row r="100" spans="1:43" ht="20.100000000000001" customHeight="1" x14ac:dyDescent="0.25">
      <c r="A100" s="49" t="s">
        <v>65</v>
      </c>
      <c r="B100" s="49">
        <v>2008</v>
      </c>
      <c r="C100" s="49" t="s">
        <v>67</v>
      </c>
      <c r="D100" s="49" t="s">
        <v>169</v>
      </c>
      <c r="E100" s="51">
        <v>36446</v>
      </c>
      <c r="F100" s="49" t="s">
        <v>20</v>
      </c>
      <c r="G100" s="49" t="s">
        <v>69</v>
      </c>
      <c r="H100" s="49" t="e" vm="20">
        <v>#VALUE!</v>
      </c>
      <c r="I100" s="49" t="s">
        <v>27</v>
      </c>
      <c r="J100" s="49" t="s">
        <v>71</v>
      </c>
      <c r="K100" s="49" t="s">
        <v>21</v>
      </c>
      <c r="L100" s="49" t="s">
        <v>21</v>
      </c>
      <c r="M100" s="49">
        <v>0</v>
      </c>
      <c r="N100" s="49">
        <v>5</v>
      </c>
      <c r="O100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00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00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00" s="49">
        <v>0</v>
      </c>
      <c r="S100" s="49">
        <v>0</v>
      </c>
      <c r="T100" s="49">
        <v>0</v>
      </c>
      <c r="U100" s="51" t="s">
        <v>21</v>
      </c>
      <c r="V100" s="51" t="s">
        <v>21</v>
      </c>
      <c r="W100" s="51" t="s">
        <v>21</v>
      </c>
      <c r="X100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0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00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00" s="53">
        <v>0</v>
      </c>
      <c r="AB100" s="53">
        <v>0</v>
      </c>
      <c r="AC100" s="57">
        <v>240</v>
      </c>
      <c r="AD100" s="54">
        <v>240</v>
      </c>
      <c r="AE100" s="52" t="s">
        <v>60</v>
      </c>
      <c r="AF100" s="53">
        <v>138.6</v>
      </c>
      <c r="AG100" s="53">
        <v>138.6</v>
      </c>
      <c r="AH100" s="53">
        <f>IF(ISNUMBER(Tabella2[[#This Row],[Mean RADIAL stress  (MPa)]]), Tabella2[[#This Row],[Mean RADIAL stress  (MPa)]],"")</f>
        <v>0</v>
      </c>
      <c r="AI100" s="53">
        <f>IF(ISNUMBER(Tabella2[[#This Row],[Amplitute RADIAL stress  (MPa)]]), Tabella2[[#This Row],[Amplitute RADIAL stress  (MPa)]],"")</f>
        <v>0</v>
      </c>
      <c r="AJ100" s="53">
        <f>IF(ISNUMBER(Tabella2[[#This Row],[Mean AXIAL stress  (MPa)]]), IF(Tabella2[[#This Row],[derived from (AXIAL/BENDING) load]]="AXIAL",Tabella2[[#This Row],[Mean AXIAL stress  (MPa)]]*Tabella2[[#This Row],[Area (mm^2)]],"Null"), "")</f>
        <v>4712.3889803846896</v>
      </c>
      <c r="AK100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4712.3889803846896</v>
      </c>
      <c r="AL100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0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0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3401.7557952151974</v>
      </c>
      <c r="AO100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3401.7557952151974</v>
      </c>
      <c r="AP100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0.57750000000000001</v>
      </c>
      <c r="AQ100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339.45526951278868</v>
      </c>
    </row>
    <row r="101" spans="1:43" ht="20.100000000000001" customHeight="1" x14ac:dyDescent="0.25">
      <c r="A101" s="49" t="s">
        <v>65</v>
      </c>
      <c r="B101" s="49">
        <v>2008</v>
      </c>
      <c r="C101" s="49" t="s">
        <v>67</v>
      </c>
      <c r="D101" s="49" t="s">
        <v>170</v>
      </c>
      <c r="E101" s="51">
        <v>31641</v>
      </c>
      <c r="F101" s="49" t="s">
        <v>20</v>
      </c>
      <c r="G101" s="49" t="s">
        <v>69</v>
      </c>
      <c r="H101" s="49" t="e" vm="20">
        <v>#VALUE!</v>
      </c>
      <c r="I101" s="49" t="s">
        <v>27</v>
      </c>
      <c r="J101" s="49" t="s">
        <v>71</v>
      </c>
      <c r="K101" s="49" t="s">
        <v>21</v>
      </c>
      <c r="L101" s="49" t="s">
        <v>21</v>
      </c>
      <c r="M101" s="49">
        <v>0</v>
      </c>
      <c r="N101" s="49">
        <v>5</v>
      </c>
      <c r="O101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01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01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01" s="49">
        <v>0</v>
      </c>
      <c r="S101" s="49">
        <v>0</v>
      </c>
      <c r="T101" s="49">
        <v>0</v>
      </c>
      <c r="U101" s="51" t="s">
        <v>21</v>
      </c>
      <c r="V101" s="51" t="s">
        <v>21</v>
      </c>
      <c r="W101" s="51" t="s">
        <v>21</v>
      </c>
      <c r="X101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1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01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01" s="53">
        <v>0</v>
      </c>
      <c r="AB101" s="53">
        <v>0</v>
      </c>
      <c r="AC101" s="57">
        <v>240</v>
      </c>
      <c r="AD101" s="54">
        <v>240</v>
      </c>
      <c r="AE101" s="52" t="s">
        <v>60</v>
      </c>
      <c r="AF101" s="53">
        <v>138.6</v>
      </c>
      <c r="AG101" s="53">
        <v>138.6</v>
      </c>
      <c r="AH101" s="53">
        <f>IF(ISNUMBER(Tabella2[[#This Row],[Mean RADIAL stress  (MPa)]]), Tabella2[[#This Row],[Mean RADIAL stress  (MPa)]],"")</f>
        <v>0</v>
      </c>
      <c r="AI101" s="53">
        <f>IF(ISNUMBER(Tabella2[[#This Row],[Amplitute RADIAL stress  (MPa)]]), Tabella2[[#This Row],[Amplitute RADIAL stress  (MPa)]],"")</f>
        <v>0</v>
      </c>
      <c r="AJ101" s="53">
        <f>IF(ISNUMBER(Tabella2[[#This Row],[Mean AXIAL stress  (MPa)]]), IF(Tabella2[[#This Row],[derived from (AXIAL/BENDING) load]]="AXIAL",Tabella2[[#This Row],[Mean AXIAL stress  (MPa)]]*Tabella2[[#This Row],[Area (mm^2)]],"Null"), "")</f>
        <v>4712.3889803846896</v>
      </c>
      <c r="AK101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4712.3889803846896</v>
      </c>
      <c r="AL101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1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1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3401.7557952151974</v>
      </c>
      <c r="AO101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3401.7557952151974</v>
      </c>
      <c r="AP101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0.57750000000000001</v>
      </c>
      <c r="AQ101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339.45526951278868</v>
      </c>
    </row>
    <row r="102" spans="1:43" ht="20.100000000000001" customHeight="1" x14ac:dyDescent="0.25">
      <c r="A102" s="49" t="s">
        <v>65</v>
      </c>
      <c r="B102" s="49">
        <v>2008</v>
      </c>
      <c r="C102" s="49" t="s">
        <v>67</v>
      </c>
      <c r="D102" s="49" t="s">
        <v>171</v>
      </c>
      <c r="E102" s="51">
        <v>112944</v>
      </c>
      <c r="F102" s="49" t="s">
        <v>20</v>
      </c>
      <c r="G102" s="49" t="s">
        <v>69</v>
      </c>
      <c r="H102" s="49" t="e" vm="21">
        <v>#VALUE!</v>
      </c>
      <c r="I102" s="49" t="s">
        <v>27</v>
      </c>
      <c r="J102" s="49" t="s">
        <v>71</v>
      </c>
      <c r="K102" s="49" t="s">
        <v>21</v>
      </c>
      <c r="L102" s="49" t="s">
        <v>21</v>
      </c>
      <c r="M102" s="49">
        <v>0</v>
      </c>
      <c r="N102" s="49">
        <v>5</v>
      </c>
      <c r="O102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02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02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02" s="49">
        <v>0</v>
      </c>
      <c r="S102" s="49">
        <v>0</v>
      </c>
      <c r="T102" s="49">
        <v>0</v>
      </c>
      <c r="U102" s="51" t="s">
        <v>21</v>
      </c>
      <c r="V102" s="51" t="s">
        <v>21</v>
      </c>
      <c r="W102" s="51" t="s">
        <v>21</v>
      </c>
      <c r="X102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2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02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02" s="53">
        <v>0</v>
      </c>
      <c r="AB102" s="53">
        <v>0</v>
      </c>
      <c r="AC102" s="57">
        <v>170</v>
      </c>
      <c r="AD102" s="54">
        <v>170</v>
      </c>
      <c r="AE102" s="52" t="s">
        <v>60</v>
      </c>
      <c r="AF102" s="53">
        <v>170</v>
      </c>
      <c r="AG102" s="53">
        <v>170</v>
      </c>
      <c r="AH102" s="53">
        <f>IF(ISNUMBER(Tabella2[[#This Row],[Mean RADIAL stress  (MPa)]]), Tabella2[[#This Row],[Mean RADIAL stress  (MPa)]],"")</f>
        <v>0</v>
      </c>
      <c r="AI102" s="53">
        <f>IF(ISNUMBER(Tabella2[[#This Row],[Amplitute RADIAL stress  (MPa)]]), Tabella2[[#This Row],[Amplitute RADIAL stress  (MPa)]],"")</f>
        <v>0</v>
      </c>
      <c r="AJ102" s="53">
        <f>IF(ISNUMBER(Tabella2[[#This Row],[Mean AXIAL stress  (MPa)]]), IF(Tabella2[[#This Row],[derived from (AXIAL/BENDING) load]]="AXIAL",Tabella2[[#This Row],[Mean AXIAL stress  (MPa)]]*Tabella2[[#This Row],[Area (mm^2)]],"Null"), "")</f>
        <v>3337.9421944391552</v>
      </c>
      <c r="AK102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3337.9421944391552</v>
      </c>
      <c r="AL102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2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2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4172.4277430489437</v>
      </c>
      <c r="AO102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4172.4277430489437</v>
      </c>
      <c r="AP102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02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340</v>
      </c>
    </row>
    <row r="103" spans="1:43" ht="20.100000000000001" customHeight="1" x14ac:dyDescent="0.25">
      <c r="A103" s="49" t="s">
        <v>65</v>
      </c>
      <c r="B103" s="49">
        <v>2008</v>
      </c>
      <c r="C103" s="49" t="s">
        <v>67</v>
      </c>
      <c r="D103" s="49" t="s">
        <v>172</v>
      </c>
      <c r="E103" s="51">
        <v>367445</v>
      </c>
      <c r="F103" s="49" t="s">
        <v>20</v>
      </c>
      <c r="G103" s="49" t="s">
        <v>69</v>
      </c>
      <c r="H103" s="49" t="e" vm="22">
        <v>#VALUE!</v>
      </c>
      <c r="I103" s="49" t="s">
        <v>27</v>
      </c>
      <c r="J103" s="49" t="s">
        <v>71</v>
      </c>
      <c r="K103" s="49" t="s">
        <v>21</v>
      </c>
      <c r="L103" s="49" t="s">
        <v>21</v>
      </c>
      <c r="M103" s="49">
        <v>0</v>
      </c>
      <c r="N103" s="49">
        <v>5</v>
      </c>
      <c r="O103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03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03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03" s="49">
        <v>0</v>
      </c>
      <c r="S103" s="49">
        <v>0</v>
      </c>
      <c r="T103" s="49">
        <v>0</v>
      </c>
      <c r="U103" s="51" t="s">
        <v>21</v>
      </c>
      <c r="V103" s="51" t="s">
        <v>21</v>
      </c>
      <c r="W103" s="51" t="s">
        <v>21</v>
      </c>
      <c r="X103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3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03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03" s="53">
        <v>0</v>
      </c>
      <c r="AB103" s="53">
        <v>0</v>
      </c>
      <c r="AC103" s="57">
        <v>155</v>
      </c>
      <c r="AD103" s="54">
        <v>155</v>
      </c>
      <c r="AE103" s="52" t="s">
        <v>60</v>
      </c>
      <c r="AF103" s="53">
        <v>155</v>
      </c>
      <c r="AG103" s="53">
        <v>155</v>
      </c>
      <c r="AH103" s="53">
        <f>IF(ISNUMBER(Tabella2[[#This Row],[Mean RADIAL stress  (MPa)]]), Tabella2[[#This Row],[Mean RADIAL stress  (MPa)]],"")</f>
        <v>0</v>
      </c>
      <c r="AI103" s="53">
        <f>IF(ISNUMBER(Tabella2[[#This Row],[Amplitute RADIAL stress  (MPa)]]), Tabella2[[#This Row],[Amplitute RADIAL stress  (MPa)]],"")</f>
        <v>0</v>
      </c>
      <c r="AJ103" s="53">
        <f>IF(ISNUMBER(Tabella2[[#This Row],[Mean AXIAL stress  (MPa)]]), IF(Tabella2[[#This Row],[derived from (AXIAL/BENDING) load]]="AXIAL",Tabella2[[#This Row],[Mean AXIAL stress  (MPa)]]*Tabella2[[#This Row],[Area (mm^2)]],"Null"), "")</f>
        <v>3043.417883165112</v>
      </c>
      <c r="AK103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3043.417883165112</v>
      </c>
      <c r="AL103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3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3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3804.2723539563899</v>
      </c>
      <c r="AO103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3804.2723539563899</v>
      </c>
      <c r="AP103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03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310</v>
      </c>
    </row>
    <row r="104" spans="1:43" ht="20.100000000000001" customHeight="1" x14ac:dyDescent="0.25">
      <c r="A104" s="49" t="s">
        <v>65</v>
      </c>
      <c r="B104" s="49">
        <v>2008</v>
      </c>
      <c r="C104" s="49" t="s">
        <v>67</v>
      </c>
      <c r="D104" s="49" t="s">
        <v>173</v>
      </c>
      <c r="E104" s="51">
        <v>49200</v>
      </c>
      <c r="F104" s="49" t="s">
        <v>20</v>
      </c>
      <c r="G104" s="49" t="s">
        <v>69</v>
      </c>
      <c r="H104" s="49" t="e" vm="22">
        <v>#VALUE!</v>
      </c>
      <c r="I104" s="49" t="s">
        <v>27</v>
      </c>
      <c r="J104" s="49" t="s">
        <v>71</v>
      </c>
      <c r="K104" s="49" t="s">
        <v>21</v>
      </c>
      <c r="L104" s="49" t="s">
        <v>21</v>
      </c>
      <c r="M104" s="49">
        <v>0</v>
      </c>
      <c r="N104" s="49">
        <v>5</v>
      </c>
      <c r="O104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04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04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04" s="49">
        <v>0</v>
      </c>
      <c r="S104" s="49">
        <v>0</v>
      </c>
      <c r="T104" s="49">
        <v>0</v>
      </c>
      <c r="U104" s="51" t="s">
        <v>21</v>
      </c>
      <c r="V104" s="51" t="s">
        <v>21</v>
      </c>
      <c r="W104" s="51" t="s">
        <v>21</v>
      </c>
      <c r="X104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4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04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04" s="53">
        <v>0</v>
      </c>
      <c r="AB104" s="53">
        <v>0</v>
      </c>
      <c r="AC104" s="54">
        <v>180</v>
      </c>
      <c r="AD104" s="54">
        <v>180</v>
      </c>
      <c r="AE104" s="52" t="s">
        <v>60</v>
      </c>
      <c r="AF104" s="53">
        <v>180</v>
      </c>
      <c r="AG104" s="53">
        <v>180</v>
      </c>
      <c r="AH104" s="53">
        <f>IF(ISNUMBER(Tabella2[[#This Row],[Mean RADIAL stress  (MPa)]]), Tabella2[[#This Row],[Mean RADIAL stress  (MPa)]],"")</f>
        <v>0</v>
      </c>
      <c r="AI104" s="53">
        <f>IF(ISNUMBER(Tabella2[[#This Row],[Amplitute RADIAL stress  (MPa)]]), Tabella2[[#This Row],[Amplitute RADIAL stress  (MPa)]],"")</f>
        <v>0</v>
      </c>
      <c r="AJ104" s="53">
        <f>IF(ISNUMBER(Tabella2[[#This Row],[Mean AXIAL stress  (MPa)]]), IF(Tabella2[[#This Row],[derived from (AXIAL/BENDING) load]]="AXIAL",Tabella2[[#This Row],[Mean AXIAL stress  (MPa)]]*Tabella2[[#This Row],[Area (mm^2)]],"Null"), "")</f>
        <v>3534.2917352885174</v>
      </c>
      <c r="AK104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3534.2917352885174</v>
      </c>
      <c r="AL104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4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4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4417.864669110646</v>
      </c>
      <c r="AO104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4417.864669110646</v>
      </c>
      <c r="AP104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04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360</v>
      </c>
    </row>
    <row r="105" spans="1:43" ht="20.100000000000001" customHeight="1" x14ac:dyDescent="0.25">
      <c r="A105" s="49" t="s">
        <v>65</v>
      </c>
      <c r="B105" s="49">
        <v>2008</v>
      </c>
      <c r="C105" s="49" t="s">
        <v>67</v>
      </c>
      <c r="D105" s="49" t="s">
        <v>174</v>
      </c>
      <c r="E105" s="51">
        <v>52000</v>
      </c>
      <c r="F105" s="49" t="s">
        <v>20</v>
      </c>
      <c r="G105" s="49" t="s">
        <v>69</v>
      </c>
      <c r="H105" s="49" t="e" vm="22">
        <v>#VALUE!</v>
      </c>
      <c r="I105" s="49" t="s">
        <v>27</v>
      </c>
      <c r="J105" s="49" t="s">
        <v>71</v>
      </c>
      <c r="K105" s="49" t="s">
        <v>21</v>
      </c>
      <c r="L105" s="49" t="s">
        <v>21</v>
      </c>
      <c r="M105" s="49">
        <v>0</v>
      </c>
      <c r="N105" s="49">
        <v>5</v>
      </c>
      <c r="O105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05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05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05" s="49">
        <v>0</v>
      </c>
      <c r="S105" s="49">
        <v>0</v>
      </c>
      <c r="T105" s="49">
        <v>0</v>
      </c>
      <c r="U105" s="51" t="s">
        <v>21</v>
      </c>
      <c r="V105" s="51" t="s">
        <v>21</v>
      </c>
      <c r="W105" s="51" t="s">
        <v>21</v>
      </c>
      <c r="X105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5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05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05" s="53">
        <v>0</v>
      </c>
      <c r="AB105" s="53">
        <v>0</v>
      </c>
      <c r="AC105" s="54">
        <v>190</v>
      </c>
      <c r="AD105" s="54">
        <v>190</v>
      </c>
      <c r="AE105" s="52" t="s">
        <v>60</v>
      </c>
      <c r="AF105" s="53">
        <v>190</v>
      </c>
      <c r="AG105" s="53">
        <v>190</v>
      </c>
      <c r="AH105" s="53">
        <f>IF(ISNUMBER(Tabella2[[#This Row],[Mean RADIAL stress  (MPa)]]), Tabella2[[#This Row],[Mean RADIAL stress  (MPa)]],"")</f>
        <v>0</v>
      </c>
      <c r="AI105" s="53">
        <f>IF(ISNUMBER(Tabella2[[#This Row],[Amplitute RADIAL stress  (MPa)]]), Tabella2[[#This Row],[Amplitute RADIAL stress  (MPa)]],"")</f>
        <v>0</v>
      </c>
      <c r="AJ105" s="53">
        <f>IF(ISNUMBER(Tabella2[[#This Row],[Mean AXIAL stress  (MPa)]]), IF(Tabella2[[#This Row],[derived from (AXIAL/BENDING) load]]="AXIAL",Tabella2[[#This Row],[Mean AXIAL stress  (MPa)]]*Tabella2[[#This Row],[Area (mm^2)]],"Null"), "")</f>
        <v>3730.6412761378797</v>
      </c>
      <c r="AK105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3730.6412761378797</v>
      </c>
      <c r="AL105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5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5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4663.3015951723492</v>
      </c>
      <c r="AO105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4663.3015951723492</v>
      </c>
      <c r="AP105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05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380</v>
      </c>
    </row>
    <row r="106" spans="1:43" ht="20.100000000000001" customHeight="1" x14ac:dyDescent="0.25">
      <c r="A106" s="49" t="s">
        <v>65</v>
      </c>
      <c r="B106" s="49">
        <v>2008</v>
      </c>
      <c r="C106" s="49" t="s">
        <v>67</v>
      </c>
      <c r="D106" s="49" t="s">
        <v>175</v>
      </c>
      <c r="E106" s="51">
        <v>67873</v>
      </c>
      <c r="F106" s="49" t="s">
        <v>20</v>
      </c>
      <c r="G106" s="49" t="s">
        <v>69</v>
      </c>
      <c r="H106" s="49" t="e" vm="22">
        <v>#VALUE!</v>
      </c>
      <c r="I106" s="49" t="s">
        <v>27</v>
      </c>
      <c r="J106" s="49" t="s">
        <v>71</v>
      </c>
      <c r="K106" s="49" t="s">
        <v>21</v>
      </c>
      <c r="L106" s="49" t="s">
        <v>21</v>
      </c>
      <c r="M106" s="49">
        <v>0</v>
      </c>
      <c r="N106" s="49">
        <v>5</v>
      </c>
      <c r="O106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06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06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06" s="49">
        <v>0</v>
      </c>
      <c r="S106" s="49">
        <v>0</v>
      </c>
      <c r="T106" s="49">
        <v>0</v>
      </c>
      <c r="U106" s="51" t="s">
        <v>21</v>
      </c>
      <c r="V106" s="51" t="s">
        <v>21</v>
      </c>
      <c r="W106" s="51" t="s">
        <v>21</v>
      </c>
      <c r="X106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6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06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06" s="53">
        <v>0</v>
      </c>
      <c r="AB106" s="53">
        <v>0</v>
      </c>
      <c r="AC106" s="54">
        <v>200</v>
      </c>
      <c r="AD106" s="54">
        <v>200</v>
      </c>
      <c r="AE106" s="52" t="s">
        <v>60</v>
      </c>
      <c r="AF106" s="53">
        <v>200</v>
      </c>
      <c r="AG106" s="53">
        <v>200</v>
      </c>
      <c r="AH106" s="53">
        <f>IF(ISNUMBER(Tabella2[[#This Row],[Mean RADIAL stress  (MPa)]]), Tabella2[[#This Row],[Mean RADIAL stress  (MPa)]],"")</f>
        <v>0</v>
      </c>
      <c r="AI106" s="53">
        <f>IF(ISNUMBER(Tabella2[[#This Row],[Amplitute RADIAL stress  (MPa)]]), Tabella2[[#This Row],[Amplitute RADIAL stress  (MPa)]],"")</f>
        <v>0</v>
      </c>
      <c r="AJ106" s="53">
        <f>IF(ISNUMBER(Tabella2[[#This Row],[Mean AXIAL stress  (MPa)]]), IF(Tabella2[[#This Row],[derived from (AXIAL/BENDING) load]]="AXIAL",Tabella2[[#This Row],[Mean AXIAL stress  (MPa)]]*Tabella2[[#This Row],[Area (mm^2)]],"Null"), "")</f>
        <v>3926.9908169872415</v>
      </c>
      <c r="AK106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3926.9908169872415</v>
      </c>
      <c r="AL106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6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6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4908.7385212340514</v>
      </c>
      <c r="AO106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4908.7385212340514</v>
      </c>
      <c r="AP106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06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400</v>
      </c>
    </row>
    <row r="107" spans="1:43" ht="20.100000000000001" customHeight="1" x14ac:dyDescent="0.25">
      <c r="A107" s="49" t="s">
        <v>65</v>
      </c>
      <c r="B107" s="49">
        <v>2008</v>
      </c>
      <c r="C107" s="49" t="s">
        <v>67</v>
      </c>
      <c r="D107" s="49" t="s">
        <v>176</v>
      </c>
      <c r="E107" s="51">
        <v>111250</v>
      </c>
      <c r="F107" s="49" t="s">
        <v>20</v>
      </c>
      <c r="G107" s="49" t="s">
        <v>69</v>
      </c>
      <c r="H107" s="49" t="e" vm="22">
        <v>#VALUE!</v>
      </c>
      <c r="I107" s="49" t="s">
        <v>27</v>
      </c>
      <c r="J107" s="49" t="s">
        <v>71</v>
      </c>
      <c r="K107" s="49" t="s">
        <v>21</v>
      </c>
      <c r="L107" s="49" t="s">
        <v>21</v>
      </c>
      <c r="M107" s="49">
        <v>0</v>
      </c>
      <c r="N107" s="49">
        <v>5</v>
      </c>
      <c r="O107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07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07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07" s="49">
        <v>0</v>
      </c>
      <c r="S107" s="49">
        <v>0</v>
      </c>
      <c r="T107" s="49">
        <v>0</v>
      </c>
      <c r="U107" s="51" t="s">
        <v>21</v>
      </c>
      <c r="V107" s="51" t="s">
        <v>21</v>
      </c>
      <c r="W107" s="51" t="s">
        <v>21</v>
      </c>
      <c r="X107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7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07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07" s="53">
        <v>0</v>
      </c>
      <c r="AB107" s="53">
        <v>0</v>
      </c>
      <c r="AC107" s="54">
        <v>175</v>
      </c>
      <c r="AD107" s="54">
        <v>175</v>
      </c>
      <c r="AE107" s="52" t="s">
        <v>60</v>
      </c>
      <c r="AF107" s="53">
        <v>175</v>
      </c>
      <c r="AG107" s="53">
        <v>175</v>
      </c>
      <c r="AH107" s="53">
        <f>IF(ISNUMBER(Tabella2[[#This Row],[Mean RADIAL stress  (MPa)]]), Tabella2[[#This Row],[Mean RADIAL stress  (MPa)]],"")</f>
        <v>0</v>
      </c>
      <c r="AI107" s="53">
        <f>IF(ISNUMBER(Tabella2[[#This Row],[Amplitute RADIAL stress  (MPa)]]), Tabella2[[#This Row],[Amplitute RADIAL stress  (MPa)]],"")</f>
        <v>0</v>
      </c>
      <c r="AJ107" s="53">
        <f>IF(ISNUMBER(Tabella2[[#This Row],[Mean AXIAL stress  (MPa)]]), IF(Tabella2[[#This Row],[derived from (AXIAL/BENDING) load]]="AXIAL",Tabella2[[#This Row],[Mean AXIAL stress  (MPa)]]*Tabella2[[#This Row],[Area (mm^2)]],"Null"), "")</f>
        <v>3436.1169648638365</v>
      </c>
      <c r="AK107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3436.1169648638365</v>
      </c>
      <c r="AL107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7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7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4295.1462060797949</v>
      </c>
      <c r="AO107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4295.1462060797949</v>
      </c>
      <c r="AP107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07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350</v>
      </c>
    </row>
    <row r="108" spans="1:43" ht="20.100000000000001" customHeight="1" x14ac:dyDescent="0.25">
      <c r="A108" s="49" t="s">
        <v>65</v>
      </c>
      <c r="B108" s="49">
        <v>2008</v>
      </c>
      <c r="C108" s="49" t="s">
        <v>67</v>
      </c>
      <c r="D108" s="49" t="s">
        <v>177</v>
      </c>
      <c r="E108" s="51">
        <v>304439</v>
      </c>
      <c r="F108" s="49" t="s">
        <v>20</v>
      </c>
      <c r="G108" s="49" t="s">
        <v>69</v>
      </c>
      <c r="H108" s="49" t="e" vm="22">
        <v>#VALUE!</v>
      </c>
      <c r="I108" s="49" t="s">
        <v>27</v>
      </c>
      <c r="J108" s="49" t="s">
        <v>71</v>
      </c>
      <c r="K108" s="49" t="s">
        <v>21</v>
      </c>
      <c r="L108" s="49" t="s">
        <v>21</v>
      </c>
      <c r="M108" s="49">
        <v>0</v>
      </c>
      <c r="N108" s="49">
        <v>5</v>
      </c>
      <c r="O108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08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08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08" s="49">
        <v>0</v>
      </c>
      <c r="S108" s="49">
        <v>0</v>
      </c>
      <c r="T108" s="49">
        <v>0</v>
      </c>
      <c r="U108" s="51" t="s">
        <v>21</v>
      </c>
      <c r="V108" s="51" t="s">
        <v>21</v>
      </c>
      <c r="W108" s="51" t="s">
        <v>21</v>
      </c>
      <c r="X108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8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08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08" s="53">
        <v>0</v>
      </c>
      <c r="AB108" s="53">
        <v>0</v>
      </c>
      <c r="AC108" s="54">
        <v>160</v>
      </c>
      <c r="AD108" s="54">
        <v>160</v>
      </c>
      <c r="AE108" s="52" t="s">
        <v>60</v>
      </c>
      <c r="AF108" s="53">
        <v>160</v>
      </c>
      <c r="AG108" s="53">
        <v>160</v>
      </c>
      <c r="AH108" s="53">
        <f>IF(ISNUMBER(Tabella2[[#This Row],[Mean RADIAL stress  (MPa)]]), Tabella2[[#This Row],[Mean RADIAL stress  (MPa)]],"")</f>
        <v>0</v>
      </c>
      <c r="AI108" s="53">
        <f>IF(ISNUMBER(Tabella2[[#This Row],[Amplitute RADIAL stress  (MPa)]]), Tabella2[[#This Row],[Amplitute RADIAL stress  (MPa)]],"")</f>
        <v>0</v>
      </c>
      <c r="AJ108" s="53">
        <f>IF(ISNUMBER(Tabella2[[#This Row],[Mean AXIAL stress  (MPa)]]), IF(Tabella2[[#This Row],[derived from (AXIAL/BENDING) load]]="AXIAL",Tabella2[[#This Row],[Mean AXIAL stress  (MPa)]]*Tabella2[[#This Row],[Area (mm^2)]],"Null"), "")</f>
        <v>3141.5926535897934</v>
      </c>
      <c r="AK108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3141.5926535897934</v>
      </c>
      <c r="AL108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8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8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3926.9908169872419</v>
      </c>
      <c r="AO108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3926.9908169872419</v>
      </c>
      <c r="AP108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08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320</v>
      </c>
    </row>
    <row r="109" spans="1:43" ht="20.100000000000001" customHeight="1" x14ac:dyDescent="0.25">
      <c r="A109" s="49" t="s">
        <v>65</v>
      </c>
      <c r="B109" s="49">
        <v>2008</v>
      </c>
      <c r="C109" s="49" t="s">
        <v>67</v>
      </c>
      <c r="D109" s="49" t="s">
        <v>178</v>
      </c>
      <c r="E109" s="51">
        <v>77755</v>
      </c>
      <c r="F109" s="49" t="s">
        <v>20</v>
      </c>
      <c r="G109" s="49" t="s">
        <v>69</v>
      </c>
      <c r="H109" s="49" t="e" vm="22">
        <v>#VALUE!</v>
      </c>
      <c r="I109" s="49" t="s">
        <v>27</v>
      </c>
      <c r="J109" s="49" t="s">
        <v>71</v>
      </c>
      <c r="K109" s="49" t="s">
        <v>21</v>
      </c>
      <c r="L109" s="49" t="s">
        <v>21</v>
      </c>
      <c r="M109" s="49">
        <v>0</v>
      </c>
      <c r="N109" s="49">
        <v>5</v>
      </c>
      <c r="O109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09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09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09" s="49">
        <v>0</v>
      </c>
      <c r="S109" s="49">
        <v>0</v>
      </c>
      <c r="T109" s="49">
        <v>0</v>
      </c>
      <c r="U109" s="51" t="s">
        <v>21</v>
      </c>
      <c r="V109" s="51" t="s">
        <v>21</v>
      </c>
      <c r="W109" s="51" t="s">
        <v>21</v>
      </c>
      <c r="X109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9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09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09" s="53">
        <v>0</v>
      </c>
      <c r="AB109" s="53">
        <v>0</v>
      </c>
      <c r="AC109" s="54">
        <v>160</v>
      </c>
      <c r="AD109" s="54">
        <v>160</v>
      </c>
      <c r="AE109" s="52" t="s">
        <v>60</v>
      </c>
      <c r="AF109" s="53">
        <v>160</v>
      </c>
      <c r="AG109" s="53">
        <v>160</v>
      </c>
      <c r="AH109" s="53">
        <f>IF(ISNUMBER(Tabella2[[#This Row],[Mean RADIAL stress  (MPa)]]), Tabella2[[#This Row],[Mean RADIAL stress  (MPa)]],"")</f>
        <v>0</v>
      </c>
      <c r="AI109" s="53">
        <f>IF(ISNUMBER(Tabella2[[#This Row],[Amplitute RADIAL stress  (MPa)]]), Tabella2[[#This Row],[Amplitute RADIAL stress  (MPa)]],"")</f>
        <v>0</v>
      </c>
      <c r="AJ109" s="53">
        <f>IF(ISNUMBER(Tabella2[[#This Row],[Mean AXIAL stress  (MPa)]]), IF(Tabella2[[#This Row],[derived from (AXIAL/BENDING) load]]="AXIAL",Tabella2[[#This Row],[Mean AXIAL stress  (MPa)]]*Tabella2[[#This Row],[Area (mm^2)]],"Null"), "")</f>
        <v>3141.5926535897934</v>
      </c>
      <c r="AK109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3141.5926535897934</v>
      </c>
      <c r="AL109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9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9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3926.9908169872419</v>
      </c>
      <c r="AO109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3926.9908169872419</v>
      </c>
      <c r="AP109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09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320</v>
      </c>
    </row>
    <row r="110" spans="1:43" ht="20.100000000000001" customHeight="1" x14ac:dyDescent="0.25">
      <c r="A110" s="49" t="s">
        <v>65</v>
      </c>
      <c r="B110" s="49">
        <v>2008</v>
      </c>
      <c r="C110" s="49" t="s">
        <v>67</v>
      </c>
      <c r="D110" s="49" t="s">
        <v>179</v>
      </c>
      <c r="E110" s="51">
        <v>1025331</v>
      </c>
      <c r="F110" s="49" t="s">
        <v>20</v>
      </c>
      <c r="G110" s="49" t="s">
        <v>69</v>
      </c>
      <c r="H110" s="49" t="e" vm="23">
        <v>#VALUE!</v>
      </c>
      <c r="I110" s="49" t="s">
        <v>27</v>
      </c>
      <c r="J110" s="49" t="s">
        <v>71</v>
      </c>
      <c r="K110" s="49" t="s">
        <v>21</v>
      </c>
      <c r="L110" s="49" t="s">
        <v>21</v>
      </c>
      <c r="M110" s="49">
        <v>0</v>
      </c>
      <c r="N110" s="49">
        <v>5</v>
      </c>
      <c r="O110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10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10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10" s="49">
        <v>0</v>
      </c>
      <c r="S110" s="49">
        <v>0</v>
      </c>
      <c r="T110" s="49">
        <v>0</v>
      </c>
      <c r="U110" s="51" t="s">
        <v>21</v>
      </c>
      <c r="V110" s="51" t="s">
        <v>21</v>
      </c>
      <c r="W110" s="51" t="s">
        <v>21</v>
      </c>
      <c r="X110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0" s="55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10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10" s="53">
        <v>0</v>
      </c>
      <c r="AB110" s="53">
        <v>0</v>
      </c>
      <c r="AC110" s="54">
        <v>0</v>
      </c>
      <c r="AD110" s="54">
        <v>0</v>
      </c>
      <c r="AE110" s="52" t="s">
        <v>60</v>
      </c>
      <c r="AF110" s="53">
        <v>0</v>
      </c>
      <c r="AG110" s="53">
        <v>171.1</v>
      </c>
      <c r="AH110" s="53">
        <f>IF(ISNUMBER(Tabella2[[#This Row],[Mean RADIAL stress  (MPa)]]), Tabella2[[#This Row],[Mean RADIAL stress  (MPa)]],"")</f>
        <v>0</v>
      </c>
      <c r="AI110" s="53">
        <f>IF(ISNUMBER(Tabella2[[#This Row],[Amplitute RADIAL stress  (MPa)]]), Tabella2[[#This Row],[Amplitute RADIAL stress  (MPa)]],"")</f>
        <v>0</v>
      </c>
      <c r="AJ110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10" s="53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10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0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0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0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4199.4258049157306</v>
      </c>
      <c r="AP110" s="5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10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296.3538931750349</v>
      </c>
    </row>
    <row r="111" spans="1:43" ht="20.100000000000001" customHeight="1" x14ac:dyDescent="0.25">
      <c r="A111" s="49" t="s">
        <v>65</v>
      </c>
      <c r="B111" s="49">
        <v>2008</v>
      </c>
      <c r="C111" s="49" t="s">
        <v>67</v>
      </c>
      <c r="D111" s="49" t="s">
        <v>180</v>
      </c>
      <c r="E111" s="51">
        <v>31705</v>
      </c>
      <c r="F111" s="49" t="s">
        <v>20</v>
      </c>
      <c r="G111" s="49" t="s">
        <v>69</v>
      </c>
      <c r="H111" s="49" t="e" vm="24">
        <v>#VALUE!</v>
      </c>
      <c r="I111" s="49" t="s">
        <v>27</v>
      </c>
      <c r="J111" s="49" t="s">
        <v>71</v>
      </c>
      <c r="K111" s="49" t="s">
        <v>21</v>
      </c>
      <c r="L111" s="49" t="s">
        <v>21</v>
      </c>
      <c r="M111" s="49">
        <v>0</v>
      </c>
      <c r="N111" s="49">
        <v>5</v>
      </c>
      <c r="O111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11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11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11" s="49">
        <v>0</v>
      </c>
      <c r="S111" s="49">
        <v>0</v>
      </c>
      <c r="T111" s="49">
        <v>0</v>
      </c>
      <c r="U111" s="51" t="s">
        <v>21</v>
      </c>
      <c r="V111" s="51" t="s">
        <v>21</v>
      </c>
      <c r="W111" s="51" t="s">
        <v>21</v>
      </c>
      <c r="X111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1" s="55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11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11" s="53">
        <v>0</v>
      </c>
      <c r="AB111" s="53">
        <v>0</v>
      </c>
      <c r="AC111" s="54">
        <v>0</v>
      </c>
      <c r="AD111" s="54">
        <v>0</v>
      </c>
      <c r="AE111" s="52" t="s">
        <v>60</v>
      </c>
      <c r="AF111" s="53">
        <v>0</v>
      </c>
      <c r="AG111" s="53">
        <v>264.8</v>
      </c>
      <c r="AH111" s="53">
        <f>IF(ISNUMBER(Tabella2[[#This Row],[Mean RADIAL stress  (MPa)]]), Tabella2[[#This Row],[Mean RADIAL stress  (MPa)]],"")</f>
        <v>0</v>
      </c>
      <c r="AI111" s="53">
        <f>IF(ISNUMBER(Tabella2[[#This Row],[Amplitute RADIAL stress  (MPa)]]), Tabella2[[#This Row],[Amplitute RADIAL stress  (MPa)]],"")</f>
        <v>0</v>
      </c>
      <c r="AJ111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11" s="53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11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1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1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1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6499.1698021138855</v>
      </c>
      <c r="AP111" s="5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11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458.64705384423871</v>
      </c>
    </row>
    <row r="112" spans="1:43" ht="20.100000000000001" customHeight="1" x14ac:dyDescent="0.25">
      <c r="A112" s="49" t="s">
        <v>65</v>
      </c>
      <c r="B112" s="49">
        <v>2008</v>
      </c>
      <c r="C112" s="49" t="s">
        <v>67</v>
      </c>
      <c r="D112" s="49" t="s">
        <v>181</v>
      </c>
      <c r="E112" s="51">
        <v>30028</v>
      </c>
      <c r="F112" s="49" t="s">
        <v>20</v>
      </c>
      <c r="G112" s="49" t="s">
        <v>69</v>
      </c>
      <c r="H112" s="49" t="e" vm="24">
        <v>#VALUE!</v>
      </c>
      <c r="I112" s="49" t="s">
        <v>27</v>
      </c>
      <c r="J112" s="49" t="s">
        <v>71</v>
      </c>
      <c r="K112" s="49" t="s">
        <v>21</v>
      </c>
      <c r="L112" s="49" t="s">
        <v>21</v>
      </c>
      <c r="M112" s="49">
        <v>0</v>
      </c>
      <c r="N112" s="49">
        <v>5</v>
      </c>
      <c r="O112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12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12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12" s="49">
        <v>0</v>
      </c>
      <c r="S112" s="49">
        <v>0</v>
      </c>
      <c r="T112" s="49">
        <v>0</v>
      </c>
      <c r="U112" s="51" t="s">
        <v>21</v>
      </c>
      <c r="V112" s="51" t="s">
        <v>21</v>
      </c>
      <c r="W112" s="51" t="s">
        <v>21</v>
      </c>
      <c r="X112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2" s="55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12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12" s="53">
        <v>0</v>
      </c>
      <c r="AB112" s="53">
        <v>0</v>
      </c>
      <c r="AC112" s="54">
        <v>0</v>
      </c>
      <c r="AD112" s="54">
        <v>0</v>
      </c>
      <c r="AE112" s="52" t="s">
        <v>60</v>
      </c>
      <c r="AF112" s="53">
        <v>0</v>
      </c>
      <c r="AG112" s="53">
        <v>264.8</v>
      </c>
      <c r="AH112" s="53">
        <f>IF(ISNUMBER(Tabella2[[#This Row],[Mean RADIAL stress  (MPa)]]), Tabella2[[#This Row],[Mean RADIAL stress  (MPa)]],"")</f>
        <v>0</v>
      </c>
      <c r="AI112" s="53">
        <f>IF(ISNUMBER(Tabella2[[#This Row],[Amplitute RADIAL stress  (MPa)]]), Tabella2[[#This Row],[Amplitute RADIAL stress  (MPa)]],"")</f>
        <v>0</v>
      </c>
      <c r="AJ112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12" s="53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12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2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2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2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6499.1698021138855</v>
      </c>
      <c r="AP112" s="5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12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458.64705384423871</v>
      </c>
    </row>
    <row r="113" spans="1:43" ht="20.100000000000001" customHeight="1" x14ac:dyDescent="0.25">
      <c r="A113" s="49" t="s">
        <v>65</v>
      </c>
      <c r="B113" s="49">
        <v>2008</v>
      </c>
      <c r="C113" s="49" t="s">
        <v>67</v>
      </c>
      <c r="D113" s="49" t="s">
        <v>182</v>
      </c>
      <c r="E113" s="51">
        <v>306633</v>
      </c>
      <c r="F113" s="49" t="s">
        <v>20</v>
      </c>
      <c r="G113" s="49" t="s">
        <v>69</v>
      </c>
      <c r="H113" s="49" t="e" vm="24">
        <v>#VALUE!</v>
      </c>
      <c r="I113" s="49" t="s">
        <v>27</v>
      </c>
      <c r="J113" s="49" t="s">
        <v>71</v>
      </c>
      <c r="K113" s="49" t="s">
        <v>21</v>
      </c>
      <c r="L113" s="49" t="s">
        <v>21</v>
      </c>
      <c r="M113" s="49">
        <v>0</v>
      </c>
      <c r="N113" s="49">
        <v>5</v>
      </c>
      <c r="O113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13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13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13" s="49">
        <v>0</v>
      </c>
      <c r="S113" s="49">
        <v>0</v>
      </c>
      <c r="T113" s="49">
        <v>0</v>
      </c>
      <c r="U113" s="51" t="s">
        <v>21</v>
      </c>
      <c r="V113" s="51" t="s">
        <v>21</v>
      </c>
      <c r="W113" s="51" t="s">
        <v>21</v>
      </c>
      <c r="X113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3" s="55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13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13" s="53">
        <v>0</v>
      </c>
      <c r="AB113" s="53">
        <v>0</v>
      </c>
      <c r="AC113" s="54">
        <v>0</v>
      </c>
      <c r="AD113" s="54">
        <v>0</v>
      </c>
      <c r="AE113" s="52" t="s">
        <v>60</v>
      </c>
      <c r="AF113" s="53">
        <v>0</v>
      </c>
      <c r="AG113" s="53">
        <v>171.1</v>
      </c>
      <c r="AH113" s="53">
        <f>IF(ISNUMBER(Tabella2[[#This Row],[Mean RADIAL stress  (MPa)]]), Tabella2[[#This Row],[Mean RADIAL stress  (MPa)]],"")</f>
        <v>0</v>
      </c>
      <c r="AI113" s="53">
        <f>IF(ISNUMBER(Tabella2[[#This Row],[Amplitute RADIAL stress  (MPa)]]), Tabella2[[#This Row],[Amplitute RADIAL stress  (MPa)]],"")</f>
        <v>0</v>
      </c>
      <c r="AJ113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13" s="53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13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3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3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3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4199.4258049157306</v>
      </c>
      <c r="AP113" s="5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13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296.3538931750349</v>
      </c>
    </row>
    <row r="114" spans="1:43" ht="20.100000000000001" customHeight="1" x14ac:dyDescent="0.25">
      <c r="A114" s="49" t="s">
        <v>65</v>
      </c>
      <c r="B114" s="49">
        <v>2008</v>
      </c>
      <c r="C114" s="49" t="s">
        <v>67</v>
      </c>
      <c r="D114" s="49" t="s">
        <v>183</v>
      </c>
      <c r="E114" s="51">
        <v>904657</v>
      </c>
      <c r="F114" s="49" t="s">
        <v>20</v>
      </c>
      <c r="G114" s="49" t="s">
        <v>69</v>
      </c>
      <c r="H114" s="49" t="e" vm="24">
        <v>#VALUE!</v>
      </c>
      <c r="I114" s="49" t="s">
        <v>27</v>
      </c>
      <c r="J114" s="49" t="s">
        <v>71</v>
      </c>
      <c r="K114" s="49" t="s">
        <v>21</v>
      </c>
      <c r="L114" s="49" t="s">
        <v>21</v>
      </c>
      <c r="M114" s="49">
        <v>0</v>
      </c>
      <c r="N114" s="49">
        <v>5</v>
      </c>
      <c r="O114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14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14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14" s="49">
        <v>0</v>
      </c>
      <c r="S114" s="49">
        <v>0</v>
      </c>
      <c r="T114" s="49">
        <v>0</v>
      </c>
      <c r="U114" s="51" t="s">
        <v>21</v>
      </c>
      <c r="V114" s="51" t="s">
        <v>21</v>
      </c>
      <c r="W114" s="51" t="s">
        <v>21</v>
      </c>
      <c r="X114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4" s="55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14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14" s="53">
        <v>0</v>
      </c>
      <c r="AB114" s="53">
        <v>0</v>
      </c>
      <c r="AC114" s="54">
        <v>0</v>
      </c>
      <c r="AD114" s="54">
        <v>0</v>
      </c>
      <c r="AE114" s="52" t="s">
        <v>60</v>
      </c>
      <c r="AF114" s="53">
        <v>0</v>
      </c>
      <c r="AG114" s="53">
        <v>171.1</v>
      </c>
      <c r="AH114" s="53">
        <f>IF(ISNUMBER(Tabella2[[#This Row],[Mean RADIAL stress  (MPa)]]), Tabella2[[#This Row],[Mean RADIAL stress  (MPa)]],"")</f>
        <v>0</v>
      </c>
      <c r="AI114" s="53">
        <f>IF(ISNUMBER(Tabella2[[#This Row],[Amplitute RADIAL stress  (MPa)]]), Tabella2[[#This Row],[Amplitute RADIAL stress  (MPa)]],"")</f>
        <v>0</v>
      </c>
      <c r="AJ114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14" s="53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14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4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4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4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4199.4258049157306</v>
      </c>
      <c r="AP114" s="5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14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296.3538931750349</v>
      </c>
    </row>
    <row r="115" spans="1:43" ht="20.100000000000001" customHeight="1" x14ac:dyDescent="0.25">
      <c r="A115" s="49" t="s">
        <v>65</v>
      </c>
      <c r="B115" s="49">
        <v>2008</v>
      </c>
      <c r="C115" s="49" t="s">
        <v>67</v>
      </c>
      <c r="D115" s="49" t="s">
        <v>184</v>
      </c>
      <c r="E115" s="51">
        <v>344380</v>
      </c>
      <c r="F115" s="49" t="s">
        <v>20</v>
      </c>
      <c r="G115" s="49" t="s">
        <v>69</v>
      </c>
      <c r="H115" s="49" t="e" vm="24">
        <v>#VALUE!</v>
      </c>
      <c r="I115" s="49" t="s">
        <v>27</v>
      </c>
      <c r="J115" s="49" t="s">
        <v>71</v>
      </c>
      <c r="K115" s="49" t="s">
        <v>21</v>
      </c>
      <c r="L115" s="49" t="s">
        <v>21</v>
      </c>
      <c r="M115" s="49">
        <v>0</v>
      </c>
      <c r="N115" s="49">
        <v>5</v>
      </c>
      <c r="O115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15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15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15" s="49">
        <v>0</v>
      </c>
      <c r="S115" s="49">
        <v>0</v>
      </c>
      <c r="T115" s="49">
        <v>0</v>
      </c>
      <c r="U115" s="51" t="s">
        <v>21</v>
      </c>
      <c r="V115" s="51" t="s">
        <v>21</v>
      </c>
      <c r="W115" s="51" t="s">
        <v>21</v>
      </c>
      <c r="X115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5" s="55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15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15" s="53">
        <v>0</v>
      </c>
      <c r="AB115" s="53">
        <v>0</v>
      </c>
      <c r="AC115" s="54">
        <v>0</v>
      </c>
      <c r="AD115" s="54">
        <v>0</v>
      </c>
      <c r="AE115" s="52" t="s">
        <v>60</v>
      </c>
      <c r="AF115" s="53">
        <v>0</v>
      </c>
      <c r="AG115" s="53">
        <v>203.7</v>
      </c>
      <c r="AH115" s="53">
        <f>IF(ISNUMBER(Tabella2[[#This Row],[Mean RADIAL stress  (MPa)]]), Tabella2[[#This Row],[Mean RADIAL stress  (MPa)]],"")</f>
        <v>0</v>
      </c>
      <c r="AI115" s="53">
        <f>IF(ISNUMBER(Tabella2[[#This Row],[Amplitute RADIAL stress  (MPa)]]), Tabella2[[#This Row],[Amplitute RADIAL stress  (MPa)]],"")</f>
        <v>0</v>
      </c>
      <c r="AJ115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15" s="53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15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5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5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5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4999.5501838768814</v>
      </c>
      <c r="AP115" s="5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15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352.81874950178025</v>
      </c>
    </row>
    <row r="116" spans="1:43" ht="20.100000000000001" customHeight="1" x14ac:dyDescent="0.25">
      <c r="A116" s="49" t="s">
        <v>65</v>
      </c>
      <c r="B116" s="49">
        <v>2008</v>
      </c>
      <c r="C116" s="49" t="s">
        <v>67</v>
      </c>
      <c r="D116" s="49" t="s">
        <v>185</v>
      </c>
      <c r="E116" s="51">
        <v>614536</v>
      </c>
      <c r="F116" s="49" t="s">
        <v>20</v>
      </c>
      <c r="G116" s="49" t="s">
        <v>69</v>
      </c>
      <c r="H116" s="49" t="e" vm="24">
        <v>#VALUE!</v>
      </c>
      <c r="I116" s="49" t="s">
        <v>27</v>
      </c>
      <c r="J116" s="49" t="s">
        <v>71</v>
      </c>
      <c r="K116" s="49" t="s">
        <v>21</v>
      </c>
      <c r="L116" s="49" t="s">
        <v>21</v>
      </c>
      <c r="M116" s="49">
        <v>0</v>
      </c>
      <c r="N116" s="49">
        <v>5</v>
      </c>
      <c r="O116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16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16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16" s="49">
        <v>0</v>
      </c>
      <c r="S116" s="49">
        <v>0</v>
      </c>
      <c r="T116" s="49">
        <v>0</v>
      </c>
      <c r="U116" s="51" t="s">
        <v>21</v>
      </c>
      <c r="V116" s="51" t="s">
        <v>21</v>
      </c>
      <c r="W116" s="51" t="s">
        <v>21</v>
      </c>
      <c r="X116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6" s="55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16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16" s="53">
        <v>0</v>
      </c>
      <c r="AB116" s="53">
        <v>0</v>
      </c>
      <c r="AC116" s="54">
        <v>0</v>
      </c>
      <c r="AD116" s="54">
        <v>0</v>
      </c>
      <c r="AE116" s="52" t="s">
        <v>60</v>
      </c>
      <c r="AF116" s="53">
        <v>0</v>
      </c>
      <c r="AG116" s="53">
        <v>203.7</v>
      </c>
      <c r="AH116" s="53">
        <f>IF(ISNUMBER(Tabella2[[#This Row],[Mean RADIAL stress  (MPa)]]), Tabella2[[#This Row],[Mean RADIAL stress  (MPa)]],"")</f>
        <v>0</v>
      </c>
      <c r="AI116" s="53">
        <f>IF(ISNUMBER(Tabella2[[#This Row],[Amplitute RADIAL stress  (MPa)]]), Tabella2[[#This Row],[Amplitute RADIAL stress  (MPa)]],"")</f>
        <v>0</v>
      </c>
      <c r="AJ116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16" s="53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16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6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6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6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4999.5501838768814</v>
      </c>
      <c r="AP116" s="5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16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352.81874950178025</v>
      </c>
    </row>
    <row r="117" spans="1:43" ht="20.100000000000001" customHeight="1" x14ac:dyDescent="0.25">
      <c r="A117" s="49" t="s">
        <v>65</v>
      </c>
      <c r="B117" s="49">
        <v>2008</v>
      </c>
      <c r="C117" s="49" t="s">
        <v>67</v>
      </c>
      <c r="D117" s="49" t="s">
        <v>186</v>
      </c>
      <c r="E117" s="51">
        <v>70232</v>
      </c>
      <c r="F117" s="49" t="s">
        <v>20</v>
      </c>
      <c r="G117" s="49" t="s">
        <v>69</v>
      </c>
      <c r="H117" s="49" t="e" vm="24">
        <v>#VALUE!</v>
      </c>
      <c r="I117" s="49" t="s">
        <v>27</v>
      </c>
      <c r="J117" s="49" t="s">
        <v>71</v>
      </c>
      <c r="K117" s="49" t="s">
        <v>21</v>
      </c>
      <c r="L117" s="49" t="s">
        <v>21</v>
      </c>
      <c r="M117" s="49">
        <v>0</v>
      </c>
      <c r="N117" s="49">
        <v>5</v>
      </c>
      <c r="O117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17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17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17" s="49">
        <v>0</v>
      </c>
      <c r="S117" s="49">
        <v>0</v>
      </c>
      <c r="T117" s="49">
        <v>0</v>
      </c>
      <c r="U117" s="51" t="s">
        <v>21</v>
      </c>
      <c r="V117" s="51" t="s">
        <v>21</v>
      </c>
      <c r="W117" s="51" t="s">
        <v>21</v>
      </c>
      <c r="X117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7" s="55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17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17" s="53">
        <v>0</v>
      </c>
      <c r="AB117" s="53">
        <v>0</v>
      </c>
      <c r="AC117" s="54">
        <v>0</v>
      </c>
      <c r="AD117" s="54">
        <v>0</v>
      </c>
      <c r="AE117" s="52" t="s">
        <v>60</v>
      </c>
      <c r="AF117" s="53">
        <v>0</v>
      </c>
      <c r="AG117" s="53">
        <v>244.5</v>
      </c>
      <c r="AH117" s="53">
        <f>IF(ISNUMBER(Tabella2[[#This Row],[Mean RADIAL stress  (MPa)]]), Tabella2[[#This Row],[Mean RADIAL stress  (MPa)]],"")</f>
        <v>0</v>
      </c>
      <c r="AI117" s="53">
        <f>IF(ISNUMBER(Tabella2[[#This Row],[Amplitute RADIAL stress  (MPa)]]), Tabella2[[#This Row],[Amplitute RADIAL stress  (MPa)]],"")</f>
        <v>0</v>
      </c>
      <c r="AJ117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17" s="53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17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7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7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7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6000.9328422086282</v>
      </c>
      <c r="AP117" s="5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17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423.48642245059051</v>
      </c>
    </row>
    <row r="118" spans="1:43" ht="20.100000000000001" customHeight="1" x14ac:dyDescent="0.25">
      <c r="A118" s="49" t="s">
        <v>65</v>
      </c>
      <c r="B118" s="49">
        <v>2008</v>
      </c>
      <c r="C118" s="49" t="s">
        <v>67</v>
      </c>
      <c r="D118" s="49" t="s">
        <v>187</v>
      </c>
      <c r="E118" s="51">
        <v>7700</v>
      </c>
      <c r="F118" s="49" t="s">
        <v>20</v>
      </c>
      <c r="G118" s="49" t="s">
        <v>69</v>
      </c>
      <c r="H118" s="49" t="e" vm="24">
        <v>#VALUE!</v>
      </c>
      <c r="I118" s="49" t="s">
        <v>27</v>
      </c>
      <c r="J118" s="49" t="s">
        <v>71</v>
      </c>
      <c r="K118" s="49" t="s">
        <v>21</v>
      </c>
      <c r="L118" s="49" t="s">
        <v>21</v>
      </c>
      <c r="M118" s="49">
        <v>0</v>
      </c>
      <c r="N118" s="49">
        <v>5</v>
      </c>
      <c r="O118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18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18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18" s="49">
        <v>0</v>
      </c>
      <c r="S118" s="49">
        <v>0</v>
      </c>
      <c r="T118" s="49">
        <v>0</v>
      </c>
      <c r="U118" s="51" t="s">
        <v>21</v>
      </c>
      <c r="V118" s="51" t="s">
        <v>21</v>
      </c>
      <c r="W118" s="51" t="s">
        <v>21</v>
      </c>
      <c r="X118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8" s="55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118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18" s="53">
        <v>0</v>
      </c>
      <c r="AB118" s="53">
        <v>0</v>
      </c>
      <c r="AC118" s="54">
        <v>0</v>
      </c>
      <c r="AD118" s="54">
        <v>0</v>
      </c>
      <c r="AE118" s="52" t="s">
        <v>60</v>
      </c>
      <c r="AF118" s="53">
        <v>0</v>
      </c>
      <c r="AG118" s="53">
        <v>297.39999999999998</v>
      </c>
      <c r="AH118" s="53">
        <f>IF(ISNUMBER(Tabella2[[#This Row],[Mean RADIAL stress  (MPa)]]), Tabella2[[#This Row],[Mean RADIAL stress  (MPa)]],"")</f>
        <v>0</v>
      </c>
      <c r="AI118" s="53">
        <f>IF(ISNUMBER(Tabella2[[#This Row],[Amplitute RADIAL stress  (MPa)]]), Tabella2[[#This Row],[Amplitute RADIAL stress  (MPa)]],"")</f>
        <v>0</v>
      </c>
      <c r="AJ118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18" s="53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18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8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8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8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7299.2941810750344</v>
      </c>
      <c r="AP118" s="5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18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515.11191017098406</v>
      </c>
    </row>
    <row r="119" spans="1:43" ht="20.100000000000001" customHeight="1" x14ac:dyDescent="0.25">
      <c r="A119" s="49" t="s">
        <v>65</v>
      </c>
      <c r="B119" s="49">
        <v>2008</v>
      </c>
      <c r="C119" s="49" t="s">
        <v>67</v>
      </c>
      <c r="D119" s="49" t="s">
        <v>188</v>
      </c>
      <c r="E119" s="51">
        <v>11899</v>
      </c>
      <c r="F119" s="49" t="s">
        <v>20</v>
      </c>
      <c r="G119" s="49" t="s">
        <v>69</v>
      </c>
      <c r="H119" s="49" t="e" vm="25">
        <v>#VALUE!</v>
      </c>
      <c r="I119" s="49" t="s">
        <v>27</v>
      </c>
      <c r="J119" s="49" t="s">
        <v>71</v>
      </c>
      <c r="K119" s="49" t="s">
        <v>21</v>
      </c>
      <c r="L119" s="49" t="s">
        <v>21</v>
      </c>
      <c r="M119" s="49">
        <v>0</v>
      </c>
      <c r="N119" s="49">
        <v>5</v>
      </c>
      <c r="O119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19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19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19" s="49">
        <v>0</v>
      </c>
      <c r="S119" s="49">
        <v>0</v>
      </c>
      <c r="T119" s="49">
        <v>0</v>
      </c>
      <c r="U119" s="51" t="s">
        <v>21</v>
      </c>
      <c r="V119" s="51" t="s">
        <v>21</v>
      </c>
      <c r="W119" s="51" t="s">
        <v>21</v>
      </c>
      <c r="X119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9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19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19" s="53">
        <v>0</v>
      </c>
      <c r="AB119" s="53">
        <v>0</v>
      </c>
      <c r="AC119" s="54">
        <v>162.19999999999999</v>
      </c>
      <c r="AD119" s="54">
        <v>162.19999999999999</v>
      </c>
      <c r="AE119" s="52" t="s">
        <v>60</v>
      </c>
      <c r="AF119" s="53">
        <v>168.7</v>
      </c>
      <c r="AG119" s="53">
        <v>168.7</v>
      </c>
      <c r="AH119" s="53">
        <f>IF(ISNUMBER(Tabella2[[#This Row],[Mean RADIAL stress  (MPa)]]), Tabella2[[#This Row],[Mean RADIAL stress  (MPa)]],"")</f>
        <v>0</v>
      </c>
      <c r="AI119" s="53">
        <f>IF(ISNUMBER(Tabella2[[#This Row],[Amplitute RADIAL stress  (MPa)]]), Tabella2[[#This Row],[Amplitute RADIAL stress  (MPa)]],"")</f>
        <v>0</v>
      </c>
      <c r="AJ119" s="53">
        <f>IF(ISNUMBER(Tabella2[[#This Row],[Mean AXIAL stress  (MPa)]]), IF(Tabella2[[#This Row],[derived from (AXIAL/BENDING) load]]="AXIAL",Tabella2[[#This Row],[Mean AXIAL stress  (MPa)]]*Tabella2[[#This Row],[Area (mm^2)]],"Null"), "")</f>
        <v>3184.7895525766526</v>
      </c>
      <c r="AK119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3184.7895525766526</v>
      </c>
      <c r="AL119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9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9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4140.5209426609226</v>
      </c>
      <c r="AO119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4140.5209426609226</v>
      </c>
      <c r="AP119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1.0400739827373613</v>
      </c>
      <c r="AQ119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334.1974117194805</v>
      </c>
    </row>
    <row r="120" spans="1:43" ht="20.100000000000001" customHeight="1" x14ac:dyDescent="0.25">
      <c r="A120" s="49" t="s">
        <v>65</v>
      </c>
      <c r="B120" s="49">
        <v>2008</v>
      </c>
      <c r="C120" s="49" t="s">
        <v>67</v>
      </c>
      <c r="D120" s="49" t="s">
        <v>189</v>
      </c>
      <c r="E120" s="51">
        <v>396137</v>
      </c>
      <c r="F120" s="49" t="s">
        <v>20</v>
      </c>
      <c r="G120" s="49" t="s">
        <v>69</v>
      </c>
      <c r="H120" s="49" t="e" vm="26">
        <v>#VALUE!</v>
      </c>
      <c r="I120" s="49" t="s">
        <v>27</v>
      </c>
      <c r="J120" s="49" t="s">
        <v>71</v>
      </c>
      <c r="K120" s="49" t="s">
        <v>21</v>
      </c>
      <c r="L120" s="49" t="s">
        <v>21</v>
      </c>
      <c r="M120" s="49">
        <v>0</v>
      </c>
      <c r="N120" s="49">
        <v>5</v>
      </c>
      <c r="O120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20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20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20" s="49">
        <v>0</v>
      </c>
      <c r="S120" s="49">
        <v>0</v>
      </c>
      <c r="T120" s="49">
        <v>0</v>
      </c>
      <c r="U120" s="51" t="s">
        <v>21</v>
      </c>
      <c r="V120" s="51" t="s">
        <v>21</v>
      </c>
      <c r="W120" s="51" t="s">
        <v>21</v>
      </c>
      <c r="X120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0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20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20" s="53">
        <v>0</v>
      </c>
      <c r="AB120" s="53">
        <v>0</v>
      </c>
      <c r="AC120" s="54">
        <v>108.2</v>
      </c>
      <c r="AD120" s="54">
        <v>108.2</v>
      </c>
      <c r="AE120" s="52" t="s">
        <v>60</v>
      </c>
      <c r="AF120" s="53">
        <v>112.5</v>
      </c>
      <c r="AG120" s="53">
        <v>112.5</v>
      </c>
      <c r="AH120" s="53">
        <f>IF(ISNUMBER(Tabella2[[#This Row],[Mean RADIAL stress  (MPa)]]), Tabella2[[#This Row],[Mean RADIAL stress  (MPa)]],"")</f>
        <v>0</v>
      </c>
      <c r="AI120" s="53">
        <f>IF(ISNUMBER(Tabella2[[#This Row],[Amplitute RADIAL stress  (MPa)]]), Tabella2[[#This Row],[Amplitute RADIAL stress  (MPa)]],"")</f>
        <v>0</v>
      </c>
      <c r="AJ120" s="53">
        <f>IF(ISNUMBER(Tabella2[[#This Row],[Mean AXIAL stress  (MPa)]]), IF(Tabella2[[#This Row],[derived from (AXIAL/BENDING) load]]="AXIAL",Tabella2[[#This Row],[Mean AXIAL stress  (MPa)]]*Tabella2[[#This Row],[Area (mm^2)]],"Null"), "")</f>
        <v>2124.5020319900977</v>
      </c>
      <c r="AK120" s="53">
        <f>IF(ISNUMBER(Tabella2[[#This Row],[Amplitute AXIAL stress  (MPa)]]),    IF(Tabella2[[#This Row],[derived from (AXIAL/BENDING) load]]="AXIAL",Tabella2[[#This Row],[Amplitute AXIAL stress  (MPa)]]*Tabella2[[#This Row],[Area (mm^2)]],"Null"), "")</f>
        <v>2124.5020319900977</v>
      </c>
      <c r="AL120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0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0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2761.1654181941544</v>
      </c>
      <c r="AO120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2761.1654181941544</v>
      </c>
      <c r="AP120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1.0397412199630314</v>
      </c>
      <c r="AQ120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222.88111180627217</v>
      </c>
    </row>
    <row r="121" spans="1:43" ht="20.100000000000001" customHeight="1" x14ac:dyDescent="0.25">
      <c r="A121" s="49" t="s">
        <v>65</v>
      </c>
      <c r="B121" s="49">
        <v>2008</v>
      </c>
      <c r="C121" s="49" t="s">
        <v>67</v>
      </c>
      <c r="D121" s="49" t="s">
        <v>190</v>
      </c>
      <c r="E121" s="51">
        <v>626504</v>
      </c>
      <c r="F121" s="49" t="s">
        <v>20</v>
      </c>
      <c r="G121" s="49" t="s">
        <v>69</v>
      </c>
      <c r="H121" s="49" t="e" vm="26">
        <v>#VALUE!</v>
      </c>
      <c r="I121" s="49" t="s">
        <v>27</v>
      </c>
      <c r="J121" s="49" t="s">
        <v>71</v>
      </c>
      <c r="K121" s="49" t="s">
        <v>21</v>
      </c>
      <c r="L121" s="49" t="s">
        <v>21</v>
      </c>
      <c r="M121" s="49">
        <v>0</v>
      </c>
      <c r="N121" s="49">
        <v>5</v>
      </c>
      <c r="O121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21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21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21" s="49">
        <v>0</v>
      </c>
      <c r="S121" s="49">
        <v>0</v>
      </c>
      <c r="T121" s="49">
        <v>0</v>
      </c>
      <c r="U121" s="51" t="s">
        <v>21</v>
      </c>
      <c r="V121" s="51" t="s">
        <v>21</v>
      </c>
      <c r="W121" s="51" t="s">
        <v>21</v>
      </c>
      <c r="X121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1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21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21" s="53">
        <v>0</v>
      </c>
      <c r="AB121" s="53">
        <v>0</v>
      </c>
      <c r="AC121" s="54">
        <v>97.3</v>
      </c>
      <c r="AD121" s="54">
        <v>97.3</v>
      </c>
      <c r="AE121" s="52" t="s">
        <v>60</v>
      </c>
      <c r="AF121" s="53">
        <v>101.2</v>
      </c>
      <c r="AG121" s="53">
        <v>101.2</v>
      </c>
      <c r="AH121" s="53">
        <f>IF(ISNUMBER(Tabella2[[#This Row],[Mean RADIAL stress  (MPa)]]), Tabella2[[#This Row],[Mean RADIAL stress  (MPa)]],"")</f>
        <v>0</v>
      </c>
      <c r="AI121" s="53">
        <f>IF(ISNUMBER(Tabella2[[#This Row],[Amplitute RADIAL stress  (MPa)]]), Tabella2[[#This Row],[Amplitute RADIAL stress  (MPa)]],"")</f>
        <v>0</v>
      </c>
      <c r="AJ121" s="53">
        <f>IF(ISNUMBER(Tabella2[[#This Row],[Mean AXIAL stress  (MPa)]]), IF(Tabella2[[#This Row],[derived from (AXIAL/BENDING) load]]="AXIAL",Tabella2[[#This Row],[Mean AXIAL stress  (MPa)]]*Tabella2[[#This Row],[Area (mm^2)]],"Null"), "")</f>
        <v>1910.4810324642929</v>
      </c>
      <c r="AK121" s="53">
        <f>IF(ISNUMBER(Tabella2[[#This Row],[Amplitute AXIAL stress  (MPa)]]),    IF(Tabella2[[#This Row],[derived from (AXIAL/BENDING) load]]="AXIAL",Tabella2[[#This Row],[Amplitute AXIAL stress  (MPa)]]*Tabella2[[#This Row],[Area (mm^2)]],"Null"), "")</f>
        <v>1910.4810324642929</v>
      </c>
      <c r="AL121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1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1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2483.8216917444306</v>
      </c>
      <c r="AO121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2483.8216917444306</v>
      </c>
      <c r="AP121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1.0400822199383351</v>
      </c>
      <c r="AQ121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200.47845270751668</v>
      </c>
    </row>
    <row r="122" spans="1:43" ht="20.100000000000001" customHeight="1" x14ac:dyDescent="0.25">
      <c r="A122" s="49" t="s">
        <v>65</v>
      </c>
      <c r="B122" s="49">
        <v>2008</v>
      </c>
      <c r="C122" s="49" t="s">
        <v>67</v>
      </c>
      <c r="D122" s="49" t="s">
        <v>191</v>
      </c>
      <c r="E122" s="51">
        <v>83907</v>
      </c>
      <c r="F122" s="49" t="s">
        <v>20</v>
      </c>
      <c r="G122" s="49" t="s">
        <v>69</v>
      </c>
      <c r="H122" s="49" t="e" vm="26">
        <v>#VALUE!</v>
      </c>
      <c r="I122" s="49" t="s">
        <v>27</v>
      </c>
      <c r="J122" s="49" t="s">
        <v>71</v>
      </c>
      <c r="K122" s="49" t="s">
        <v>21</v>
      </c>
      <c r="L122" s="49" t="s">
        <v>21</v>
      </c>
      <c r="M122" s="49">
        <v>0</v>
      </c>
      <c r="N122" s="49">
        <v>5</v>
      </c>
      <c r="O122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22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22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22" s="49">
        <v>0</v>
      </c>
      <c r="S122" s="49">
        <v>0</v>
      </c>
      <c r="T122" s="49">
        <v>0</v>
      </c>
      <c r="U122" s="51" t="s">
        <v>21</v>
      </c>
      <c r="V122" s="51" t="s">
        <v>21</v>
      </c>
      <c r="W122" s="51" t="s">
        <v>21</v>
      </c>
      <c r="X122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2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22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22" s="53">
        <v>0</v>
      </c>
      <c r="AB122" s="53">
        <v>0</v>
      </c>
      <c r="AC122" s="54">
        <v>129.80000000000001</v>
      </c>
      <c r="AD122" s="54">
        <v>129.80000000000001</v>
      </c>
      <c r="AE122" s="52" t="s">
        <v>60</v>
      </c>
      <c r="AF122" s="53">
        <v>135</v>
      </c>
      <c r="AG122" s="53">
        <v>135</v>
      </c>
      <c r="AH122" s="53">
        <f>IF(ISNUMBER(Tabella2[[#This Row],[Mean RADIAL stress  (MPa)]]), Tabella2[[#This Row],[Mean RADIAL stress  (MPa)]],"")</f>
        <v>0</v>
      </c>
      <c r="AI122" s="53">
        <f>IF(ISNUMBER(Tabella2[[#This Row],[Amplitute RADIAL stress  (MPa)]]), Tabella2[[#This Row],[Amplitute RADIAL stress  (MPa)]],"")</f>
        <v>0</v>
      </c>
      <c r="AJ122" s="53">
        <f>IF(ISNUMBER(Tabella2[[#This Row],[Mean AXIAL stress  (MPa)]]), IF(Tabella2[[#This Row],[derived from (AXIAL/BENDING) load]]="AXIAL",Tabella2[[#This Row],[Mean AXIAL stress  (MPa)]]*Tabella2[[#This Row],[Area (mm^2)]],"Null"), "")</f>
        <v>2548.6170402247199</v>
      </c>
      <c r="AK122" s="53">
        <f>IF(ISNUMBER(Tabella2[[#This Row],[Amplitute AXIAL stress  (MPa)]]),    IF(Tabella2[[#This Row],[derived from (AXIAL/BENDING) load]]="AXIAL",Tabella2[[#This Row],[Amplitute AXIAL stress  (MPa)]]*Tabella2[[#This Row],[Area (mm^2)]],"Null"), "")</f>
        <v>2548.6170402247199</v>
      </c>
      <c r="AL122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2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2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3313.3985018329849</v>
      </c>
      <c r="AO122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3313.3985018329849</v>
      </c>
      <c r="AP122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1.0400616332819721</v>
      </c>
      <c r="AQ122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267.43791802958685</v>
      </c>
    </row>
    <row r="123" spans="1:43" ht="20.100000000000001" customHeight="1" x14ac:dyDescent="0.25">
      <c r="A123" s="49" t="s">
        <v>65</v>
      </c>
      <c r="B123" s="49">
        <v>2008</v>
      </c>
      <c r="C123" s="49" t="s">
        <v>67</v>
      </c>
      <c r="D123" s="49" t="s">
        <v>192</v>
      </c>
      <c r="E123" s="51">
        <v>6364</v>
      </c>
      <c r="F123" s="49" t="s">
        <v>20</v>
      </c>
      <c r="G123" s="49" t="s">
        <v>69</v>
      </c>
      <c r="H123" s="49" t="e" vm="26">
        <v>#VALUE!</v>
      </c>
      <c r="I123" s="49" t="s">
        <v>27</v>
      </c>
      <c r="J123" s="49" t="s">
        <v>71</v>
      </c>
      <c r="K123" s="49" t="s">
        <v>21</v>
      </c>
      <c r="L123" s="49" t="s">
        <v>21</v>
      </c>
      <c r="M123" s="49">
        <v>0</v>
      </c>
      <c r="N123" s="49">
        <v>5</v>
      </c>
      <c r="O123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23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23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23" s="49">
        <v>0</v>
      </c>
      <c r="S123" s="49">
        <v>0</v>
      </c>
      <c r="T123" s="49">
        <v>0</v>
      </c>
      <c r="U123" s="51" t="s">
        <v>21</v>
      </c>
      <c r="V123" s="51" t="s">
        <v>21</v>
      </c>
      <c r="W123" s="51" t="s">
        <v>21</v>
      </c>
      <c r="X123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3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23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23" s="53">
        <v>0</v>
      </c>
      <c r="AB123" s="53">
        <v>0</v>
      </c>
      <c r="AC123" s="54">
        <v>194.7</v>
      </c>
      <c r="AD123" s="54">
        <v>194.7</v>
      </c>
      <c r="AE123" s="52" t="s">
        <v>60</v>
      </c>
      <c r="AF123" s="53">
        <v>202.5</v>
      </c>
      <c r="AG123" s="53">
        <v>202.5</v>
      </c>
      <c r="AH123" s="53">
        <f>IF(ISNUMBER(Tabella2[[#This Row],[Mean RADIAL stress  (MPa)]]), Tabella2[[#This Row],[Mean RADIAL stress  (MPa)]],"")</f>
        <v>0</v>
      </c>
      <c r="AI123" s="53">
        <f>IF(ISNUMBER(Tabella2[[#This Row],[Amplitute RADIAL stress  (MPa)]]), Tabella2[[#This Row],[Amplitute RADIAL stress  (MPa)]],"")</f>
        <v>0</v>
      </c>
      <c r="AJ123" s="53">
        <f>IF(ISNUMBER(Tabella2[[#This Row],[Mean AXIAL stress  (MPa)]]), IF(Tabella2[[#This Row],[derived from (AXIAL/BENDING) load]]="AXIAL",Tabella2[[#This Row],[Mean AXIAL stress  (MPa)]]*Tabella2[[#This Row],[Area (mm^2)]],"Null"), "")</f>
        <v>3822.9255603370793</v>
      </c>
      <c r="AK123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3822.9255603370793</v>
      </c>
      <c r="AL123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3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3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4970.0977527494779</v>
      </c>
      <c r="AO123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4970.0977527494779</v>
      </c>
      <c r="AP123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1.0400616332819723</v>
      </c>
      <c r="AQ123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401.15687704438022</v>
      </c>
    </row>
    <row r="124" spans="1:43" ht="20.100000000000001" customHeight="1" x14ac:dyDescent="0.25">
      <c r="A124" s="49" t="s">
        <v>65</v>
      </c>
      <c r="B124" s="49">
        <v>2008</v>
      </c>
      <c r="C124" s="49" t="s">
        <v>67</v>
      </c>
      <c r="D124" s="49" t="s">
        <v>193</v>
      </c>
      <c r="E124" s="51">
        <v>6680</v>
      </c>
      <c r="F124" s="49" t="s">
        <v>20</v>
      </c>
      <c r="G124" s="49" t="s">
        <v>69</v>
      </c>
      <c r="H124" s="49" t="e" vm="26">
        <v>#VALUE!</v>
      </c>
      <c r="I124" s="49" t="s">
        <v>27</v>
      </c>
      <c r="J124" s="49" t="s">
        <v>71</v>
      </c>
      <c r="K124" s="49" t="s">
        <v>21</v>
      </c>
      <c r="L124" s="49" t="s">
        <v>21</v>
      </c>
      <c r="M124" s="49">
        <v>0</v>
      </c>
      <c r="N124" s="49">
        <v>5</v>
      </c>
      <c r="O124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24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24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24" s="49">
        <v>0</v>
      </c>
      <c r="S124" s="49">
        <v>0</v>
      </c>
      <c r="T124" s="49">
        <v>0</v>
      </c>
      <c r="U124" s="51" t="s">
        <v>21</v>
      </c>
      <c r="V124" s="51" t="s">
        <v>21</v>
      </c>
      <c r="W124" s="51" t="s">
        <v>21</v>
      </c>
      <c r="X124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4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24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24" s="53">
        <v>0</v>
      </c>
      <c r="AB124" s="53">
        <v>0</v>
      </c>
      <c r="AC124" s="54">
        <v>194.7</v>
      </c>
      <c r="AD124" s="54">
        <v>194.7</v>
      </c>
      <c r="AE124" s="52" t="s">
        <v>60</v>
      </c>
      <c r="AF124" s="53">
        <v>202.5</v>
      </c>
      <c r="AG124" s="53">
        <v>202.5</v>
      </c>
      <c r="AH124" s="53">
        <f>IF(ISNUMBER(Tabella2[[#This Row],[Mean RADIAL stress  (MPa)]]), Tabella2[[#This Row],[Mean RADIAL stress  (MPa)]],"")</f>
        <v>0</v>
      </c>
      <c r="AI124" s="53">
        <f>IF(ISNUMBER(Tabella2[[#This Row],[Amplitute RADIAL stress  (MPa)]]), Tabella2[[#This Row],[Amplitute RADIAL stress  (MPa)]],"")</f>
        <v>0</v>
      </c>
      <c r="AJ124" s="53">
        <f>IF(ISNUMBER(Tabella2[[#This Row],[Mean AXIAL stress  (MPa)]]), IF(Tabella2[[#This Row],[derived from (AXIAL/BENDING) load]]="AXIAL",Tabella2[[#This Row],[Mean AXIAL stress  (MPa)]]*Tabella2[[#This Row],[Area (mm^2)]],"Null"), "")</f>
        <v>3822.9255603370793</v>
      </c>
      <c r="AK124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3822.9255603370793</v>
      </c>
      <c r="AL124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4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4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4970.0977527494779</v>
      </c>
      <c r="AO124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4970.0977527494779</v>
      </c>
      <c r="AP124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1.0400616332819723</v>
      </c>
      <c r="AQ124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401.15687704438022</v>
      </c>
    </row>
    <row r="125" spans="1:43" ht="20.100000000000001" customHeight="1" x14ac:dyDescent="0.25">
      <c r="A125" s="49" t="s">
        <v>65</v>
      </c>
      <c r="B125" s="49">
        <v>2008</v>
      </c>
      <c r="C125" s="49" t="s">
        <v>67</v>
      </c>
      <c r="D125" s="49" t="s">
        <v>194</v>
      </c>
      <c r="E125" s="51">
        <v>62951</v>
      </c>
      <c r="F125" s="49" t="s">
        <v>20</v>
      </c>
      <c r="G125" s="49" t="s">
        <v>69</v>
      </c>
      <c r="H125" s="49" t="e" vm="27">
        <v>#VALUE!</v>
      </c>
      <c r="I125" s="49" t="s">
        <v>27</v>
      </c>
      <c r="J125" s="49" t="s">
        <v>71</v>
      </c>
      <c r="K125" s="49" t="s">
        <v>21</v>
      </c>
      <c r="L125" s="49" t="s">
        <v>21</v>
      </c>
      <c r="M125" s="49">
        <v>0</v>
      </c>
      <c r="N125" s="49">
        <v>5</v>
      </c>
      <c r="O125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25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25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25" s="49">
        <v>0</v>
      </c>
      <c r="S125" s="49">
        <v>0</v>
      </c>
      <c r="T125" s="49">
        <v>0</v>
      </c>
      <c r="U125" s="51" t="s">
        <v>21</v>
      </c>
      <c r="V125" s="51" t="s">
        <v>21</v>
      </c>
      <c r="W125" s="51" t="s">
        <v>21</v>
      </c>
      <c r="X125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5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25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25" s="53">
        <v>0</v>
      </c>
      <c r="AB125" s="53">
        <v>0</v>
      </c>
      <c r="AC125" s="54">
        <v>129.80000000000001</v>
      </c>
      <c r="AD125" s="54">
        <v>129.80000000000001</v>
      </c>
      <c r="AE125" s="52" t="s">
        <v>60</v>
      </c>
      <c r="AF125" s="53">
        <v>135</v>
      </c>
      <c r="AG125" s="53">
        <v>135</v>
      </c>
      <c r="AH125" s="53">
        <f>IF(ISNUMBER(Tabella2[[#This Row],[Mean RADIAL stress  (MPa)]]), Tabella2[[#This Row],[Mean RADIAL stress  (MPa)]],"")</f>
        <v>0</v>
      </c>
      <c r="AI125" s="53">
        <f>IF(ISNUMBER(Tabella2[[#This Row],[Amplitute RADIAL stress  (MPa)]]), Tabella2[[#This Row],[Amplitute RADIAL stress  (MPa)]],"")</f>
        <v>0</v>
      </c>
      <c r="AJ125" s="53">
        <f>IF(ISNUMBER(Tabella2[[#This Row],[Mean AXIAL stress  (MPa)]]), IF(Tabella2[[#This Row],[derived from (AXIAL/BENDING) load]]="AXIAL",Tabella2[[#This Row],[Mean AXIAL stress  (MPa)]]*Tabella2[[#This Row],[Area (mm^2)]],"Null"), "")</f>
        <v>2548.6170402247199</v>
      </c>
      <c r="AK125" s="53">
        <f>IF(ISNUMBER(Tabella2[[#This Row],[Amplitute AXIAL stress  (MPa)]]),    IF(Tabella2[[#This Row],[derived from (AXIAL/BENDING) load]]="AXIAL",Tabella2[[#This Row],[Amplitute AXIAL stress  (MPa)]]*Tabella2[[#This Row],[Area (mm^2)]],"Null"), "")</f>
        <v>2548.6170402247199</v>
      </c>
      <c r="AL125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5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5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3313.3985018329849</v>
      </c>
      <c r="AO125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3313.3985018329849</v>
      </c>
      <c r="AP125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1.0400616332819721</v>
      </c>
      <c r="AQ125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267.43791802958685</v>
      </c>
    </row>
    <row r="126" spans="1:43" ht="20.100000000000001" customHeight="1" x14ac:dyDescent="0.25">
      <c r="A126" s="49" t="s">
        <v>65</v>
      </c>
      <c r="B126" s="49">
        <v>2008</v>
      </c>
      <c r="C126" s="49" t="s">
        <v>67</v>
      </c>
      <c r="D126" s="49" t="s">
        <v>195</v>
      </c>
      <c r="E126" s="51">
        <v>685098</v>
      </c>
      <c r="F126" s="49" t="s">
        <v>20</v>
      </c>
      <c r="G126" s="49" t="s">
        <v>69</v>
      </c>
      <c r="H126" s="49" t="e" vm="27">
        <v>#VALUE!</v>
      </c>
      <c r="I126" s="49" t="s">
        <v>27</v>
      </c>
      <c r="J126" s="49" t="s">
        <v>71</v>
      </c>
      <c r="K126" s="49" t="s">
        <v>21</v>
      </c>
      <c r="L126" s="49" t="s">
        <v>21</v>
      </c>
      <c r="M126" s="49">
        <v>0</v>
      </c>
      <c r="N126" s="49">
        <v>5</v>
      </c>
      <c r="O126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26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26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26" s="49">
        <v>0</v>
      </c>
      <c r="S126" s="49">
        <v>0</v>
      </c>
      <c r="T126" s="49">
        <v>0</v>
      </c>
      <c r="U126" s="51" t="s">
        <v>21</v>
      </c>
      <c r="V126" s="51" t="s">
        <v>21</v>
      </c>
      <c r="W126" s="51" t="s">
        <v>21</v>
      </c>
      <c r="X126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6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26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26" s="53">
        <v>0</v>
      </c>
      <c r="AB126" s="53">
        <v>0</v>
      </c>
      <c r="AC126" s="54">
        <v>91.9</v>
      </c>
      <c r="AD126" s="54">
        <v>91.9</v>
      </c>
      <c r="AE126" s="52" t="s">
        <v>60</v>
      </c>
      <c r="AF126" s="53">
        <v>95.6</v>
      </c>
      <c r="AG126" s="53">
        <v>95.6</v>
      </c>
      <c r="AH126" s="53">
        <f>IF(ISNUMBER(Tabella2[[#This Row],[Mean RADIAL stress  (MPa)]]), Tabella2[[#This Row],[Mean RADIAL stress  (MPa)]],"")</f>
        <v>0</v>
      </c>
      <c r="AI126" s="53">
        <f>IF(ISNUMBER(Tabella2[[#This Row],[Amplitute RADIAL stress  (MPa)]]), Tabella2[[#This Row],[Amplitute RADIAL stress  (MPa)]],"")</f>
        <v>0</v>
      </c>
      <c r="AJ126" s="53">
        <f>IF(ISNUMBER(Tabella2[[#This Row],[Mean AXIAL stress  (MPa)]]), IF(Tabella2[[#This Row],[derived from (AXIAL/BENDING) load]]="AXIAL",Tabella2[[#This Row],[Mean AXIAL stress  (MPa)]]*Tabella2[[#This Row],[Area (mm^2)]],"Null"), "")</f>
        <v>1804.4522804056376</v>
      </c>
      <c r="AK126" s="53">
        <f>IF(ISNUMBER(Tabella2[[#This Row],[Amplitute AXIAL stress  (MPa)]]),    IF(Tabella2[[#This Row],[derived from (AXIAL/BENDING) load]]="AXIAL",Tabella2[[#This Row],[Amplitute AXIAL stress  (MPa)]]*Tabella2[[#This Row],[Area (mm^2)]],"Null"), "")</f>
        <v>1804.4522804056376</v>
      </c>
      <c r="AL126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6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6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2346.3770131498768</v>
      </c>
      <c r="AO126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2346.3770131498768</v>
      </c>
      <c r="AP126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1.0402611534276387</v>
      </c>
      <c r="AQ126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189.37711054929525</v>
      </c>
    </row>
    <row r="127" spans="1:43" ht="20.100000000000001" customHeight="1" x14ac:dyDescent="0.25">
      <c r="A127" s="49" t="s">
        <v>65</v>
      </c>
      <c r="B127" s="49">
        <v>2008</v>
      </c>
      <c r="C127" s="49" t="s">
        <v>67</v>
      </c>
      <c r="D127" s="49" t="s">
        <v>196</v>
      </c>
      <c r="E127" s="51">
        <v>45580</v>
      </c>
      <c r="F127" s="49" t="s">
        <v>20</v>
      </c>
      <c r="G127" s="49" t="s">
        <v>69</v>
      </c>
      <c r="H127" s="49" t="e" vm="27">
        <v>#VALUE!</v>
      </c>
      <c r="I127" s="49" t="s">
        <v>27</v>
      </c>
      <c r="J127" s="49" t="s">
        <v>71</v>
      </c>
      <c r="K127" s="49" t="s">
        <v>21</v>
      </c>
      <c r="L127" s="49" t="s">
        <v>21</v>
      </c>
      <c r="M127" s="49">
        <v>0</v>
      </c>
      <c r="N127" s="49">
        <v>5</v>
      </c>
      <c r="O127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27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27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27" s="49">
        <v>0</v>
      </c>
      <c r="S127" s="49">
        <v>0</v>
      </c>
      <c r="T127" s="49">
        <v>0</v>
      </c>
      <c r="U127" s="51" t="s">
        <v>21</v>
      </c>
      <c r="V127" s="51" t="s">
        <v>21</v>
      </c>
      <c r="W127" s="51" t="s">
        <v>21</v>
      </c>
      <c r="X127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7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27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27" s="53">
        <v>0</v>
      </c>
      <c r="AB127" s="53">
        <v>0</v>
      </c>
      <c r="AC127" s="54">
        <v>146</v>
      </c>
      <c r="AD127" s="54">
        <v>146</v>
      </c>
      <c r="AE127" s="52" t="s">
        <v>60</v>
      </c>
      <c r="AF127" s="53">
        <v>151.9</v>
      </c>
      <c r="AG127" s="53">
        <v>151.9</v>
      </c>
      <c r="AH127" s="53">
        <f>IF(ISNUMBER(Tabella2[[#This Row],[Mean RADIAL stress  (MPa)]]), Tabella2[[#This Row],[Mean RADIAL stress  (MPa)]],"")</f>
        <v>0</v>
      </c>
      <c r="AI127" s="53">
        <f>IF(ISNUMBER(Tabella2[[#This Row],[Amplitute RADIAL stress  (MPa)]]), Tabella2[[#This Row],[Amplitute RADIAL stress  (MPa)]],"")</f>
        <v>0</v>
      </c>
      <c r="AJ127" s="53">
        <f>IF(ISNUMBER(Tabella2[[#This Row],[Mean AXIAL stress  (MPa)]]), IF(Tabella2[[#This Row],[derived from (AXIAL/BENDING) load]]="AXIAL",Tabella2[[#This Row],[Mean AXIAL stress  (MPa)]]*Tabella2[[#This Row],[Area (mm^2)]],"Null"), "")</f>
        <v>2866.7032964006862</v>
      </c>
      <c r="AK127" s="53">
        <f>IF(ISNUMBER(Tabella2[[#This Row],[Amplitute AXIAL stress  (MPa)]]),    IF(Tabella2[[#This Row],[derived from (AXIAL/BENDING) load]]="AXIAL",Tabella2[[#This Row],[Amplitute AXIAL stress  (MPa)]]*Tabella2[[#This Row],[Area (mm^2)]],"Null"), "")</f>
        <v>2866.7032964006862</v>
      </c>
      <c r="AL127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7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7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3728.1869068772626</v>
      </c>
      <c r="AO127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3728.1869068772626</v>
      </c>
      <c r="AP127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1.0404109589041097</v>
      </c>
      <c r="AQ127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300.8933864344645</v>
      </c>
    </row>
    <row r="128" spans="1:43" ht="20.100000000000001" customHeight="1" x14ac:dyDescent="0.25">
      <c r="A128" s="49" t="s">
        <v>65</v>
      </c>
      <c r="B128" s="49">
        <v>2008</v>
      </c>
      <c r="C128" s="49" t="s">
        <v>67</v>
      </c>
      <c r="D128" s="49" t="s">
        <v>197</v>
      </c>
      <c r="E128" s="51">
        <v>1397923</v>
      </c>
      <c r="F128" s="49" t="s">
        <v>20</v>
      </c>
      <c r="G128" s="49" t="s">
        <v>69</v>
      </c>
      <c r="H128" s="49" t="e" vm="27">
        <v>#VALUE!</v>
      </c>
      <c r="I128" s="49" t="s">
        <v>27</v>
      </c>
      <c r="J128" s="49" t="s">
        <v>71</v>
      </c>
      <c r="K128" s="49" t="s">
        <v>21</v>
      </c>
      <c r="L128" s="49" t="s">
        <v>21</v>
      </c>
      <c r="M128" s="49">
        <v>0</v>
      </c>
      <c r="N128" s="49">
        <v>5</v>
      </c>
      <c r="O128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28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28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28" s="49">
        <v>0</v>
      </c>
      <c r="S128" s="49">
        <v>0</v>
      </c>
      <c r="T128" s="49">
        <v>0</v>
      </c>
      <c r="U128" s="51" t="s">
        <v>21</v>
      </c>
      <c r="V128" s="51" t="s">
        <v>21</v>
      </c>
      <c r="W128" s="51" t="s">
        <v>21</v>
      </c>
      <c r="X128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8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28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28" s="53">
        <v>0</v>
      </c>
      <c r="AB128" s="53">
        <v>0</v>
      </c>
      <c r="AC128" s="54">
        <v>108.2</v>
      </c>
      <c r="AD128" s="54">
        <v>108.2</v>
      </c>
      <c r="AE128" s="52" t="s">
        <v>60</v>
      </c>
      <c r="AF128" s="53">
        <v>112.5</v>
      </c>
      <c r="AG128" s="53">
        <v>112.5</v>
      </c>
      <c r="AH128" s="53">
        <f>IF(ISNUMBER(Tabella2[[#This Row],[Mean RADIAL stress  (MPa)]]), Tabella2[[#This Row],[Mean RADIAL stress  (MPa)]],"")</f>
        <v>0</v>
      </c>
      <c r="AI128" s="53">
        <f>IF(ISNUMBER(Tabella2[[#This Row],[Amplitute RADIAL stress  (MPa)]]), Tabella2[[#This Row],[Amplitute RADIAL stress  (MPa)]],"")</f>
        <v>0</v>
      </c>
      <c r="AJ128" s="53">
        <f>IF(ISNUMBER(Tabella2[[#This Row],[Mean AXIAL stress  (MPa)]]), IF(Tabella2[[#This Row],[derived from (AXIAL/BENDING) load]]="AXIAL",Tabella2[[#This Row],[Mean AXIAL stress  (MPa)]]*Tabella2[[#This Row],[Area (mm^2)]],"Null"), "")</f>
        <v>2124.5020319900977</v>
      </c>
      <c r="AK128" s="53">
        <f>IF(ISNUMBER(Tabella2[[#This Row],[Amplitute AXIAL stress  (MPa)]]),    IF(Tabella2[[#This Row],[derived from (AXIAL/BENDING) load]]="AXIAL",Tabella2[[#This Row],[Amplitute AXIAL stress  (MPa)]]*Tabella2[[#This Row],[Area (mm^2)]],"Null"), "")</f>
        <v>2124.5020319900977</v>
      </c>
      <c r="AL128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8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8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2761.1654181941544</v>
      </c>
      <c r="AO128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2761.1654181941544</v>
      </c>
      <c r="AP128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1.0397412199630314</v>
      </c>
      <c r="AQ128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222.88111180627217</v>
      </c>
    </row>
    <row r="129" spans="1:43" ht="20.100000000000001" customHeight="1" x14ac:dyDescent="0.25">
      <c r="A129" s="49" t="s">
        <v>65</v>
      </c>
      <c r="B129" s="49">
        <v>2008</v>
      </c>
      <c r="C129" s="49" t="s">
        <v>67</v>
      </c>
      <c r="D129" s="49" t="s">
        <v>198</v>
      </c>
      <c r="E129" s="51">
        <v>203792</v>
      </c>
      <c r="F129" s="49" t="s">
        <v>20</v>
      </c>
      <c r="G129" s="49" t="s">
        <v>69</v>
      </c>
      <c r="H129" s="49" t="e" vm="27">
        <v>#VALUE!</v>
      </c>
      <c r="I129" s="49" t="s">
        <v>27</v>
      </c>
      <c r="J129" s="49" t="s">
        <v>71</v>
      </c>
      <c r="K129" s="49" t="s">
        <v>21</v>
      </c>
      <c r="L129" s="49" t="s">
        <v>21</v>
      </c>
      <c r="M129" s="49">
        <v>0</v>
      </c>
      <c r="N129" s="49">
        <v>5</v>
      </c>
      <c r="O129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29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29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29" s="49">
        <v>0</v>
      </c>
      <c r="S129" s="49">
        <v>0</v>
      </c>
      <c r="T129" s="49">
        <v>0</v>
      </c>
      <c r="U129" s="51" t="s">
        <v>21</v>
      </c>
      <c r="V129" s="51" t="s">
        <v>21</v>
      </c>
      <c r="W129" s="51" t="s">
        <v>21</v>
      </c>
      <c r="X129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9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29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29" s="53">
        <v>0</v>
      </c>
      <c r="AB129" s="53">
        <v>0</v>
      </c>
      <c r="AC129" s="54">
        <v>119</v>
      </c>
      <c r="AD129" s="54">
        <v>119</v>
      </c>
      <c r="AE129" s="52" t="s">
        <v>60</v>
      </c>
      <c r="AF129" s="53">
        <v>123.7</v>
      </c>
      <c r="AG129" s="53">
        <v>123.7</v>
      </c>
      <c r="AH129" s="53">
        <f>IF(ISNUMBER(Tabella2[[#This Row],[Mean RADIAL stress  (MPa)]]), Tabella2[[#This Row],[Mean RADIAL stress  (MPa)]],"")</f>
        <v>0</v>
      </c>
      <c r="AI129" s="53">
        <f>IF(ISNUMBER(Tabella2[[#This Row],[Amplitute RADIAL stress  (MPa)]]), Tabella2[[#This Row],[Amplitute RADIAL stress  (MPa)]],"")</f>
        <v>0</v>
      </c>
      <c r="AJ129" s="53">
        <f>IF(ISNUMBER(Tabella2[[#This Row],[Mean AXIAL stress  (MPa)]]), IF(Tabella2[[#This Row],[derived from (AXIAL/BENDING) load]]="AXIAL",Tabella2[[#This Row],[Mean AXIAL stress  (MPa)]]*Tabella2[[#This Row],[Area (mm^2)]],"Null"), "")</f>
        <v>2336.5595361074088</v>
      </c>
      <c r="AK129" s="53">
        <f>IF(ISNUMBER(Tabella2[[#This Row],[Amplitute AXIAL stress  (MPa)]]),    IF(Tabella2[[#This Row],[derived from (AXIAL/BENDING) load]]="AXIAL",Tabella2[[#This Row],[Amplitute AXIAL stress  (MPa)]]*Tabella2[[#This Row],[Area (mm^2)]],"Null"), "")</f>
        <v>2336.5595361074088</v>
      </c>
      <c r="AL129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9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9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3036.0547753832611</v>
      </c>
      <c r="AO129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3036.0547753832611</v>
      </c>
      <c r="AP129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1.0394957983193278</v>
      </c>
      <c r="AQ129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245.08380199433824</v>
      </c>
    </row>
    <row r="130" spans="1:43" ht="20.100000000000001" customHeight="1" x14ac:dyDescent="0.25">
      <c r="A130" s="49" t="s">
        <v>65</v>
      </c>
      <c r="B130" s="49">
        <v>2008</v>
      </c>
      <c r="C130" s="49" t="s">
        <v>67</v>
      </c>
      <c r="D130" s="49" t="s">
        <v>199</v>
      </c>
      <c r="E130" s="51">
        <v>59130</v>
      </c>
      <c r="F130" s="49" t="s">
        <v>20</v>
      </c>
      <c r="G130" s="49" t="s">
        <v>69</v>
      </c>
      <c r="H130" s="49" t="e" vm="27">
        <v>#VALUE!</v>
      </c>
      <c r="I130" s="49" t="s">
        <v>27</v>
      </c>
      <c r="J130" s="49" t="s">
        <v>71</v>
      </c>
      <c r="K130" s="49" t="s">
        <v>21</v>
      </c>
      <c r="L130" s="49" t="s">
        <v>21</v>
      </c>
      <c r="M130" s="49">
        <v>0</v>
      </c>
      <c r="N130" s="49">
        <v>5</v>
      </c>
      <c r="O130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30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30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30" s="49">
        <v>0</v>
      </c>
      <c r="S130" s="49">
        <v>0</v>
      </c>
      <c r="T130" s="49">
        <v>0</v>
      </c>
      <c r="U130" s="51" t="s">
        <v>21</v>
      </c>
      <c r="V130" s="51" t="s">
        <v>21</v>
      </c>
      <c r="W130" s="51" t="s">
        <v>21</v>
      </c>
      <c r="X130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0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30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30" s="53">
        <v>0</v>
      </c>
      <c r="AB130" s="53">
        <v>0</v>
      </c>
      <c r="AC130" s="54">
        <v>135.19999999999999</v>
      </c>
      <c r="AD130" s="54">
        <v>135.19999999999999</v>
      </c>
      <c r="AE130" s="52" t="s">
        <v>60</v>
      </c>
      <c r="AF130" s="53">
        <v>140.6</v>
      </c>
      <c r="AG130" s="53">
        <v>140.6</v>
      </c>
      <c r="AH130" s="53">
        <f>IF(ISNUMBER(Tabella2[[#This Row],[Mean RADIAL stress  (MPa)]]), Tabella2[[#This Row],[Mean RADIAL stress  (MPa)]],"")</f>
        <v>0</v>
      </c>
      <c r="AI130" s="53">
        <f>IF(ISNUMBER(Tabella2[[#This Row],[Amplitute RADIAL stress  (MPa)]]), Tabella2[[#This Row],[Amplitute RADIAL stress  (MPa)]],"")</f>
        <v>0</v>
      </c>
      <c r="AJ130" s="53">
        <f>IF(ISNUMBER(Tabella2[[#This Row],[Mean AXIAL stress  (MPa)]]), IF(Tabella2[[#This Row],[derived from (AXIAL/BENDING) load]]="AXIAL",Tabella2[[#This Row],[Mean AXIAL stress  (MPa)]]*Tabella2[[#This Row],[Area (mm^2)]],"Null"), "")</f>
        <v>2654.6457922833752</v>
      </c>
      <c r="AK130" s="53">
        <f>IF(ISNUMBER(Tabella2[[#This Row],[Amplitute AXIAL stress  (MPa)]]),    IF(Tabella2[[#This Row],[derived from (AXIAL/BENDING) load]]="AXIAL",Tabella2[[#This Row],[Amplitute AXIAL stress  (MPa)]]*Tabella2[[#This Row],[Area (mm^2)]],"Null"), "")</f>
        <v>2654.6457922833752</v>
      </c>
      <c r="AL130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0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0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3450.8431804275378</v>
      </c>
      <c r="AO130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3450.8431804275378</v>
      </c>
      <c r="AP130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1.039940828402367</v>
      </c>
      <c r="AQ130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278.53926114643156</v>
      </c>
    </row>
    <row r="131" spans="1:43" ht="20.100000000000001" customHeight="1" x14ac:dyDescent="0.25">
      <c r="A131" s="49" t="s">
        <v>65</v>
      </c>
      <c r="B131" s="49">
        <v>2008</v>
      </c>
      <c r="C131" s="49" t="s">
        <v>67</v>
      </c>
      <c r="D131" s="49" t="s">
        <v>200</v>
      </c>
      <c r="E131" s="51">
        <v>82952</v>
      </c>
      <c r="F131" s="49" t="s">
        <v>20</v>
      </c>
      <c r="G131" s="49" t="s">
        <v>69</v>
      </c>
      <c r="H131" s="49" t="e" vm="28">
        <v>#VALUE!</v>
      </c>
      <c r="I131" s="49" t="s">
        <v>27</v>
      </c>
      <c r="J131" s="49" t="s">
        <v>71</v>
      </c>
      <c r="K131" s="49" t="s">
        <v>21</v>
      </c>
      <c r="L131" s="49" t="s">
        <v>21</v>
      </c>
      <c r="M131" s="49">
        <v>0</v>
      </c>
      <c r="N131" s="49">
        <v>5</v>
      </c>
      <c r="O131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31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31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31" s="49">
        <v>0</v>
      </c>
      <c r="S131" s="49">
        <v>0</v>
      </c>
      <c r="T131" s="49">
        <v>0</v>
      </c>
      <c r="U131" s="51" t="s">
        <v>21</v>
      </c>
      <c r="V131" s="51" t="s">
        <v>21</v>
      </c>
      <c r="W131" s="51" t="s">
        <v>21</v>
      </c>
      <c r="X131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1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31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31" s="53">
        <v>0</v>
      </c>
      <c r="AB131" s="53">
        <v>0</v>
      </c>
      <c r="AC131" s="54">
        <v>0</v>
      </c>
      <c r="AD131" s="54">
        <v>259.60000000000002</v>
      </c>
      <c r="AE131" s="52" t="s">
        <v>60</v>
      </c>
      <c r="AF131" s="53">
        <v>0</v>
      </c>
      <c r="AG131" s="53">
        <v>155.9</v>
      </c>
      <c r="AH131" s="53">
        <f>IF(ISNUMBER(Tabella2[[#This Row],[Mean RADIAL stress  (MPa)]]), Tabella2[[#This Row],[Mean RADIAL stress  (MPa)]],"")</f>
        <v>0</v>
      </c>
      <c r="AI131" s="53">
        <f>IF(ISNUMBER(Tabella2[[#This Row],[Amplitute RADIAL stress  (MPa)]]), Tabella2[[#This Row],[Amplitute RADIAL stress  (MPa)]],"")</f>
        <v>0</v>
      </c>
      <c r="AJ131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31" s="53">
        <f>IF(ISNUMBER(Tabella2[[#This Row],[Amplitute AXIAL stress  (MPa)]]),    IF(Tabella2[[#This Row],[derived from (AXIAL/BENDING) load]]="AXIAL",Tabella2[[#This Row],[Amplitute AXIAL stress  (MPa)]]*Tabella2[[#This Row],[Area (mm^2)]],"Null"), "")</f>
        <v>5097.2340804494397</v>
      </c>
      <c r="AL131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1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1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31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3826.3616773019435</v>
      </c>
      <c r="AP131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0.60053929121725724</v>
      </c>
      <c r="AQ131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374.57521274104619</v>
      </c>
    </row>
    <row r="132" spans="1:43" ht="20.100000000000001" customHeight="1" x14ac:dyDescent="0.25">
      <c r="A132" s="49" t="s">
        <v>65</v>
      </c>
      <c r="B132" s="49">
        <v>2008</v>
      </c>
      <c r="C132" s="49" t="s">
        <v>67</v>
      </c>
      <c r="D132" s="49" t="s">
        <v>201</v>
      </c>
      <c r="E132" s="51">
        <v>437907</v>
      </c>
      <c r="F132" s="49" t="s">
        <v>20</v>
      </c>
      <c r="G132" s="49" t="s">
        <v>69</v>
      </c>
      <c r="H132" s="49" t="e" vm="29">
        <v>#VALUE!</v>
      </c>
      <c r="I132" s="49" t="s">
        <v>27</v>
      </c>
      <c r="J132" s="49" t="s">
        <v>71</v>
      </c>
      <c r="K132" s="49" t="s">
        <v>21</v>
      </c>
      <c r="L132" s="49" t="s">
        <v>21</v>
      </c>
      <c r="M132" s="49">
        <v>0</v>
      </c>
      <c r="N132" s="49">
        <v>5</v>
      </c>
      <c r="O132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32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32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32" s="49">
        <v>0</v>
      </c>
      <c r="S132" s="49">
        <v>0</v>
      </c>
      <c r="T132" s="49">
        <v>0</v>
      </c>
      <c r="U132" s="51" t="s">
        <v>21</v>
      </c>
      <c r="V132" s="51" t="s">
        <v>21</v>
      </c>
      <c r="W132" s="51" t="s">
        <v>21</v>
      </c>
      <c r="X132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2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32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32" s="53">
        <v>0</v>
      </c>
      <c r="AB132" s="53">
        <v>0</v>
      </c>
      <c r="AC132" s="54">
        <v>0</v>
      </c>
      <c r="AD132" s="54">
        <v>200</v>
      </c>
      <c r="AE132" s="52" t="s">
        <v>60</v>
      </c>
      <c r="AF132" s="53">
        <v>0</v>
      </c>
      <c r="AG132" s="53">
        <v>115.5</v>
      </c>
      <c r="AH132" s="53">
        <f>IF(ISNUMBER(Tabella2[[#This Row],[Mean RADIAL stress  (MPa)]]), Tabella2[[#This Row],[Mean RADIAL stress  (MPa)]],"")</f>
        <v>0</v>
      </c>
      <c r="AI132" s="53">
        <f>IF(ISNUMBER(Tabella2[[#This Row],[Amplitute RADIAL stress  (MPa)]]), Tabella2[[#This Row],[Amplitute RADIAL stress  (MPa)]],"")</f>
        <v>0</v>
      </c>
      <c r="AJ132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32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3926.9908169872415</v>
      </c>
      <c r="AL132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2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2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32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2834.7964960126651</v>
      </c>
      <c r="AP132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0.57750000000000001</v>
      </c>
      <c r="AQ132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282.87939126065726</v>
      </c>
    </row>
    <row r="133" spans="1:43" ht="20.100000000000001" customHeight="1" x14ac:dyDescent="0.25">
      <c r="A133" s="49" t="s">
        <v>65</v>
      </c>
      <c r="B133" s="49">
        <v>2008</v>
      </c>
      <c r="C133" s="49" t="s">
        <v>67</v>
      </c>
      <c r="D133" s="49" t="s">
        <v>202</v>
      </c>
      <c r="E133" s="51">
        <v>2174897</v>
      </c>
      <c r="F133" s="49" t="s">
        <v>20</v>
      </c>
      <c r="G133" s="49" t="s">
        <v>69</v>
      </c>
      <c r="H133" s="49" t="e" vm="29">
        <v>#VALUE!</v>
      </c>
      <c r="I133" s="49" t="s">
        <v>27</v>
      </c>
      <c r="J133" s="49" t="s">
        <v>71</v>
      </c>
      <c r="K133" s="49" t="s">
        <v>21</v>
      </c>
      <c r="L133" s="49" t="s">
        <v>21</v>
      </c>
      <c r="M133" s="49">
        <v>0</v>
      </c>
      <c r="N133" s="49">
        <v>5</v>
      </c>
      <c r="O133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33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33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33" s="49">
        <v>0</v>
      </c>
      <c r="S133" s="49">
        <v>0</v>
      </c>
      <c r="T133" s="49">
        <v>0</v>
      </c>
      <c r="U133" s="51" t="s">
        <v>21</v>
      </c>
      <c r="V133" s="51" t="s">
        <v>21</v>
      </c>
      <c r="W133" s="51" t="s">
        <v>21</v>
      </c>
      <c r="X133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3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33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33" s="53">
        <v>0</v>
      </c>
      <c r="AB133" s="53">
        <v>0</v>
      </c>
      <c r="AC133" s="54">
        <v>0</v>
      </c>
      <c r="AD133" s="54">
        <v>180</v>
      </c>
      <c r="AE133" s="52" t="s">
        <v>60</v>
      </c>
      <c r="AF133" s="53">
        <v>0</v>
      </c>
      <c r="AG133" s="53">
        <v>103.9</v>
      </c>
      <c r="AH133" s="53">
        <f>IF(ISNUMBER(Tabella2[[#This Row],[Mean RADIAL stress  (MPa)]]), Tabella2[[#This Row],[Mean RADIAL stress  (MPa)]],"")</f>
        <v>0</v>
      </c>
      <c r="AI133" s="53">
        <f>IF(ISNUMBER(Tabella2[[#This Row],[Amplitute RADIAL stress  (MPa)]]), Tabella2[[#This Row],[Amplitute RADIAL stress  (MPa)]],"")</f>
        <v>0</v>
      </c>
      <c r="AJ133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33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3534.2917352885174</v>
      </c>
      <c r="AL133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3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3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33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2550.0896617810899</v>
      </c>
      <c r="AP133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0.5772222222222223</v>
      </c>
      <c r="AQ133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254.5302143164933</v>
      </c>
    </row>
    <row r="134" spans="1:43" ht="20.100000000000001" customHeight="1" x14ac:dyDescent="0.25">
      <c r="A134" s="49" t="s">
        <v>65</v>
      </c>
      <c r="B134" s="49">
        <v>2008</v>
      </c>
      <c r="C134" s="49" t="s">
        <v>67</v>
      </c>
      <c r="D134" s="49" t="s">
        <v>203</v>
      </c>
      <c r="E134" s="51">
        <v>46254</v>
      </c>
      <c r="F134" s="49" t="s">
        <v>20</v>
      </c>
      <c r="G134" s="49" t="s">
        <v>69</v>
      </c>
      <c r="H134" s="49" t="e" vm="29">
        <v>#VALUE!</v>
      </c>
      <c r="I134" s="49" t="s">
        <v>27</v>
      </c>
      <c r="J134" s="49" t="s">
        <v>71</v>
      </c>
      <c r="K134" s="49" t="s">
        <v>21</v>
      </c>
      <c r="L134" s="49" t="s">
        <v>21</v>
      </c>
      <c r="M134" s="49">
        <v>0</v>
      </c>
      <c r="N134" s="49">
        <v>5</v>
      </c>
      <c r="O134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34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34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34" s="49">
        <v>0</v>
      </c>
      <c r="S134" s="49">
        <v>0</v>
      </c>
      <c r="T134" s="49">
        <v>0</v>
      </c>
      <c r="U134" s="51" t="s">
        <v>21</v>
      </c>
      <c r="V134" s="51" t="s">
        <v>21</v>
      </c>
      <c r="W134" s="51" t="s">
        <v>21</v>
      </c>
      <c r="X134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4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34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34" s="53">
        <v>0</v>
      </c>
      <c r="AB134" s="53">
        <v>0</v>
      </c>
      <c r="AC134" s="54">
        <v>0</v>
      </c>
      <c r="AD134" s="54">
        <v>275</v>
      </c>
      <c r="AE134" s="52" t="s">
        <v>60</v>
      </c>
      <c r="AF134" s="53">
        <v>0</v>
      </c>
      <c r="AG134" s="53">
        <v>158.80000000000001</v>
      </c>
      <c r="AH134" s="53">
        <f>IF(ISNUMBER(Tabella2[[#This Row],[Mean RADIAL stress  (MPa)]]), Tabella2[[#This Row],[Mean RADIAL stress  (MPa)]],"")</f>
        <v>0</v>
      </c>
      <c r="AI134" s="53">
        <f>IF(ISNUMBER(Tabella2[[#This Row],[Amplitute RADIAL stress  (MPa)]]), Tabella2[[#This Row],[Amplitute RADIAL stress  (MPa)]],"")</f>
        <v>0</v>
      </c>
      <c r="AJ134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34" s="53">
        <f>IF(ISNUMBER(Tabella2[[#This Row],[Amplitute AXIAL stress  (MPa)]]),    IF(Tabella2[[#This Row],[derived from (AXIAL/BENDING) load]]="AXIAL",Tabella2[[#This Row],[Amplitute AXIAL stress  (MPa)]]*Tabella2[[#This Row],[Area (mm^2)]],"Null"), "")</f>
        <v>5399.6123733574568</v>
      </c>
      <c r="AL134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4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4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34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3897.5383858598375</v>
      </c>
      <c r="AP134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0.57745454545454544</v>
      </c>
      <c r="AQ134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388.94385198894713</v>
      </c>
    </row>
    <row r="135" spans="1:43" ht="20.100000000000001" customHeight="1" x14ac:dyDescent="0.25">
      <c r="A135" s="49" t="s">
        <v>65</v>
      </c>
      <c r="B135" s="49">
        <v>2008</v>
      </c>
      <c r="C135" s="49" t="s">
        <v>67</v>
      </c>
      <c r="D135" s="49" t="s">
        <v>204</v>
      </c>
      <c r="E135" s="51">
        <v>188480</v>
      </c>
      <c r="F135" s="49" t="s">
        <v>20</v>
      </c>
      <c r="G135" s="49" t="s">
        <v>69</v>
      </c>
      <c r="H135" s="49" t="e" vm="29">
        <v>#VALUE!</v>
      </c>
      <c r="I135" s="49" t="s">
        <v>27</v>
      </c>
      <c r="J135" s="49" t="s">
        <v>71</v>
      </c>
      <c r="K135" s="49" t="s">
        <v>21</v>
      </c>
      <c r="L135" s="49" t="s">
        <v>21</v>
      </c>
      <c r="M135" s="49">
        <v>0</v>
      </c>
      <c r="N135" s="49">
        <v>5</v>
      </c>
      <c r="O135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35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35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35" s="49">
        <v>0</v>
      </c>
      <c r="S135" s="49">
        <v>0</v>
      </c>
      <c r="T135" s="49">
        <v>0</v>
      </c>
      <c r="U135" s="51" t="s">
        <v>21</v>
      </c>
      <c r="V135" s="51" t="s">
        <v>21</v>
      </c>
      <c r="W135" s="51" t="s">
        <v>21</v>
      </c>
      <c r="X135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5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35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35" s="53">
        <v>0</v>
      </c>
      <c r="AB135" s="53">
        <v>0</v>
      </c>
      <c r="AC135" s="54">
        <v>0</v>
      </c>
      <c r="AD135" s="54">
        <v>230</v>
      </c>
      <c r="AE135" s="52" t="s">
        <v>60</v>
      </c>
      <c r="AF135" s="53">
        <v>0</v>
      </c>
      <c r="AG135" s="53">
        <v>132.80000000000001</v>
      </c>
      <c r="AH135" s="53">
        <f>IF(ISNUMBER(Tabella2[[#This Row],[Mean RADIAL stress  (MPa)]]), Tabella2[[#This Row],[Mean RADIAL stress  (MPa)]],"")</f>
        <v>0</v>
      </c>
      <c r="AI135" s="53">
        <f>IF(ISNUMBER(Tabella2[[#This Row],[Amplitute RADIAL stress  (MPa)]]), Tabella2[[#This Row],[Amplitute RADIAL stress  (MPa)]],"")</f>
        <v>0</v>
      </c>
      <c r="AJ135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35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4516.0394395353278</v>
      </c>
      <c r="AL135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5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5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35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3259.4023780994107</v>
      </c>
      <c r="AP135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0.57739130434782615</v>
      </c>
      <c r="AQ135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325.28067879909503</v>
      </c>
    </row>
    <row r="136" spans="1:43" ht="20.100000000000001" customHeight="1" x14ac:dyDescent="0.25">
      <c r="A136" s="49" t="s">
        <v>65</v>
      </c>
      <c r="B136" s="49">
        <v>2008</v>
      </c>
      <c r="C136" s="49" t="s">
        <v>67</v>
      </c>
      <c r="D136" s="49" t="s">
        <v>205</v>
      </c>
      <c r="E136" s="51">
        <v>1400006</v>
      </c>
      <c r="F136" s="49" t="s">
        <v>20</v>
      </c>
      <c r="G136" s="49" t="s">
        <v>69</v>
      </c>
      <c r="H136" s="49" t="e" vm="29">
        <v>#VALUE!</v>
      </c>
      <c r="I136" s="49" t="s">
        <v>27</v>
      </c>
      <c r="J136" s="49" t="s">
        <v>71</v>
      </c>
      <c r="K136" s="49" t="s">
        <v>21</v>
      </c>
      <c r="L136" s="49" t="s">
        <v>21</v>
      </c>
      <c r="M136" s="49">
        <v>0</v>
      </c>
      <c r="N136" s="49">
        <v>5</v>
      </c>
      <c r="O136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36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36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36" s="49">
        <v>0</v>
      </c>
      <c r="S136" s="49">
        <v>0</v>
      </c>
      <c r="T136" s="49">
        <v>0</v>
      </c>
      <c r="U136" s="51" t="s">
        <v>21</v>
      </c>
      <c r="V136" s="51" t="s">
        <v>21</v>
      </c>
      <c r="W136" s="51" t="s">
        <v>21</v>
      </c>
      <c r="X136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6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36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36" s="53">
        <v>0</v>
      </c>
      <c r="AB136" s="53">
        <v>0</v>
      </c>
      <c r="AC136" s="54">
        <v>0</v>
      </c>
      <c r="AD136" s="54">
        <v>190</v>
      </c>
      <c r="AE136" s="52" t="s">
        <v>60</v>
      </c>
      <c r="AF136" s="53">
        <v>0</v>
      </c>
      <c r="AG136" s="53">
        <v>109.7</v>
      </c>
      <c r="AH136" s="53">
        <f>IF(ISNUMBER(Tabella2[[#This Row],[Mean RADIAL stress  (MPa)]]), Tabella2[[#This Row],[Mean RADIAL stress  (MPa)]],"")</f>
        <v>0</v>
      </c>
      <c r="AI136" s="53">
        <f>IF(ISNUMBER(Tabella2[[#This Row],[Amplitute RADIAL stress  (MPa)]]), Tabella2[[#This Row],[Amplitute RADIAL stress  (MPa)]],"")</f>
        <v>0</v>
      </c>
      <c r="AJ136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36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3730.6412761378797</v>
      </c>
      <c r="AL136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6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6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36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2692.4430788968775</v>
      </c>
      <c r="AP136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0.57736842105263164</v>
      </c>
      <c r="AQ136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268.70480085030118</v>
      </c>
    </row>
    <row r="137" spans="1:43" ht="20.100000000000001" customHeight="1" x14ac:dyDescent="0.25">
      <c r="A137" s="49" t="s">
        <v>65</v>
      </c>
      <c r="B137" s="49">
        <v>2008</v>
      </c>
      <c r="C137" s="49" t="s">
        <v>67</v>
      </c>
      <c r="D137" s="49" t="s">
        <v>206</v>
      </c>
      <c r="E137" s="49">
        <v>844615</v>
      </c>
      <c r="F137" s="49" t="s">
        <v>20</v>
      </c>
      <c r="G137" s="49" t="s">
        <v>69</v>
      </c>
      <c r="H137" s="49" t="e" vm="29">
        <v>#VALUE!</v>
      </c>
      <c r="I137" s="49" t="s">
        <v>27</v>
      </c>
      <c r="J137" s="49" t="s">
        <v>71</v>
      </c>
      <c r="K137" s="49" t="s">
        <v>21</v>
      </c>
      <c r="L137" s="49" t="s">
        <v>21</v>
      </c>
      <c r="M137" s="49">
        <v>0</v>
      </c>
      <c r="N137" s="49">
        <v>5</v>
      </c>
      <c r="O137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37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37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37" s="49">
        <v>0</v>
      </c>
      <c r="S137" s="49">
        <v>0</v>
      </c>
      <c r="T137" s="49">
        <v>0</v>
      </c>
      <c r="U137" s="51" t="s">
        <v>21</v>
      </c>
      <c r="V137" s="51" t="s">
        <v>21</v>
      </c>
      <c r="W137" s="51" t="s">
        <v>21</v>
      </c>
      <c r="X137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7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37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37" s="53">
        <v>0</v>
      </c>
      <c r="AB137" s="53">
        <v>0</v>
      </c>
      <c r="AC137" s="54">
        <v>150</v>
      </c>
      <c r="AD137" s="54">
        <v>150</v>
      </c>
      <c r="AE137" s="52" t="s">
        <v>60</v>
      </c>
      <c r="AF137" s="53">
        <v>150</v>
      </c>
      <c r="AG137" s="53">
        <v>150</v>
      </c>
      <c r="AH137" s="53">
        <f>IF(ISNUMBER(Tabella2[[#This Row],[Mean RADIAL stress  (MPa)]]), Tabella2[[#This Row],[Mean RADIAL stress  (MPa)]],"")</f>
        <v>0</v>
      </c>
      <c r="AI137" s="53">
        <f>IF(ISNUMBER(Tabella2[[#This Row],[Amplitute RADIAL stress  (MPa)]]), Tabella2[[#This Row],[Amplitute RADIAL stress  (MPa)]],"")</f>
        <v>0</v>
      </c>
      <c r="AJ137" s="53">
        <f>IF(ISNUMBER(Tabella2[[#This Row],[Mean AXIAL stress  (MPa)]]), IF(Tabella2[[#This Row],[derived from (AXIAL/BENDING) load]]="AXIAL",Tabella2[[#This Row],[Mean AXIAL stress  (MPa)]]*Tabella2[[#This Row],[Area (mm^2)]],"Null"), "")</f>
        <v>2945.2431127404311</v>
      </c>
      <c r="AK137" s="53">
        <f>IF(ISNUMBER(Tabella2[[#This Row],[Amplitute AXIAL stress  (MPa)]]),    IF(Tabella2[[#This Row],[derived from (AXIAL/BENDING) load]]="AXIAL",Tabella2[[#This Row],[Amplitute AXIAL stress  (MPa)]]*Tabella2[[#This Row],[Area (mm^2)]],"Null"), "")</f>
        <v>2945.2431127404311</v>
      </c>
      <c r="AL137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7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7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3681.5538909255388</v>
      </c>
      <c r="AO137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3681.5538909255388</v>
      </c>
      <c r="AP137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37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300</v>
      </c>
    </row>
    <row r="138" spans="1:43" ht="20.100000000000001" customHeight="1" x14ac:dyDescent="0.25">
      <c r="A138" s="49" t="s">
        <v>65</v>
      </c>
      <c r="B138" s="49">
        <v>2008</v>
      </c>
      <c r="C138" s="49" t="s">
        <v>67</v>
      </c>
      <c r="D138" s="49" t="s">
        <v>207</v>
      </c>
      <c r="E138" s="49">
        <v>28108</v>
      </c>
      <c r="F138" s="49" t="s">
        <v>20</v>
      </c>
      <c r="G138" s="49" t="s">
        <v>69</v>
      </c>
      <c r="H138" s="49" t="e" vm="29">
        <v>#VALUE!</v>
      </c>
      <c r="I138" s="49" t="s">
        <v>27</v>
      </c>
      <c r="J138" s="49" t="s">
        <v>71</v>
      </c>
      <c r="K138" s="49" t="s">
        <v>21</v>
      </c>
      <c r="L138" s="49" t="s">
        <v>21</v>
      </c>
      <c r="M138" s="49">
        <v>0</v>
      </c>
      <c r="N138" s="49">
        <v>5</v>
      </c>
      <c r="O138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38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38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38" s="49">
        <v>0</v>
      </c>
      <c r="S138" s="49">
        <v>0</v>
      </c>
      <c r="T138" s="49">
        <v>0</v>
      </c>
      <c r="U138" s="51" t="s">
        <v>21</v>
      </c>
      <c r="V138" s="51" t="s">
        <v>21</v>
      </c>
      <c r="W138" s="51" t="s">
        <v>21</v>
      </c>
      <c r="X138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8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38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38" s="53">
        <v>0</v>
      </c>
      <c r="AB138" s="53">
        <v>0</v>
      </c>
      <c r="AC138" s="54">
        <v>180</v>
      </c>
      <c r="AD138" s="54">
        <v>180</v>
      </c>
      <c r="AE138" s="52" t="s">
        <v>60</v>
      </c>
      <c r="AF138" s="53">
        <v>180</v>
      </c>
      <c r="AG138" s="53">
        <v>180</v>
      </c>
      <c r="AH138" s="53">
        <f>IF(ISNUMBER(Tabella2[[#This Row],[Mean RADIAL stress  (MPa)]]), Tabella2[[#This Row],[Mean RADIAL stress  (MPa)]],"")</f>
        <v>0</v>
      </c>
      <c r="AI138" s="53">
        <f>IF(ISNUMBER(Tabella2[[#This Row],[Amplitute RADIAL stress  (MPa)]]), Tabella2[[#This Row],[Amplitute RADIAL stress  (MPa)]],"")</f>
        <v>0</v>
      </c>
      <c r="AJ138" s="53">
        <f>IF(ISNUMBER(Tabella2[[#This Row],[Mean AXIAL stress  (MPa)]]), IF(Tabella2[[#This Row],[derived from (AXIAL/BENDING) load]]="AXIAL",Tabella2[[#This Row],[Mean AXIAL stress  (MPa)]]*Tabella2[[#This Row],[Area (mm^2)]],"Null"), "")</f>
        <v>3534.2917352885174</v>
      </c>
      <c r="AK138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3534.2917352885174</v>
      </c>
      <c r="AL138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8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8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4417.864669110646</v>
      </c>
      <c r="AO138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4417.864669110646</v>
      </c>
      <c r="AP138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38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360</v>
      </c>
    </row>
    <row r="139" spans="1:43" ht="20.100000000000001" customHeight="1" x14ac:dyDescent="0.25">
      <c r="A139" s="49" t="s">
        <v>65</v>
      </c>
      <c r="B139" s="49">
        <v>2008</v>
      </c>
      <c r="C139" s="49" t="s">
        <v>67</v>
      </c>
      <c r="D139" s="49" t="s">
        <v>208</v>
      </c>
      <c r="E139" s="49">
        <v>370618</v>
      </c>
      <c r="F139" s="49" t="s">
        <v>20</v>
      </c>
      <c r="G139" s="49" t="s">
        <v>69</v>
      </c>
      <c r="H139" s="49" t="e" vm="29">
        <v>#VALUE!</v>
      </c>
      <c r="I139" s="49" t="s">
        <v>27</v>
      </c>
      <c r="J139" s="49" t="s">
        <v>71</v>
      </c>
      <c r="K139" s="49" t="s">
        <v>21</v>
      </c>
      <c r="L139" s="49" t="s">
        <v>21</v>
      </c>
      <c r="M139" s="49">
        <v>0</v>
      </c>
      <c r="N139" s="49">
        <v>5</v>
      </c>
      <c r="O139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39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39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39" s="49">
        <v>0</v>
      </c>
      <c r="S139" s="49">
        <v>0</v>
      </c>
      <c r="T139" s="49">
        <v>0</v>
      </c>
      <c r="U139" s="51" t="s">
        <v>21</v>
      </c>
      <c r="V139" s="51" t="s">
        <v>21</v>
      </c>
      <c r="W139" s="51" t="s">
        <v>21</v>
      </c>
      <c r="X139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9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39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39" s="53">
        <v>0</v>
      </c>
      <c r="AB139" s="53">
        <v>0</v>
      </c>
      <c r="AC139" s="54">
        <v>160</v>
      </c>
      <c r="AD139" s="54">
        <v>160</v>
      </c>
      <c r="AE139" s="52" t="s">
        <v>60</v>
      </c>
      <c r="AF139" s="53">
        <v>160</v>
      </c>
      <c r="AG139" s="53">
        <v>160</v>
      </c>
      <c r="AH139" s="53">
        <f>IF(ISNUMBER(Tabella2[[#This Row],[Mean RADIAL stress  (MPa)]]), Tabella2[[#This Row],[Mean RADIAL stress  (MPa)]],"")</f>
        <v>0</v>
      </c>
      <c r="AI139" s="53">
        <f>IF(ISNUMBER(Tabella2[[#This Row],[Amplitute RADIAL stress  (MPa)]]), Tabella2[[#This Row],[Amplitute RADIAL stress  (MPa)]],"")</f>
        <v>0</v>
      </c>
      <c r="AJ139" s="53">
        <f>IF(ISNUMBER(Tabella2[[#This Row],[Mean AXIAL stress  (MPa)]]), IF(Tabella2[[#This Row],[derived from (AXIAL/BENDING) load]]="AXIAL",Tabella2[[#This Row],[Mean AXIAL stress  (MPa)]]*Tabella2[[#This Row],[Area (mm^2)]],"Null"), "")</f>
        <v>3141.5926535897934</v>
      </c>
      <c r="AK139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3141.5926535897934</v>
      </c>
      <c r="AL139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9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9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3926.9908169872419</v>
      </c>
      <c r="AO139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3926.9908169872419</v>
      </c>
      <c r="AP139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39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320</v>
      </c>
    </row>
    <row r="140" spans="1:43" ht="20.100000000000001" customHeight="1" x14ac:dyDescent="0.25">
      <c r="A140" s="49" t="s">
        <v>65</v>
      </c>
      <c r="B140" s="49">
        <v>2008</v>
      </c>
      <c r="C140" s="49" t="s">
        <v>67</v>
      </c>
      <c r="D140" s="49" t="s">
        <v>209</v>
      </c>
      <c r="E140" s="49">
        <v>249286</v>
      </c>
      <c r="F140" s="49" t="s">
        <v>20</v>
      </c>
      <c r="G140" s="49" t="s">
        <v>69</v>
      </c>
      <c r="H140" s="49" t="e" vm="29">
        <v>#VALUE!</v>
      </c>
      <c r="I140" s="49" t="s">
        <v>27</v>
      </c>
      <c r="J140" s="49" t="s">
        <v>71</v>
      </c>
      <c r="K140" s="49" t="s">
        <v>21</v>
      </c>
      <c r="L140" s="49" t="s">
        <v>21</v>
      </c>
      <c r="M140" s="49">
        <v>0</v>
      </c>
      <c r="N140" s="49">
        <v>5</v>
      </c>
      <c r="O140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40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40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40" s="49">
        <v>0</v>
      </c>
      <c r="S140" s="49">
        <v>0</v>
      </c>
      <c r="T140" s="49">
        <v>0</v>
      </c>
      <c r="U140" s="51" t="s">
        <v>21</v>
      </c>
      <c r="V140" s="51" t="s">
        <v>21</v>
      </c>
      <c r="W140" s="51" t="s">
        <v>21</v>
      </c>
      <c r="X140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0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40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40" s="53">
        <v>0</v>
      </c>
      <c r="AB140" s="53">
        <v>0</v>
      </c>
      <c r="AC140" s="54">
        <v>165</v>
      </c>
      <c r="AD140" s="54">
        <v>165</v>
      </c>
      <c r="AE140" s="52" t="s">
        <v>60</v>
      </c>
      <c r="AF140" s="53">
        <v>165</v>
      </c>
      <c r="AG140" s="53">
        <v>165</v>
      </c>
      <c r="AH140" s="53">
        <f>IF(ISNUMBER(Tabella2[[#This Row],[Mean RADIAL stress  (MPa)]]), Tabella2[[#This Row],[Mean RADIAL stress  (MPa)]],"")</f>
        <v>0</v>
      </c>
      <c r="AI140" s="53">
        <f>IF(ISNUMBER(Tabella2[[#This Row],[Amplitute RADIAL stress  (MPa)]]), Tabella2[[#This Row],[Amplitute RADIAL stress  (MPa)]],"")</f>
        <v>0</v>
      </c>
      <c r="AJ140" s="53">
        <f>IF(ISNUMBER(Tabella2[[#This Row],[Mean AXIAL stress  (MPa)]]), IF(Tabella2[[#This Row],[derived from (AXIAL/BENDING) load]]="AXIAL",Tabella2[[#This Row],[Mean AXIAL stress  (MPa)]]*Tabella2[[#This Row],[Area (mm^2)]],"Null"), "")</f>
        <v>3239.7674240144743</v>
      </c>
      <c r="AK140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3239.7674240144743</v>
      </c>
      <c r="AL140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0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0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4049.7092800180931</v>
      </c>
      <c r="AO140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4049.7092800180931</v>
      </c>
      <c r="AP140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40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330</v>
      </c>
    </row>
    <row r="141" spans="1:43" ht="20.100000000000001" customHeight="1" x14ac:dyDescent="0.25">
      <c r="A141" s="49" t="s">
        <v>65</v>
      </c>
      <c r="B141" s="49">
        <v>2008</v>
      </c>
      <c r="C141" s="49" t="s">
        <v>67</v>
      </c>
      <c r="D141" s="49" t="s">
        <v>210</v>
      </c>
      <c r="E141" s="49">
        <v>34298</v>
      </c>
      <c r="F141" s="49" t="s">
        <v>20</v>
      </c>
      <c r="G141" s="49" t="s">
        <v>69</v>
      </c>
      <c r="H141" s="49" t="e" vm="29">
        <v>#VALUE!</v>
      </c>
      <c r="I141" s="49" t="s">
        <v>27</v>
      </c>
      <c r="J141" s="49" t="s">
        <v>71</v>
      </c>
      <c r="K141" s="49" t="s">
        <v>21</v>
      </c>
      <c r="L141" s="49" t="s">
        <v>21</v>
      </c>
      <c r="M141" s="49">
        <v>0</v>
      </c>
      <c r="N141" s="49">
        <v>5</v>
      </c>
      <c r="O141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41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41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41" s="49">
        <v>0</v>
      </c>
      <c r="S141" s="49">
        <v>0</v>
      </c>
      <c r="T141" s="49">
        <v>0</v>
      </c>
      <c r="U141" s="51" t="s">
        <v>21</v>
      </c>
      <c r="V141" s="51" t="s">
        <v>21</v>
      </c>
      <c r="W141" s="51" t="s">
        <v>21</v>
      </c>
      <c r="X141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1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41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41" s="53">
        <v>0</v>
      </c>
      <c r="AB141" s="53">
        <v>0</v>
      </c>
      <c r="AC141" s="54">
        <v>190</v>
      </c>
      <c r="AD141" s="54">
        <v>190</v>
      </c>
      <c r="AE141" s="52" t="s">
        <v>60</v>
      </c>
      <c r="AF141" s="53">
        <v>190</v>
      </c>
      <c r="AG141" s="53">
        <v>190</v>
      </c>
      <c r="AH141" s="53">
        <f>IF(ISNUMBER(Tabella2[[#This Row],[Mean RADIAL stress  (MPa)]]), Tabella2[[#This Row],[Mean RADIAL stress  (MPa)]],"")</f>
        <v>0</v>
      </c>
      <c r="AI141" s="53">
        <f>IF(ISNUMBER(Tabella2[[#This Row],[Amplitute RADIAL stress  (MPa)]]), Tabella2[[#This Row],[Amplitute RADIAL stress  (MPa)]],"")</f>
        <v>0</v>
      </c>
      <c r="AJ141" s="53">
        <f>IF(ISNUMBER(Tabella2[[#This Row],[Mean AXIAL stress  (MPa)]]), IF(Tabella2[[#This Row],[derived from (AXIAL/BENDING) load]]="AXIAL",Tabella2[[#This Row],[Mean AXIAL stress  (MPa)]]*Tabella2[[#This Row],[Area (mm^2)]],"Null"), "")</f>
        <v>3730.6412761378797</v>
      </c>
      <c r="AK141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3730.6412761378797</v>
      </c>
      <c r="AL141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1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1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4663.3015951723492</v>
      </c>
      <c r="AO141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4663.3015951723492</v>
      </c>
      <c r="AP141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41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380</v>
      </c>
    </row>
    <row r="142" spans="1:43" ht="20.100000000000001" customHeight="1" x14ac:dyDescent="0.25">
      <c r="A142" s="49" t="s">
        <v>65</v>
      </c>
      <c r="B142" s="49">
        <v>2008</v>
      </c>
      <c r="C142" s="49" t="s">
        <v>67</v>
      </c>
      <c r="D142" s="49" t="s">
        <v>211</v>
      </c>
      <c r="E142" s="49">
        <v>110056</v>
      </c>
      <c r="F142" s="49" t="s">
        <v>20</v>
      </c>
      <c r="G142" s="49" t="s">
        <v>69</v>
      </c>
      <c r="H142" s="49" t="e" vm="29">
        <v>#VALUE!</v>
      </c>
      <c r="I142" s="49" t="s">
        <v>27</v>
      </c>
      <c r="J142" s="49" t="s">
        <v>71</v>
      </c>
      <c r="K142" s="49" t="s">
        <v>21</v>
      </c>
      <c r="L142" s="49" t="s">
        <v>21</v>
      </c>
      <c r="M142" s="49">
        <v>0</v>
      </c>
      <c r="N142" s="49">
        <v>5</v>
      </c>
      <c r="O142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42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42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42" s="49">
        <v>0</v>
      </c>
      <c r="S142" s="49">
        <v>0</v>
      </c>
      <c r="T142" s="49">
        <v>0</v>
      </c>
      <c r="U142" s="51" t="s">
        <v>21</v>
      </c>
      <c r="V142" s="51" t="s">
        <v>21</v>
      </c>
      <c r="W142" s="51" t="s">
        <v>21</v>
      </c>
      <c r="X142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2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42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42" s="53">
        <v>0</v>
      </c>
      <c r="AB142" s="53">
        <v>0</v>
      </c>
      <c r="AC142" s="54">
        <v>170</v>
      </c>
      <c r="AD142" s="54">
        <v>170</v>
      </c>
      <c r="AE142" s="52" t="s">
        <v>60</v>
      </c>
      <c r="AF142" s="53">
        <v>170</v>
      </c>
      <c r="AG142" s="53">
        <v>170</v>
      </c>
      <c r="AH142" s="53">
        <f>IF(ISNUMBER(Tabella2[[#This Row],[Mean RADIAL stress  (MPa)]]), Tabella2[[#This Row],[Mean RADIAL stress  (MPa)]],"")</f>
        <v>0</v>
      </c>
      <c r="AI142" s="53">
        <f>IF(ISNUMBER(Tabella2[[#This Row],[Amplitute RADIAL stress  (MPa)]]), Tabella2[[#This Row],[Amplitute RADIAL stress  (MPa)]],"")</f>
        <v>0</v>
      </c>
      <c r="AJ142" s="53">
        <f>IF(ISNUMBER(Tabella2[[#This Row],[Mean AXIAL stress  (MPa)]]), IF(Tabella2[[#This Row],[derived from (AXIAL/BENDING) load]]="AXIAL",Tabella2[[#This Row],[Mean AXIAL stress  (MPa)]]*Tabella2[[#This Row],[Area (mm^2)]],"Null"), "")</f>
        <v>3337.9421944391552</v>
      </c>
      <c r="AK142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3337.9421944391552</v>
      </c>
      <c r="AL142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2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2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4172.4277430489437</v>
      </c>
      <c r="AO142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4172.4277430489437</v>
      </c>
      <c r="AP142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</v>
      </c>
      <c r="AQ142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340</v>
      </c>
    </row>
    <row r="143" spans="1:43" ht="20.100000000000001" customHeight="1" x14ac:dyDescent="0.25">
      <c r="A143" s="49" t="s">
        <v>65</v>
      </c>
      <c r="B143" s="49">
        <v>2008</v>
      </c>
      <c r="C143" s="49" t="s">
        <v>67</v>
      </c>
      <c r="D143" s="49" t="s">
        <v>212</v>
      </c>
      <c r="E143" s="49">
        <v>314817</v>
      </c>
      <c r="F143" s="49" t="s">
        <v>20</v>
      </c>
      <c r="G143" s="49" t="s">
        <v>69</v>
      </c>
      <c r="H143" s="49" t="e" vm="30">
        <v>#VALUE!</v>
      </c>
      <c r="I143" s="49" t="s">
        <v>27</v>
      </c>
      <c r="J143" s="49" t="s">
        <v>71</v>
      </c>
      <c r="K143" s="49" t="s">
        <v>21</v>
      </c>
      <c r="L143" s="49" t="s">
        <v>21</v>
      </c>
      <c r="M143" s="49">
        <v>0</v>
      </c>
      <c r="N143" s="49">
        <v>5</v>
      </c>
      <c r="O143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43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43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43" s="49">
        <v>0</v>
      </c>
      <c r="S143" s="49">
        <v>0</v>
      </c>
      <c r="T143" s="49">
        <v>0</v>
      </c>
      <c r="U143" s="51" t="s">
        <v>21</v>
      </c>
      <c r="V143" s="51" t="s">
        <v>21</v>
      </c>
      <c r="W143" s="51" t="s">
        <v>21</v>
      </c>
      <c r="X143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3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43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43" s="53">
        <v>0</v>
      </c>
      <c r="AB143" s="53">
        <v>0</v>
      </c>
      <c r="AC143" s="54">
        <v>0</v>
      </c>
      <c r="AD143" s="54">
        <v>260</v>
      </c>
      <c r="AE143" s="52" t="s">
        <v>60</v>
      </c>
      <c r="AF143" s="53">
        <v>0</v>
      </c>
      <c r="AG143" s="53">
        <v>150.1</v>
      </c>
      <c r="AH143" s="53">
        <f>IF(ISNUMBER(Tabella2[[#This Row],[Mean RADIAL stress  (MPa)]]), Tabella2[[#This Row],[Mean RADIAL stress  (MPa)]],"")</f>
        <v>0</v>
      </c>
      <c r="AI143" s="53">
        <f>IF(ISNUMBER(Tabella2[[#This Row],[Amplitute RADIAL stress  (MPa)]]), Tabella2[[#This Row],[Amplitute RADIAL stress  (MPa)]],"")</f>
        <v>0</v>
      </c>
      <c r="AJ143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43" s="53">
        <f>IF(ISNUMBER(Tabella2[[#This Row],[Amplitute AXIAL stress  (MPa)]]),    IF(Tabella2[[#This Row],[derived from (AXIAL/BENDING) load]]="AXIAL",Tabella2[[#This Row],[Amplitute AXIAL stress  (MPa)]]*Tabella2[[#This Row],[Area (mm^2)]],"Null"), "")</f>
        <v>5105.0880620834141</v>
      </c>
      <c r="AL143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3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3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43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3684.0082601861554</v>
      </c>
      <c r="AP143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0.5773076923076923</v>
      </c>
      <c r="AQ143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367.68196855434724</v>
      </c>
    </row>
    <row r="144" spans="1:43" ht="20.100000000000001" customHeight="1" x14ac:dyDescent="0.25">
      <c r="A144" s="49" t="s">
        <v>65</v>
      </c>
      <c r="B144" s="49">
        <v>2008</v>
      </c>
      <c r="C144" s="49" t="s">
        <v>67</v>
      </c>
      <c r="D144" s="49" t="s">
        <v>213</v>
      </c>
      <c r="E144" s="49">
        <v>150125</v>
      </c>
      <c r="F144" s="49" t="s">
        <v>20</v>
      </c>
      <c r="G144" s="49" t="s">
        <v>69</v>
      </c>
      <c r="H144" s="49" t="e" vm="31">
        <v>#VALUE!</v>
      </c>
      <c r="I144" s="49" t="s">
        <v>27</v>
      </c>
      <c r="J144" s="49" t="s">
        <v>71</v>
      </c>
      <c r="K144" s="49" t="s">
        <v>21</v>
      </c>
      <c r="L144" s="49" t="s">
        <v>21</v>
      </c>
      <c r="M144" s="49">
        <v>0</v>
      </c>
      <c r="N144" s="49">
        <v>5</v>
      </c>
      <c r="O144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44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44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44" s="49">
        <v>0</v>
      </c>
      <c r="S144" s="49">
        <v>0</v>
      </c>
      <c r="T144" s="49">
        <v>0</v>
      </c>
      <c r="U144" s="51" t="s">
        <v>21</v>
      </c>
      <c r="V144" s="51" t="s">
        <v>21</v>
      </c>
      <c r="W144" s="51" t="s">
        <v>21</v>
      </c>
      <c r="X144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4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44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44" s="53">
        <v>0</v>
      </c>
      <c r="AB144" s="53">
        <v>0</v>
      </c>
      <c r="AC144" s="54">
        <v>0</v>
      </c>
      <c r="AD144" s="54">
        <v>230</v>
      </c>
      <c r="AE144" s="52" t="s">
        <v>60</v>
      </c>
      <c r="AF144" s="53">
        <v>0</v>
      </c>
      <c r="AG144" s="53">
        <v>132.80000000000001</v>
      </c>
      <c r="AH144" s="53">
        <f>IF(ISNUMBER(Tabella2[[#This Row],[Mean RADIAL stress  (MPa)]]), Tabella2[[#This Row],[Mean RADIAL stress  (MPa)]],"")</f>
        <v>0</v>
      </c>
      <c r="AI144" s="53">
        <f>IF(ISNUMBER(Tabella2[[#This Row],[Amplitute RADIAL stress  (MPa)]]), Tabella2[[#This Row],[Amplitute RADIAL stress  (MPa)]],"")</f>
        <v>0</v>
      </c>
      <c r="AJ144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44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4516.0394395353278</v>
      </c>
      <c r="AL144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4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4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44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3259.4023780994107</v>
      </c>
      <c r="AP144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0.57739130434782615</v>
      </c>
      <c r="AQ144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325.28067879909503</v>
      </c>
    </row>
    <row r="145" spans="1:43" ht="20.100000000000001" customHeight="1" x14ac:dyDescent="0.25">
      <c r="A145" s="49" t="s">
        <v>65</v>
      </c>
      <c r="B145" s="49">
        <v>2008</v>
      </c>
      <c r="C145" s="49" t="s">
        <v>67</v>
      </c>
      <c r="D145" s="49" t="s">
        <v>214</v>
      </c>
      <c r="E145" s="49">
        <v>59622</v>
      </c>
      <c r="F145" s="49" t="s">
        <v>20</v>
      </c>
      <c r="G145" s="49" t="s">
        <v>69</v>
      </c>
      <c r="H145" s="49" t="e" vm="31">
        <v>#VALUE!</v>
      </c>
      <c r="I145" s="49" t="s">
        <v>27</v>
      </c>
      <c r="J145" s="49" t="s">
        <v>71</v>
      </c>
      <c r="K145" s="49" t="s">
        <v>21</v>
      </c>
      <c r="L145" s="49" t="s">
        <v>21</v>
      </c>
      <c r="M145" s="49">
        <v>0</v>
      </c>
      <c r="N145" s="49">
        <v>5</v>
      </c>
      <c r="O145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45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45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45" s="49">
        <v>0</v>
      </c>
      <c r="S145" s="49">
        <v>0</v>
      </c>
      <c r="T145" s="49">
        <v>0</v>
      </c>
      <c r="U145" s="51" t="s">
        <v>21</v>
      </c>
      <c r="V145" s="51" t="s">
        <v>21</v>
      </c>
      <c r="W145" s="51" t="s">
        <v>21</v>
      </c>
      <c r="X145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5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45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45" s="53">
        <v>0</v>
      </c>
      <c r="AB145" s="53">
        <v>0</v>
      </c>
      <c r="AC145" s="54">
        <v>0</v>
      </c>
      <c r="AD145" s="54">
        <v>270</v>
      </c>
      <c r="AE145" s="52" t="s">
        <v>60</v>
      </c>
      <c r="AF145" s="53">
        <v>0</v>
      </c>
      <c r="AG145" s="53">
        <v>155.9</v>
      </c>
      <c r="AH145" s="53">
        <f>IF(ISNUMBER(Tabella2[[#This Row],[Mean RADIAL stress  (MPa)]]), Tabella2[[#This Row],[Mean RADIAL stress  (MPa)]],"")</f>
        <v>0</v>
      </c>
      <c r="AI145" s="53">
        <f>IF(ISNUMBER(Tabella2[[#This Row],[Amplitute RADIAL stress  (MPa)]]), Tabella2[[#This Row],[Amplitute RADIAL stress  (MPa)]],"")</f>
        <v>0</v>
      </c>
      <c r="AJ145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45" s="53">
        <f>IF(ISNUMBER(Tabella2[[#This Row],[Amplitute AXIAL stress  (MPa)]]),    IF(Tabella2[[#This Row],[derived from (AXIAL/BENDING) load]]="AXIAL",Tabella2[[#This Row],[Amplitute AXIAL stress  (MPa)]]*Tabella2[[#This Row],[Area (mm^2)]],"Null"), "")</f>
        <v>5301.4376029327759</v>
      </c>
      <c r="AL145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5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5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45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3826.3616773019435</v>
      </c>
      <c r="AP145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0.57740740740740748</v>
      </c>
      <c r="AQ145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381.85655683777384</v>
      </c>
    </row>
    <row r="146" spans="1:43" ht="20.100000000000001" customHeight="1" x14ac:dyDescent="0.25">
      <c r="A146" s="49" t="s">
        <v>65</v>
      </c>
      <c r="B146" s="49">
        <v>2008</v>
      </c>
      <c r="C146" s="49" t="s">
        <v>67</v>
      </c>
      <c r="D146" s="49" t="s">
        <v>215</v>
      </c>
      <c r="E146" s="49">
        <v>245935</v>
      </c>
      <c r="F146" s="49" t="s">
        <v>20</v>
      </c>
      <c r="G146" s="49" t="s">
        <v>69</v>
      </c>
      <c r="H146" s="49" t="e" vm="31">
        <v>#VALUE!</v>
      </c>
      <c r="I146" s="49" t="s">
        <v>27</v>
      </c>
      <c r="J146" s="49" t="s">
        <v>71</v>
      </c>
      <c r="K146" s="49" t="s">
        <v>21</v>
      </c>
      <c r="L146" s="49" t="s">
        <v>21</v>
      </c>
      <c r="M146" s="49">
        <v>0</v>
      </c>
      <c r="N146" s="49">
        <v>5</v>
      </c>
      <c r="O146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46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46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46" s="49">
        <v>0</v>
      </c>
      <c r="S146" s="49">
        <v>0</v>
      </c>
      <c r="T146" s="49">
        <v>0</v>
      </c>
      <c r="U146" s="51" t="s">
        <v>21</v>
      </c>
      <c r="V146" s="51" t="s">
        <v>21</v>
      </c>
      <c r="W146" s="51" t="s">
        <v>21</v>
      </c>
      <c r="X146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6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46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46" s="53">
        <v>0</v>
      </c>
      <c r="AB146" s="53">
        <v>0</v>
      </c>
      <c r="AC146" s="54">
        <v>0</v>
      </c>
      <c r="AD146" s="54">
        <v>230</v>
      </c>
      <c r="AE146" s="52" t="s">
        <v>60</v>
      </c>
      <c r="AF146" s="53">
        <v>0</v>
      </c>
      <c r="AG146" s="53">
        <v>132.80000000000001</v>
      </c>
      <c r="AH146" s="53">
        <f>IF(ISNUMBER(Tabella2[[#This Row],[Mean RADIAL stress  (MPa)]]), Tabella2[[#This Row],[Mean RADIAL stress  (MPa)]],"")</f>
        <v>0</v>
      </c>
      <c r="AI146" s="53">
        <f>IF(ISNUMBER(Tabella2[[#This Row],[Amplitute RADIAL stress  (MPa)]]), Tabella2[[#This Row],[Amplitute RADIAL stress  (MPa)]],"")</f>
        <v>0</v>
      </c>
      <c r="AJ146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46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4516.0394395353278</v>
      </c>
      <c r="AL146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6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6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46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3259.4023780994107</v>
      </c>
      <c r="AP146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0.57739130434782615</v>
      </c>
      <c r="AQ146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325.28067879909503</v>
      </c>
    </row>
    <row r="147" spans="1:43" ht="20.100000000000001" customHeight="1" x14ac:dyDescent="0.25">
      <c r="A147" s="49" t="s">
        <v>65</v>
      </c>
      <c r="B147" s="49">
        <v>2008</v>
      </c>
      <c r="C147" s="49" t="s">
        <v>67</v>
      </c>
      <c r="D147" s="49" t="s">
        <v>216</v>
      </c>
      <c r="E147" s="49">
        <v>79328</v>
      </c>
      <c r="F147" s="49" t="s">
        <v>20</v>
      </c>
      <c r="G147" s="49" t="s">
        <v>69</v>
      </c>
      <c r="H147" s="49" t="e" vm="31">
        <v>#VALUE!</v>
      </c>
      <c r="I147" s="49" t="s">
        <v>27</v>
      </c>
      <c r="J147" s="49" t="s">
        <v>71</v>
      </c>
      <c r="K147" s="49" t="s">
        <v>21</v>
      </c>
      <c r="L147" s="49" t="s">
        <v>21</v>
      </c>
      <c r="M147" s="49">
        <v>0</v>
      </c>
      <c r="N147" s="49">
        <v>5</v>
      </c>
      <c r="O147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47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47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47" s="49">
        <v>0</v>
      </c>
      <c r="S147" s="49">
        <v>0</v>
      </c>
      <c r="T147" s="49">
        <v>0</v>
      </c>
      <c r="U147" s="51" t="s">
        <v>21</v>
      </c>
      <c r="V147" s="51" t="s">
        <v>21</v>
      </c>
      <c r="W147" s="51" t="s">
        <v>21</v>
      </c>
      <c r="X147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7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47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47" s="53">
        <v>0</v>
      </c>
      <c r="AB147" s="53">
        <v>0</v>
      </c>
      <c r="AC147" s="54">
        <v>0</v>
      </c>
      <c r="AD147" s="54">
        <v>250</v>
      </c>
      <c r="AE147" s="52" t="s">
        <v>60</v>
      </c>
      <c r="AF147" s="53">
        <v>0</v>
      </c>
      <c r="AG147" s="53">
        <v>144.30000000000001</v>
      </c>
      <c r="AH147" s="53">
        <f>IF(ISNUMBER(Tabella2[[#This Row],[Mean RADIAL stress  (MPa)]]), Tabella2[[#This Row],[Mean RADIAL stress  (MPa)]],"")</f>
        <v>0</v>
      </c>
      <c r="AI147" s="53">
        <f>IF(ISNUMBER(Tabella2[[#This Row],[Amplitute RADIAL stress  (MPa)]]), Tabella2[[#This Row],[Amplitute RADIAL stress  (MPa)]],"")</f>
        <v>0</v>
      </c>
      <c r="AJ147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47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4908.7385212340523</v>
      </c>
      <c r="AL147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7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7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47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3541.6548430703688</v>
      </c>
      <c r="AP147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0.57720000000000005</v>
      </c>
      <c r="AQ147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353.50738323265614</v>
      </c>
    </row>
    <row r="148" spans="1:43" ht="20.100000000000001" customHeight="1" x14ac:dyDescent="0.25">
      <c r="A148" s="49" t="s">
        <v>65</v>
      </c>
      <c r="B148" s="49">
        <v>2008</v>
      </c>
      <c r="C148" s="49" t="s">
        <v>67</v>
      </c>
      <c r="D148" s="49" t="s">
        <v>217</v>
      </c>
      <c r="E148" s="49">
        <v>31700</v>
      </c>
      <c r="F148" s="49" t="s">
        <v>20</v>
      </c>
      <c r="G148" s="49" t="s">
        <v>69</v>
      </c>
      <c r="H148" s="49" t="e" vm="31">
        <v>#VALUE!</v>
      </c>
      <c r="I148" s="49" t="s">
        <v>27</v>
      </c>
      <c r="J148" s="49" t="s">
        <v>71</v>
      </c>
      <c r="K148" s="49" t="s">
        <v>21</v>
      </c>
      <c r="L148" s="49" t="s">
        <v>21</v>
      </c>
      <c r="M148" s="49">
        <v>0</v>
      </c>
      <c r="N148" s="49">
        <v>5</v>
      </c>
      <c r="O148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48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48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48" s="49">
        <v>0</v>
      </c>
      <c r="S148" s="49">
        <v>0</v>
      </c>
      <c r="T148" s="49">
        <v>0</v>
      </c>
      <c r="U148" s="51" t="s">
        <v>21</v>
      </c>
      <c r="V148" s="51" t="s">
        <v>21</v>
      </c>
      <c r="W148" s="51" t="s">
        <v>21</v>
      </c>
      <c r="X148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8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48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48" s="53">
        <v>0</v>
      </c>
      <c r="AB148" s="53">
        <v>0</v>
      </c>
      <c r="AC148" s="54">
        <v>0</v>
      </c>
      <c r="AD148" s="54">
        <v>285</v>
      </c>
      <c r="AE148" s="52" t="s">
        <v>60</v>
      </c>
      <c r="AF148" s="53">
        <v>0</v>
      </c>
      <c r="AG148" s="53">
        <v>164.5</v>
      </c>
      <c r="AH148" s="53">
        <f>IF(ISNUMBER(Tabella2[[#This Row],[Mean RADIAL stress  (MPa)]]), Tabella2[[#This Row],[Mean RADIAL stress  (MPa)]],"")</f>
        <v>0</v>
      </c>
      <c r="AI148" s="53">
        <f>IF(ISNUMBER(Tabella2[[#This Row],[Amplitute RADIAL stress  (MPa)]]), Tabella2[[#This Row],[Amplitute RADIAL stress  (MPa)]],"")</f>
        <v>0</v>
      </c>
      <c r="AJ148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48" s="53">
        <f>IF(ISNUMBER(Tabella2[[#This Row],[Amplitute AXIAL stress  (MPa)]]),    IF(Tabella2[[#This Row],[derived from (AXIAL/BENDING) load]]="AXIAL",Tabella2[[#This Row],[Amplitute AXIAL stress  (MPa)]]*Tabella2[[#This Row],[Area (mm^2)]],"Null"), "")</f>
        <v>5595.9619142068195</v>
      </c>
      <c r="AL148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8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8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48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4037.4374337150075</v>
      </c>
      <c r="AP148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0.57719298245614037</v>
      </c>
      <c r="AQ148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402.99596772176267</v>
      </c>
    </row>
    <row r="149" spans="1:43" ht="20.100000000000001" customHeight="1" x14ac:dyDescent="0.25">
      <c r="A149" s="49" t="s">
        <v>65</v>
      </c>
      <c r="B149" s="49">
        <v>2008</v>
      </c>
      <c r="C149" s="49" t="s">
        <v>67</v>
      </c>
      <c r="D149" s="49" t="s">
        <v>218</v>
      </c>
      <c r="E149" s="49">
        <v>36976</v>
      </c>
      <c r="F149" s="49" t="s">
        <v>20</v>
      </c>
      <c r="G149" s="49" t="s">
        <v>69</v>
      </c>
      <c r="H149" s="49" t="e" vm="31">
        <v>#VALUE!</v>
      </c>
      <c r="I149" s="49" t="s">
        <v>27</v>
      </c>
      <c r="J149" s="49" t="s">
        <v>71</v>
      </c>
      <c r="K149" s="49" t="s">
        <v>21</v>
      </c>
      <c r="L149" s="49" t="s">
        <v>21</v>
      </c>
      <c r="M149" s="49">
        <v>0</v>
      </c>
      <c r="N149" s="49">
        <v>5</v>
      </c>
      <c r="O149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49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49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49" s="49">
        <v>0</v>
      </c>
      <c r="S149" s="49">
        <v>0</v>
      </c>
      <c r="T149" s="49">
        <v>0</v>
      </c>
      <c r="U149" s="51" t="s">
        <v>21</v>
      </c>
      <c r="V149" s="51" t="s">
        <v>21</v>
      </c>
      <c r="W149" s="51" t="s">
        <v>21</v>
      </c>
      <c r="X149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9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49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49" s="53">
        <v>0</v>
      </c>
      <c r="AB149" s="53">
        <v>0</v>
      </c>
      <c r="AC149" s="54">
        <v>0</v>
      </c>
      <c r="AD149" s="54">
        <v>285</v>
      </c>
      <c r="AE149" s="52" t="s">
        <v>60</v>
      </c>
      <c r="AF149" s="53">
        <v>0</v>
      </c>
      <c r="AG149" s="53">
        <v>164.5</v>
      </c>
      <c r="AH149" s="53">
        <f>IF(ISNUMBER(Tabella2[[#This Row],[Mean RADIAL stress  (MPa)]]), Tabella2[[#This Row],[Mean RADIAL stress  (MPa)]],"")</f>
        <v>0</v>
      </c>
      <c r="AI149" s="53">
        <f>IF(ISNUMBER(Tabella2[[#This Row],[Amplitute RADIAL stress  (MPa)]]), Tabella2[[#This Row],[Amplitute RADIAL stress  (MPa)]],"")</f>
        <v>0</v>
      </c>
      <c r="AJ149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49" s="53">
        <f>IF(ISNUMBER(Tabella2[[#This Row],[Amplitute AXIAL stress  (MPa)]]),    IF(Tabella2[[#This Row],[derived from (AXIAL/BENDING) load]]="AXIAL",Tabella2[[#This Row],[Amplitute AXIAL stress  (MPa)]]*Tabella2[[#This Row],[Area (mm^2)]],"Null"), "")</f>
        <v>5595.9619142068195</v>
      </c>
      <c r="AL149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9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9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49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4037.4374337150075</v>
      </c>
      <c r="AP149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0.57719298245614037</v>
      </c>
      <c r="AQ149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402.99596772176267</v>
      </c>
    </row>
    <row r="150" spans="1:43" ht="20.100000000000001" customHeight="1" x14ac:dyDescent="0.25">
      <c r="A150" s="49" t="s">
        <v>65</v>
      </c>
      <c r="B150" s="49">
        <v>2008</v>
      </c>
      <c r="C150" s="49" t="s">
        <v>67</v>
      </c>
      <c r="D150" s="49" t="s">
        <v>219</v>
      </c>
      <c r="E150" s="49">
        <v>282833</v>
      </c>
      <c r="F150" s="49" t="s">
        <v>20</v>
      </c>
      <c r="G150" s="49" t="s">
        <v>69</v>
      </c>
      <c r="H150" s="49" t="e" vm="32">
        <v>#VALUE!</v>
      </c>
      <c r="I150" s="49" t="s">
        <v>27</v>
      </c>
      <c r="J150" s="49" t="s">
        <v>71</v>
      </c>
      <c r="K150" s="49" t="s">
        <v>21</v>
      </c>
      <c r="L150" s="49" t="s">
        <v>21</v>
      </c>
      <c r="M150" s="49">
        <v>0</v>
      </c>
      <c r="N150" s="49">
        <v>5</v>
      </c>
      <c r="O150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50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50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50" s="49">
        <v>0</v>
      </c>
      <c r="S150" s="49">
        <v>0</v>
      </c>
      <c r="T150" s="49">
        <v>0</v>
      </c>
      <c r="U150" s="51" t="s">
        <v>21</v>
      </c>
      <c r="V150" s="51" t="s">
        <v>21</v>
      </c>
      <c r="W150" s="51" t="s">
        <v>21</v>
      </c>
      <c r="X150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0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50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50" s="53">
        <v>0</v>
      </c>
      <c r="AB150" s="53">
        <v>0</v>
      </c>
      <c r="AC150" s="54">
        <v>0</v>
      </c>
      <c r="AD150" s="54">
        <v>290</v>
      </c>
      <c r="AE150" s="52" t="s">
        <v>60</v>
      </c>
      <c r="AF150" s="53">
        <v>0</v>
      </c>
      <c r="AG150" s="53">
        <v>167.4</v>
      </c>
      <c r="AH150" s="53">
        <f>IF(ISNUMBER(Tabella2[[#This Row],[Mean RADIAL stress  (MPa)]]), Tabella2[[#This Row],[Mean RADIAL stress  (MPa)]],"")</f>
        <v>0</v>
      </c>
      <c r="AI150" s="53">
        <f>IF(ISNUMBER(Tabella2[[#This Row],[Amplitute RADIAL stress  (MPa)]]), Tabella2[[#This Row],[Amplitute RADIAL stress  (MPa)]],"")</f>
        <v>0</v>
      </c>
      <c r="AJ150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50" s="53">
        <f>IF(ISNUMBER(Tabella2[[#This Row],[Amplitute AXIAL stress  (MPa)]]),    IF(Tabella2[[#This Row],[derived from (AXIAL/BENDING) load]]="AXIAL",Tabella2[[#This Row],[Amplitute AXIAL stress  (MPa)]]*Tabella2[[#This Row],[Area (mm^2)]],"Null"), "")</f>
        <v>5694.1366846315004</v>
      </c>
      <c r="AL150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0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0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50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4108.6141422729015</v>
      </c>
      <c r="AP150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0.5772413793103448</v>
      </c>
      <c r="AQ150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410.08325983877955</v>
      </c>
    </row>
    <row r="151" spans="1:43" ht="20.100000000000001" customHeight="1" x14ac:dyDescent="0.25">
      <c r="A151" s="49" t="s">
        <v>65</v>
      </c>
      <c r="B151" s="49">
        <v>2008</v>
      </c>
      <c r="C151" s="49" t="s">
        <v>67</v>
      </c>
      <c r="D151" s="49" t="s">
        <v>220</v>
      </c>
      <c r="E151" s="49">
        <v>136165</v>
      </c>
      <c r="F151" s="49" t="s">
        <v>20</v>
      </c>
      <c r="G151" s="49" t="s">
        <v>69</v>
      </c>
      <c r="H151" s="49" t="e" vm="33">
        <v>#VALUE!</v>
      </c>
      <c r="I151" s="49" t="s">
        <v>27</v>
      </c>
      <c r="J151" s="49" t="s">
        <v>71</v>
      </c>
      <c r="K151" s="49" t="s">
        <v>21</v>
      </c>
      <c r="L151" s="49" t="s">
        <v>21</v>
      </c>
      <c r="M151" s="49">
        <v>0</v>
      </c>
      <c r="N151" s="49">
        <v>5</v>
      </c>
      <c r="O151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51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51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51" s="49">
        <v>0</v>
      </c>
      <c r="S151" s="49">
        <v>0</v>
      </c>
      <c r="T151" s="49">
        <v>0</v>
      </c>
      <c r="U151" s="51" t="s">
        <v>21</v>
      </c>
      <c r="V151" s="51" t="s">
        <v>21</v>
      </c>
      <c r="W151" s="51" t="s">
        <v>21</v>
      </c>
      <c r="X151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1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51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51" s="53">
        <v>0</v>
      </c>
      <c r="AB151" s="53">
        <v>0</v>
      </c>
      <c r="AC151" s="54">
        <v>0</v>
      </c>
      <c r="AD151" s="54">
        <v>270</v>
      </c>
      <c r="AE151" s="52" t="s">
        <v>60</v>
      </c>
      <c r="AF151" s="53">
        <v>0</v>
      </c>
      <c r="AG151" s="53">
        <v>155.9</v>
      </c>
      <c r="AH151" s="53">
        <f>IF(ISNUMBER(Tabella2[[#This Row],[Mean RADIAL stress  (MPa)]]), Tabella2[[#This Row],[Mean RADIAL stress  (MPa)]],"")</f>
        <v>0</v>
      </c>
      <c r="AI151" s="53">
        <f>IF(ISNUMBER(Tabella2[[#This Row],[Amplitute RADIAL stress  (MPa)]]), Tabella2[[#This Row],[Amplitute RADIAL stress  (MPa)]],"")</f>
        <v>0</v>
      </c>
      <c r="AJ151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51" s="53">
        <f>IF(ISNUMBER(Tabella2[[#This Row],[Amplitute AXIAL stress  (MPa)]]),    IF(Tabella2[[#This Row],[derived from (AXIAL/BENDING) load]]="AXIAL",Tabella2[[#This Row],[Amplitute AXIAL stress  (MPa)]]*Tabella2[[#This Row],[Area (mm^2)]],"Null"), "")</f>
        <v>5301.4376029327759</v>
      </c>
      <c r="AL151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1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1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51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3826.3616773019435</v>
      </c>
      <c r="AP151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0.57740740740740748</v>
      </c>
      <c r="AQ151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381.85655683777384</v>
      </c>
    </row>
    <row r="152" spans="1:43" ht="20.100000000000001" customHeight="1" x14ac:dyDescent="0.25">
      <c r="A152" s="49" t="s">
        <v>65</v>
      </c>
      <c r="B152" s="49">
        <v>2008</v>
      </c>
      <c r="C152" s="49" t="s">
        <v>67</v>
      </c>
      <c r="D152" s="49" t="s">
        <v>221</v>
      </c>
      <c r="E152" s="49">
        <v>38446</v>
      </c>
      <c r="F152" s="49" t="s">
        <v>20</v>
      </c>
      <c r="G152" s="49" t="s">
        <v>69</v>
      </c>
      <c r="H152" s="49" t="e" vm="33">
        <v>#VALUE!</v>
      </c>
      <c r="I152" s="49" t="s">
        <v>27</v>
      </c>
      <c r="J152" s="49" t="s">
        <v>71</v>
      </c>
      <c r="K152" s="49" t="s">
        <v>21</v>
      </c>
      <c r="L152" s="49" t="s">
        <v>21</v>
      </c>
      <c r="M152" s="49">
        <v>0</v>
      </c>
      <c r="N152" s="49">
        <v>5</v>
      </c>
      <c r="O152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52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52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52" s="49">
        <v>0</v>
      </c>
      <c r="S152" s="49">
        <v>0</v>
      </c>
      <c r="T152" s="49">
        <v>0</v>
      </c>
      <c r="U152" s="51" t="s">
        <v>21</v>
      </c>
      <c r="V152" s="51" t="s">
        <v>21</v>
      </c>
      <c r="W152" s="51" t="s">
        <v>21</v>
      </c>
      <c r="X152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2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52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52" s="53">
        <v>0</v>
      </c>
      <c r="AB152" s="53">
        <v>0</v>
      </c>
      <c r="AC152" s="54">
        <v>0</v>
      </c>
      <c r="AD152" s="54">
        <v>330</v>
      </c>
      <c r="AE152" s="52" t="s">
        <v>60</v>
      </c>
      <c r="AF152" s="53">
        <v>0</v>
      </c>
      <c r="AG152" s="53">
        <v>190.5</v>
      </c>
      <c r="AH152" s="53">
        <f>IF(ISNUMBER(Tabella2[[#This Row],[Mean RADIAL stress  (MPa)]]), Tabella2[[#This Row],[Mean RADIAL stress  (MPa)]],"")</f>
        <v>0</v>
      </c>
      <c r="AI152" s="53">
        <f>IF(ISNUMBER(Tabella2[[#This Row],[Amplitute RADIAL stress  (MPa)]]), Tabella2[[#This Row],[Amplitute RADIAL stress  (MPa)]],"")</f>
        <v>0</v>
      </c>
      <c r="AJ152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52" s="53">
        <f>IF(ISNUMBER(Tabella2[[#This Row],[Amplitute AXIAL stress  (MPa)]]),    IF(Tabella2[[#This Row],[derived from (AXIAL/BENDING) load]]="AXIAL",Tabella2[[#This Row],[Amplitute AXIAL stress  (MPa)]]*Tabella2[[#This Row],[Area (mm^2)]],"Null"), "")</f>
        <v>6479.5348480289485</v>
      </c>
      <c r="AL152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2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2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52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4675.5734414754343</v>
      </c>
      <c r="AP152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0.57727272727272727</v>
      </c>
      <c r="AQ152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466.6591368440138</v>
      </c>
    </row>
    <row r="153" spans="1:43" ht="20.100000000000001" customHeight="1" x14ac:dyDescent="0.25">
      <c r="A153" s="49" t="s">
        <v>65</v>
      </c>
      <c r="B153" s="49">
        <v>2008</v>
      </c>
      <c r="C153" s="49" t="s">
        <v>67</v>
      </c>
      <c r="D153" s="49" t="s">
        <v>222</v>
      </c>
      <c r="E153" s="49">
        <v>12200</v>
      </c>
      <c r="F153" s="49" t="s">
        <v>20</v>
      </c>
      <c r="G153" s="49" t="s">
        <v>69</v>
      </c>
      <c r="H153" s="49" t="e" vm="33">
        <v>#VALUE!</v>
      </c>
      <c r="I153" s="49" t="s">
        <v>27</v>
      </c>
      <c r="J153" s="49" t="s">
        <v>71</v>
      </c>
      <c r="K153" s="49" t="s">
        <v>21</v>
      </c>
      <c r="L153" s="49" t="s">
        <v>21</v>
      </c>
      <c r="M153" s="49">
        <v>0</v>
      </c>
      <c r="N153" s="49">
        <v>5</v>
      </c>
      <c r="O153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53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53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53" s="49">
        <v>0</v>
      </c>
      <c r="S153" s="49">
        <v>0</v>
      </c>
      <c r="T153" s="49">
        <v>0</v>
      </c>
      <c r="U153" s="51" t="s">
        <v>21</v>
      </c>
      <c r="V153" s="51" t="s">
        <v>21</v>
      </c>
      <c r="W153" s="51" t="s">
        <v>21</v>
      </c>
      <c r="X153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3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53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53" s="53">
        <v>0</v>
      </c>
      <c r="AB153" s="53">
        <v>0</v>
      </c>
      <c r="AC153" s="54">
        <v>0</v>
      </c>
      <c r="AD153" s="54">
        <v>350</v>
      </c>
      <c r="AE153" s="52" t="s">
        <v>60</v>
      </c>
      <c r="AF153" s="53">
        <v>0</v>
      </c>
      <c r="AG153" s="53">
        <v>202.1</v>
      </c>
      <c r="AH153" s="53">
        <f>IF(ISNUMBER(Tabella2[[#This Row],[Mean RADIAL stress  (MPa)]]), Tabella2[[#This Row],[Mean RADIAL stress  (MPa)]],"")</f>
        <v>0</v>
      </c>
      <c r="AI153" s="53">
        <f>IF(ISNUMBER(Tabella2[[#This Row],[Amplitute RADIAL stress  (MPa)]]), Tabella2[[#This Row],[Amplitute RADIAL stress  (MPa)]],"")</f>
        <v>0</v>
      </c>
      <c r="AJ153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53" s="53">
        <f>IF(ISNUMBER(Tabella2[[#This Row],[Amplitute AXIAL stress  (MPa)]]),    IF(Tabella2[[#This Row],[derived from (AXIAL/BENDING) load]]="AXIAL",Tabella2[[#This Row],[Amplitute AXIAL stress  (MPa)]]*Tabella2[[#This Row],[Area (mm^2)]],"Null"), "")</f>
        <v>6872.2339297276731</v>
      </c>
      <c r="AL153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3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3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53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4960.2802757070094</v>
      </c>
      <c r="AP153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0.5774285714285714</v>
      </c>
      <c r="AQ153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495.00831306150809</v>
      </c>
    </row>
    <row r="154" spans="1:43" ht="20.100000000000001" customHeight="1" x14ac:dyDescent="0.25">
      <c r="A154" s="49" t="s">
        <v>65</v>
      </c>
      <c r="B154" s="49">
        <v>2008</v>
      </c>
      <c r="C154" s="49" t="s">
        <v>67</v>
      </c>
      <c r="D154" s="49" t="s">
        <v>223</v>
      </c>
      <c r="E154" s="49">
        <v>57847</v>
      </c>
      <c r="F154" s="49" t="s">
        <v>20</v>
      </c>
      <c r="G154" s="49" t="s">
        <v>69</v>
      </c>
      <c r="H154" s="49" t="e" vm="33">
        <v>#VALUE!</v>
      </c>
      <c r="I154" s="49" t="s">
        <v>27</v>
      </c>
      <c r="J154" s="49" t="s">
        <v>71</v>
      </c>
      <c r="K154" s="49" t="s">
        <v>21</v>
      </c>
      <c r="L154" s="49" t="s">
        <v>21</v>
      </c>
      <c r="M154" s="49">
        <v>0</v>
      </c>
      <c r="N154" s="49">
        <v>5</v>
      </c>
      <c r="O154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54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54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54" s="49">
        <v>0</v>
      </c>
      <c r="S154" s="49">
        <v>0</v>
      </c>
      <c r="T154" s="49">
        <v>0</v>
      </c>
      <c r="U154" s="51" t="s">
        <v>21</v>
      </c>
      <c r="V154" s="51" t="s">
        <v>21</v>
      </c>
      <c r="W154" s="51" t="s">
        <v>21</v>
      </c>
      <c r="X154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4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54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54" s="53">
        <v>0</v>
      </c>
      <c r="AB154" s="53">
        <v>0</v>
      </c>
      <c r="AC154" s="54">
        <v>0</v>
      </c>
      <c r="AD154" s="54">
        <v>280</v>
      </c>
      <c r="AE154" s="52" t="s">
        <v>60</v>
      </c>
      <c r="AF154" s="53">
        <v>0</v>
      </c>
      <c r="AG154" s="53">
        <v>161.69999999999999</v>
      </c>
      <c r="AH154" s="53">
        <f>IF(ISNUMBER(Tabella2[[#This Row],[Mean RADIAL stress  (MPa)]]), Tabella2[[#This Row],[Mean RADIAL stress  (MPa)]],"")</f>
        <v>0</v>
      </c>
      <c r="AI154" s="53">
        <f>IF(ISNUMBER(Tabella2[[#This Row],[Amplitute RADIAL stress  (MPa)]]), Tabella2[[#This Row],[Amplitute RADIAL stress  (MPa)]],"")</f>
        <v>0</v>
      </c>
      <c r="AJ154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54" s="53">
        <f>IF(ISNUMBER(Tabella2[[#This Row],[Amplitute AXIAL stress  (MPa)]]),    IF(Tabella2[[#This Row],[derived from (AXIAL/BENDING) load]]="AXIAL",Tabella2[[#This Row],[Amplitute AXIAL stress  (MPa)]]*Tabella2[[#This Row],[Area (mm^2)]],"Null"), "")</f>
        <v>5497.7871437821386</v>
      </c>
      <c r="AL154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4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4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54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3968.7150944177311</v>
      </c>
      <c r="AP154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0.57750000000000001</v>
      </c>
      <c r="AQ154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396.03114776492009</v>
      </c>
    </row>
    <row r="155" spans="1:43" ht="20.100000000000001" customHeight="1" x14ac:dyDescent="0.25">
      <c r="A155" s="49" t="s">
        <v>65</v>
      </c>
      <c r="B155" s="49">
        <v>2008</v>
      </c>
      <c r="C155" s="49" t="s">
        <v>67</v>
      </c>
      <c r="D155" s="49" t="s">
        <v>224</v>
      </c>
      <c r="E155" s="49">
        <v>90140</v>
      </c>
      <c r="F155" s="49" t="s">
        <v>20</v>
      </c>
      <c r="G155" s="49" t="s">
        <v>69</v>
      </c>
      <c r="H155" s="49" t="e" vm="33">
        <v>#VALUE!</v>
      </c>
      <c r="I155" s="49" t="s">
        <v>27</v>
      </c>
      <c r="J155" s="49" t="s">
        <v>71</v>
      </c>
      <c r="K155" s="49" t="s">
        <v>21</v>
      </c>
      <c r="L155" s="49" t="s">
        <v>21</v>
      </c>
      <c r="M155" s="49">
        <v>0</v>
      </c>
      <c r="N155" s="49">
        <v>5</v>
      </c>
      <c r="O155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55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55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55" s="49">
        <v>0</v>
      </c>
      <c r="S155" s="49">
        <v>0</v>
      </c>
      <c r="T155" s="49">
        <v>0</v>
      </c>
      <c r="U155" s="51" t="s">
        <v>21</v>
      </c>
      <c r="V155" s="51" t="s">
        <v>21</v>
      </c>
      <c r="W155" s="51" t="s">
        <v>21</v>
      </c>
      <c r="X155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5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55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55" s="53">
        <v>0</v>
      </c>
      <c r="AB155" s="53">
        <v>0</v>
      </c>
      <c r="AC155" s="54">
        <v>0</v>
      </c>
      <c r="AD155" s="54">
        <v>280</v>
      </c>
      <c r="AE155" s="52" t="s">
        <v>60</v>
      </c>
      <c r="AF155" s="53">
        <v>0</v>
      </c>
      <c r="AG155" s="53">
        <v>161.69999999999999</v>
      </c>
      <c r="AH155" s="53">
        <f>IF(ISNUMBER(Tabella2[[#This Row],[Mean RADIAL stress  (MPa)]]), Tabella2[[#This Row],[Mean RADIAL stress  (MPa)]],"")</f>
        <v>0</v>
      </c>
      <c r="AI155" s="53">
        <f>IF(ISNUMBER(Tabella2[[#This Row],[Amplitute RADIAL stress  (MPa)]]), Tabella2[[#This Row],[Amplitute RADIAL stress  (MPa)]],"")</f>
        <v>0</v>
      </c>
      <c r="AJ155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55" s="53">
        <f>IF(ISNUMBER(Tabella2[[#This Row],[Amplitute AXIAL stress  (MPa)]]),    IF(Tabella2[[#This Row],[derived from (AXIAL/BENDING) load]]="AXIAL",Tabella2[[#This Row],[Amplitute AXIAL stress  (MPa)]]*Tabella2[[#This Row],[Area (mm^2)]],"Null"), "")</f>
        <v>5497.7871437821386</v>
      </c>
      <c r="AL155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5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5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55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3968.7150944177311</v>
      </c>
      <c r="AP155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0.57750000000000001</v>
      </c>
      <c r="AQ155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396.03114776492009</v>
      </c>
    </row>
    <row r="156" spans="1:43" ht="20.100000000000001" customHeight="1" x14ac:dyDescent="0.25">
      <c r="A156" s="49" t="s">
        <v>65</v>
      </c>
      <c r="B156" s="49">
        <v>2008</v>
      </c>
      <c r="C156" s="49" t="s">
        <v>67</v>
      </c>
      <c r="D156" s="49" t="s">
        <v>225</v>
      </c>
      <c r="E156" s="49">
        <v>11543</v>
      </c>
      <c r="F156" s="49" t="s">
        <v>20</v>
      </c>
      <c r="G156" s="49" t="s">
        <v>69</v>
      </c>
      <c r="H156" s="49" t="e" vm="33">
        <v>#VALUE!</v>
      </c>
      <c r="I156" s="49" t="s">
        <v>27</v>
      </c>
      <c r="J156" s="49" t="s">
        <v>71</v>
      </c>
      <c r="K156" s="49" t="s">
        <v>21</v>
      </c>
      <c r="L156" s="49" t="s">
        <v>21</v>
      </c>
      <c r="M156" s="49">
        <v>0</v>
      </c>
      <c r="N156" s="49">
        <v>5</v>
      </c>
      <c r="O156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56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56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56" s="49">
        <v>0</v>
      </c>
      <c r="S156" s="49">
        <v>0</v>
      </c>
      <c r="T156" s="49">
        <v>0</v>
      </c>
      <c r="U156" s="51" t="s">
        <v>21</v>
      </c>
      <c r="V156" s="51" t="s">
        <v>21</v>
      </c>
      <c r="W156" s="51" t="s">
        <v>21</v>
      </c>
      <c r="X156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6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56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56" s="53">
        <v>0</v>
      </c>
      <c r="AB156" s="53">
        <v>0</v>
      </c>
      <c r="AC156" s="54">
        <v>0</v>
      </c>
      <c r="AD156" s="54">
        <v>370</v>
      </c>
      <c r="AE156" s="52" t="s">
        <v>60</v>
      </c>
      <c r="AF156" s="53">
        <v>0</v>
      </c>
      <c r="AG156" s="53">
        <v>213.6</v>
      </c>
      <c r="AH156" s="53">
        <f>IF(ISNUMBER(Tabella2[[#This Row],[Mean RADIAL stress  (MPa)]]), Tabella2[[#This Row],[Mean RADIAL stress  (MPa)]],"")</f>
        <v>0</v>
      </c>
      <c r="AI156" s="53">
        <f>IF(ISNUMBER(Tabella2[[#This Row],[Amplitute RADIAL stress  (MPa)]]), Tabella2[[#This Row],[Amplitute RADIAL stress  (MPa)]],"")</f>
        <v>0</v>
      </c>
      <c r="AJ156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56" s="53">
        <f>IF(ISNUMBER(Tabella2[[#This Row],[Amplitute AXIAL stress  (MPa)]]),    IF(Tabella2[[#This Row],[derived from (AXIAL/BENDING) load]]="AXIAL",Tabella2[[#This Row],[Amplitute AXIAL stress  (MPa)]]*Tabella2[[#This Row],[Area (mm^2)]],"Null"), "")</f>
        <v>7264.9330114263967</v>
      </c>
      <c r="AL156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6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6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56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5242.532740677967</v>
      </c>
      <c r="AP156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0.57729729729729728</v>
      </c>
      <c r="AQ156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523.23501411889481</v>
      </c>
    </row>
    <row r="157" spans="1:43" ht="20.100000000000001" customHeight="1" x14ac:dyDescent="0.25">
      <c r="A157" s="49" t="s">
        <v>65</v>
      </c>
      <c r="B157" s="49">
        <v>2008</v>
      </c>
      <c r="C157" s="49" t="s">
        <v>67</v>
      </c>
      <c r="D157" s="49" t="s">
        <v>226</v>
      </c>
      <c r="E157" s="49">
        <v>15717</v>
      </c>
      <c r="F157" s="49" t="s">
        <v>20</v>
      </c>
      <c r="G157" s="49" t="s">
        <v>69</v>
      </c>
      <c r="H157" s="49" t="e" vm="33">
        <v>#VALUE!</v>
      </c>
      <c r="I157" s="49" t="s">
        <v>27</v>
      </c>
      <c r="J157" s="49" t="s">
        <v>71</v>
      </c>
      <c r="K157" s="49" t="s">
        <v>21</v>
      </c>
      <c r="L157" s="49" t="s">
        <v>21</v>
      </c>
      <c r="M157" s="49">
        <v>0</v>
      </c>
      <c r="N157" s="49">
        <v>5</v>
      </c>
      <c r="O157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57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57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57" s="49">
        <v>0</v>
      </c>
      <c r="S157" s="49">
        <v>0</v>
      </c>
      <c r="T157" s="49">
        <v>0</v>
      </c>
      <c r="U157" s="51" t="s">
        <v>21</v>
      </c>
      <c r="V157" s="51" t="s">
        <v>21</v>
      </c>
      <c r="W157" s="51" t="s">
        <v>21</v>
      </c>
      <c r="X157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7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57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57" s="53">
        <v>0</v>
      </c>
      <c r="AB157" s="53">
        <v>0</v>
      </c>
      <c r="AC157" s="54">
        <v>0</v>
      </c>
      <c r="AD157" s="54">
        <v>370</v>
      </c>
      <c r="AE157" s="52" t="s">
        <v>60</v>
      </c>
      <c r="AF157" s="53">
        <v>0</v>
      </c>
      <c r="AG157" s="53">
        <v>213.6</v>
      </c>
      <c r="AH157" s="53">
        <f>IF(ISNUMBER(Tabella2[[#This Row],[Mean RADIAL stress  (MPa)]]), Tabella2[[#This Row],[Mean RADIAL stress  (MPa)]],"")</f>
        <v>0</v>
      </c>
      <c r="AI157" s="53">
        <f>IF(ISNUMBER(Tabella2[[#This Row],[Amplitute RADIAL stress  (MPa)]]), Tabella2[[#This Row],[Amplitute RADIAL stress  (MPa)]],"")</f>
        <v>0</v>
      </c>
      <c r="AJ157" s="53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57" s="53">
        <f>IF(ISNUMBER(Tabella2[[#This Row],[Amplitute AXIAL stress  (MPa)]]),    IF(Tabella2[[#This Row],[derived from (AXIAL/BENDING) load]]="AXIAL",Tabella2[[#This Row],[Amplitute AXIAL stress  (MPa)]]*Tabella2[[#This Row],[Area (mm^2)]],"Null"), "")</f>
        <v>7264.9330114263967</v>
      </c>
      <c r="AL157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7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7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57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5242.532740677967</v>
      </c>
      <c r="AP157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0.57729729729729728</v>
      </c>
      <c r="AQ157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523.23501411889481</v>
      </c>
    </row>
    <row r="158" spans="1:43" ht="20.100000000000001" customHeight="1" x14ac:dyDescent="0.25">
      <c r="A158" s="49" t="s">
        <v>65</v>
      </c>
      <c r="B158" s="49">
        <v>2008</v>
      </c>
      <c r="C158" s="49" t="s">
        <v>67</v>
      </c>
      <c r="D158" s="49" t="s">
        <v>227</v>
      </c>
      <c r="E158" s="49">
        <v>60384</v>
      </c>
      <c r="F158" s="49" t="s">
        <v>20</v>
      </c>
      <c r="G158" s="49" t="s">
        <v>69</v>
      </c>
      <c r="H158" s="49" t="e" vm="33">
        <v>#VALUE!</v>
      </c>
      <c r="I158" s="49" t="s">
        <v>27</v>
      </c>
      <c r="J158" s="49" t="s">
        <v>71</v>
      </c>
      <c r="K158" s="49" t="s">
        <v>21</v>
      </c>
      <c r="L158" s="49" t="s">
        <v>21</v>
      </c>
      <c r="M158" s="49">
        <v>0</v>
      </c>
      <c r="N158" s="49">
        <v>5</v>
      </c>
      <c r="O158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58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58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58" s="49">
        <v>0</v>
      </c>
      <c r="S158" s="49">
        <v>0</v>
      </c>
      <c r="T158" s="49">
        <v>0</v>
      </c>
      <c r="U158" s="51" t="s">
        <v>21</v>
      </c>
      <c r="V158" s="51" t="s">
        <v>21</v>
      </c>
      <c r="W158" s="51" t="s">
        <v>21</v>
      </c>
      <c r="X158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8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58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58" s="53">
        <v>0</v>
      </c>
      <c r="AB158" s="53">
        <v>0</v>
      </c>
      <c r="AC158" s="54">
        <v>250</v>
      </c>
      <c r="AD158" s="54">
        <v>250</v>
      </c>
      <c r="AE158" s="52" t="s">
        <v>60</v>
      </c>
      <c r="AF158" s="53">
        <v>144.30000000000001</v>
      </c>
      <c r="AG158" s="53">
        <v>144.30000000000001</v>
      </c>
      <c r="AH158" s="53">
        <f>IF(ISNUMBER(Tabella2[[#This Row],[Mean RADIAL stress  (MPa)]]), Tabella2[[#This Row],[Mean RADIAL stress  (MPa)]],"")</f>
        <v>0</v>
      </c>
      <c r="AI158" s="53">
        <f>IF(ISNUMBER(Tabella2[[#This Row],[Amplitute RADIAL stress  (MPa)]]), Tabella2[[#This Row],[Amplitute RADIAL stress  (MPa)]],"")</f>
        <v>0</v>
      </c>
      <c r="AJ158" s="53">
        <f>IF(ISNUMBER(Tabella2[[#This Row],[Mean AXIAL stress  (MPa)]]), IF(Tabella2[[#This Row],[derived from (AXIAL/BENDING) load]]="AXIAL",Tabella2[[#This Row],[Mean AXIAL stress  (MPa)]]*Tabella2[[#This Row],[Area (mm^2)]],"Null"), "")</f>
        <v>4908.7385212340523</v>
      </c>
      <c r="AK158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4908.7385212340523</v>
      </c>
      <c r="AL158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8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8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3541.6548430703688</v>
      </c>
      <c r="AO158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3541.6548430703688</v>
      </c>
      <c r="AP158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0.57720000000000005</v>
      </c>
      <c r="AQ158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353.50738323265614</v>
      </c>
    </row>
    <row r="159" spans="1:43" ht="20.100000000000001" customHeight="1" x14ac:dyDescent="0.25">
      <c r="A159" s="49" t="s">
        <v>65</v>
      </c>
      <c r="B159" s="49">
        <v>2008</v>
      </c>
      <c r="C159" s="49" t="s">
        <v>67</v>
      </c>
      <c r="D159" s="49" t="s">
        <v>228</v>
      </c>
      <c r="E159" s="49">
        <v>340599</v>
      </c>
      <c r="F159" s="49" t="s">
        <v>20</v>
      </c>
      <c r="G159" s="49" t="s">
        <v>69</v>
      </c>
      <c r="H159" s="49" t="e" vm="33">
        <v>#VALUE!</v>
      </c>
      <c r="I159" s="49" t="s">
        <v>27</v>
      </c>
      <c r="J159" s="49" t="s">
        <v>71</v>
      </c>
      <c r="K159" s="49" t="s">
        <v>21</v>
      </c>
      <c r="L159" s="49" t="s">
        <v>21</v>
      </c>
      <c r="M159" s="49">
        <v>0</v>
      </c>
      <c r="N159" s="49">
        <v>5</v>
      </c>
      <c r="O159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59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59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59" s="49">
        <v>0</v>
      </c>
      <c r="S159" s="49">
        <v>0</v>
      </c>
      <c r="T159" s="49">
        <v>0</v>
      </c>
      <c r="U159" s="51" t="s">
        <v>21</v>
      </c>
      <c r="V159" s="51" t="s">
        <v>21</v>
      </c>
      <c r="W159" s="51" t="s">
        <v>21</v>
      </c>
      <c r="X159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9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59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59" s="53">
        <v>0</v>
      </c>
      <c r="AB159" s="53">
        <v>0</v>
      </c>
      <c r="AC159" s="54">
        <v>240</v>
      </c>
      <c r="AD159" s="54">
        <v>240</v>
      </c>
      <c r="AE159" s="52" t="s">
        <v>60</v>
      </c>
      <c r="AF159" s="53">
        <v>138.6</v>
      </c>
      <c r="AG159" s="53">
        <v>138.6</v>
      </c>
      <c r="AH159" s="53">
        <f>IF(ISNUMBER(Tabella2[[#This Row],[Mean RADIAL stress  (MPa)]]), Tabella2[[#This Row],[Mean RADIAL stress  (MPa)]],"")</f>
        <v>0</v>
      </c>
      <c r="AI159" s="53">
        <f>IF(ISNUMBER(Tabella2[[#This Row],[Amplitute RADIAL stress  (MPa)]]), Tabella2[[#This Row],[Amplitute RADIAL stress  (MPa)]],"")</f>
        <v>0</v>
      </c>
      <c r="AJ159" s="53">
        <f>IF(ISNUMBER(Tabella2[[#This Row],[Mean AXIAL stress  (MPa)]]), IF(Tabella2[[#This Row],[derived from (AXIAL/BENDING) load]]="AXIAL",Tabella2[[#This Row],[Mean AXIAL stress  (MPa)]]*Tabella2[[#This Row],[Area (mm^2)]],"Null"), "")</f>
        <v>4712.3889803846896</v>
      </c>
      <c r="AK159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4712.3889803846896</v>
      </c>
      <c r="AL159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9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9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3401.7557952151974</v>
      </c>
      <c r="AO159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3401.7557952151974</v>
      </c>
      <c r="AP159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0.57750000000000001</v>
      </c>
      <c r="AQ159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339.45526951278868</v>
      </c>
    </row>
    <row r="160" spans="1:43" ht="20.100000000000001" customHeight="1" x14ac:dyDescent="0.25">
      <c r="A160" s="49" t="s">
        <v>65</v>
      </c>
      <c r="B160" s="49">
        <v>2008</v>
      </c>
      <c r="C160" s="49" t="s">
        <v>67</v>
      </c>
      <c r="D160" s="49" t="s">
        <v>229</v>
      </c>
      <c r="E160" s="49">
        <v>316599</v>
      </c>
      <c r="F160" s="49" t="s">
        <v>20</v>
      </c>
      <c r="G160" s="49" t="s">
        <v>69</v>
      </c>
      <c r="H160" s="49" t="e" vm="33">
        <v>#VALUE!</v>
      </c>
      <c r="I160" s="49" t="s">
        <v>27</v>
      </c>
      <c r="J160" s="49" t="s">
        <v>71</v>
      </c>
      <c r="K160" s="49" t="s">
        <v>21</v>
      </c>
      <c r="L160" s="49" t="s">
        <v>21</v>
      </c>
      <c r="M160" s="49">
        <v>0</v>
      </c>
      <c r="N160" s="49">
        <v>5</v>
      </c>
      <c r="O160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60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60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60" s="49">
        <v>0</v>
      </c>
      <c r="S160" s="49">
        <v>0</v>
      </c>
      <c r="T160" s="49">
        <v>0</v>
      </c>
      <c r="U160" s="51" t="s">
        <v>21</v>
      </c>
      <c r="V160" s="51" t="s">
        <v>21</v>
      </c>
      <c r="W160" s="51" t="s">
        <v>21</v>
      </c>
      <c r="X160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60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60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60" s="53">
        <v>0</v>
      </c>
      <c r="AB160" s="53">
        <v>0</v>
      </c>
      <c r="AC160" s="54">
        <v>230</v>
      </c>
      <c r="AD160" s="54">
        <v>230</v>
      </c>
      <c r="AE160" s="52" t="s">
        <v>60</v>
      </c>
      <c r="AF160" s="53">
        <v>132.80000000000001</v>
      </c>
      <c r="AG160" s="53">
        <v>132.80000000000001</v>
      </c>
      <c r="AH160" s="53">
        <f>IF(ISNUMBER(Tabella2[[#This Row],[Mean RADIAL stress  (MPa)]]), Tabella2[[#This Row],[Mean RADIAL stress  (MPa)]],"")</f>
        <v>0</v>
      </c>
      <c r="AI160" s="53">
        <f>IF(ISNUMBER(Tabella2[[#This Row],[Amplitute RADIAL stress  (MPa)]]), Tabella2[[#This Row],[Amplitute RADIAL stress  (MPa)]],"")</f>
        <v>0</v>
      </c>
      <c r="AJ160" s="53">
        <f>IF(ISNUMBER(Tabella2[[#This Row],[Mean AXIAL stress  (MPa)]]), IF(Tabella2[[#This Row],[derived from (AXIAL/BENDING) load]]="AXIAL",Tabella2[[#This Row],[Mean AXIAL stress  (MPa)]]*Tabella2[[#This Row],[Area (mm^2)]],"Null"), "")</f>
        <v>4516.0394395353278</v>
      </c>
      <c r="AK160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4516.0394395353278</v>
      </c>
      <c r="AL160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60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60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3259.4023780994107</v>
      </c>
      <c r="AO160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3259.4023780994107</v>
      </c>
      <c r="AP160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0.57739130434782615</v>
      </c>
      <c r="AQ160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325.28067879909503</v>
      </c>
    </row>
    <row r="161" spans="1:43" ht="20.100000000000001" customHeight="1" x14ac:dyDescent="0.25">
      <c r="A161" s="49" t="s">
        <v>65</v>
      </c>
      <c r="B161" s="49">
        <v>2008</v>
      </c>
      <c r="C161" s="49" t="s">
        <v>67</v>
      </c>
      <c r="D161" s="49" t="s">
        <v>230</v>
      </c>
      <c r="E161" s="49">
        <v>488018</v>
      </c>
      <c r="F161" s="49" t="s">
        <v>20</v>
      </c>
      <c r="G161" s="49" t="s">
        <v>69</v>
      </c>
      <c r="H161" s="49" t="e" vm="33">
        <v>#VALUE!</v>
      </c>
      <c r="I161" s="49" t="s">
        <v>27</v>
      </c>
      <c r="J161" s="49" t="s">
        <v>71</v>
      </c>
      <c r="K161" s="49" t="s">
        <v>21</v>
      </c>
      <c r="L161" s="49" t="s">
        <v>21</v>
      </c>
      <c r="M161" s="49">
        <v>0</v>
      </c>
      <c r="N161" s="49">
        <v>5</v>
      </c>
      <c r="O161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61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61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61" s="49">
        <v>0</v>
      </c>
      <c r="S161" s="49">
        <v>0</v>
      </c>
      <c r="T161" s="49">
        <v>0</v>
      </c>
      <c r="U161" s="51" t="s">
        <v>21</v>
      </c>
      <c r="V161" s="51" t="s">
        <v>21</v>
      </c>
      <c r="W161" s="51" t="s">
        <v>21</v>
      </c>
      <c r="X161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61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61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61" s="53">
        <v>0</v>
      </c>
      <c r="AB161" s="53">
        <v>0</v>
      </c>
      <c r="AC161" s="54">
        <v>220</v>
      </c>
      <c r="AD161" s="54">
        <v>220</v>
      </c>
      <c r="AE161" s="52" t="s">
        <v>60</v>
      </c>
      <c r="AF161" s="53">
        <v>127</v>
      </c>
      <c r="AG161" s="53">
        <v>127</v>
      </c>
      <c r="AH161" s="53">
        <f>IF(ISNUMBER(Tabella2[[#This Row],[Mean RADIAL stress  (MPa)]]), Tabella2[[#This Row],[Mean RADIAL stress  (MPa)]],"")</f>
        <v>0</v>
      </c>
      <c r="AI161" s="53">
        <f>IF(ISNUMBER(Tabella2[[#This Row],[Amplitute RADIAL stress  (MPa)]]), Tabella2[[#This Row],[Amplitute RADIAL stress  (MPa)]],"")</f>
        <v>0</v>
      </c>
      <c r="AJ161" s="53">
        <f>IF(ISNUMBER(Tabella2[[#This Row],[Mean AXIAL stress  (MPa)]]), IF(Tabella2[[#This Row],[derived from (AXIAL/BENDING) load]]="AXIAL",Tabella2[[#This Row],[Mean AXIAL stress  (MPa)]]*Tabella2[[#This Row],[Area (mm^2)]],"Null"), "")</f>
        <v>4319.689898685966</v>
      </c>
      <c r="AK161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4319.689898685966</v>
      </c>
      <c r="AL161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61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61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3117.0489609836231</v>
      </c>
      <c r="AO161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3117.0489609836231</v>
      </c>
      <c r="AP161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0.57727272727272727</v>
      </c>
      <c r="AQ161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311.10609122934255</v>
      </c>
    </row>
    <row r="162" spans="1:43" ht="20.100000000000001" customHeight="1" x14ac:dyDescent="0.25">
      <c r="A162" s="49" t="s">
        <v>65</v>
      </c>
      <c r="B162" s="49">
        <v>2008</v>
      </c>
      <c r="C162" s="49" t="s">
        <v>67</v>
      </c>
      <c r="D162" s="49" t="s">
        <v>231</v>
      </c>
      <c r="E162" s="49">
        <v>422875</v>
      </c>
      <c r="F162" s="49" t="s">
        <v>20</v>
      </c>
      <c r="G162" s="49" t="s">
        <v>69</v>
      </c>
      <c r="H162" s="49" t="e" vm="33">
        <v>#VALUE!</v>
      </c>
      <c r="I162" s="49" t="s">
        <v>27</v>
      </c>
      <c r="J162" s="49" t="s">
        <v>71</v>
      </c>
      <c r="K162" s="49" t="s">
        <v>21</v>
      </c>
      <c r="L162" s="49" t="s">
        <v>21</v>
      </c>
      <c r="M162" s="49">
        <v>0</v>
      </c>
      <c r="N162" s="49">
        <v>5</v>
      </c>
      <c r="O162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62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62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62" s="49">
        <v>0</v>
      </c>
      <c r="S162" s="49">
        <v>0</v>
      </c>
      <c r="T162" s="49">
        <v>0</v>
      </c>
      <c r="U162" s="51" t="s">
        <v>21</v>
      </c>
      <c r="V162" s="51" t="s">
        <v>21</v>
      </c>
      <c r="W162" s="51" t="s">
        <v>21</v>
      </c>
      <c r="X162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62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62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62" s="53">
        <v>0</v>
      </c>
      <c r="AB162" s="53">
        <v>0</v>
      </c>
      <c r="AC162" s="54">
        <v>245</v>
      </c>
      <c r="AD162" s="54">
        <v>245</v>
      </c>
      <c r="AE162" s="52" t="s">
        <v>60</v>
      </c>
      <c r="AF162" s="53">
        <v>141.5</v>
      </c>
      <c r="AG162" s="53">
        <v>141.5</v>
      </c>
      <c r="AH162" s="53">
        <f>IF(ISNUMBER(Tabella2[[#This Row],[Mean RADIAL stress  (MPa)]]), Tabella2[[#This Row],[Mean RADIAL stress  (MPa)]],"")</f>
        <v>0</v>
      </c>
      <c r="AI162" s="53">
        <f>IF(ISNUMBER(Tabella2[[#This Row],[Amplitute RADIAL stress  (MPa)]]), Tabella2[[#This Row],[Amplitute RADIAL stress  (MPa)]],"")</f>
        <v>0</v>
      </c>
      <c r="AJ162" s="53">
        <f>IF(ISNUMBER(Tabella2[[#This Row],[Mean AXIAL stress  (MPa)]]), IF(Tabella2[[#This Row],[derived from (AXIAL/BENDING) load]]="AXIAL",Tabella2[[#This Row],[Mean AXIAL stress  (MPa)]]*Tabella2[[#This Row],[Area (mm^2)]],"Null"), "")</f>
        <v>4810.5637508093705</v>
      </c>
      <c r="AK162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4810.5637508093705</v>
      </c>
      <c r="AL162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62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62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3472.9325037730914</v>
      </c>
      <c r="AO162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3472.9325037730914</v>
      </c>
      <c r="AP162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0.57755102040816331</v>
      </c>
      <c r="AQ162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346.5425659280545</v>
      </c>
    </row>
    <row r="163" spans="1:43" ht="20.100000000000001" customHeight="1" x14ac:dyDescent="0.25">
      <c r="A163" s="49" t="s">
        <v>65</v>
      </c>
      <c r="B163" s="49">
        <v>2008</v>
      </c>
      <c r="C163" s="49" t="s">
        <v>67</v>
      </c>
      <c r="D163" s="49" t="s">
        <v>232</v>
      </c>
      <c r="E163" s="49">
        <v>48347</v>
      </c>
      <c r="F163" s="49" t="s">
        <v>20</v>
      </c>
      <c r="G163" s="49" t="s">
        <v>69</v>
      </c>
      <c r="H163" s="49" t="e" vm="33">
        <v>#VALUE!</v>
      </c>
      <c r="I163" s="49" t="s">
        <v>27</v>
      </c>
      <c r="J163" s="49" t="s">
        <v>71</v>
      </c>
      <c r="K163" s="49" t="s">
        <v>21</v>
      </c>
      <c r="L163" s="49" t="s">
        <v>21</v>
      </c>
      <c r="M163" s="49">
        <v>0</v>
      </c>
      <c r="N163" s="49">
        <v>5</v>
      </c>
      <c r="O163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63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63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63" s="49">
        <v>0</v>
      </c>
      <c r="S163" s="49">
        <v>0</v>
      </c>
      <c r="T163" s="49">
        <v>0</v>
      </c>
      <c r="U163" s="51" t="s">
        <v>21</v>
      </c>
      <c r="V163" s="51" t="s">
        <v>21</v>
      </c>
      <c r="W163" s="51" t="s">
        <v>21</v>
      </c>
      <c r="X163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63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63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63" s="53">
        <v>0</v>
      </c>
      <c r="AB163" s="53">
        <v>0</v>
      </c>
      <c r="AC163" s="54">
        <v>245</v>
      </c>
      <c r="AD163" s="54">
        <v>245</v>
      </c>
      <c r="AE163" s="52" t="s">
        <v>60</v>
      </c>
      <c r="AF163" s="53">
        <v>141.5</v>
      </c>
      <c r="AG163" s="53">
        <v>141.5</v>
      </c>
      <c r="AH163" s="53">
        <f>IF(ISNUMBER(Tabella2[[#This Row],[Mean RADIAL stress  (MPa)]]), Tabella2[[#This Row],[Mean RADIAL stress  (MPa)]],"")</f>
        <v>0</v>
      </c>
      <c r="AI163" s="53">
        <f>IF(ISNUMBER(Tabella2[[#This Row],[Amplitute RADIAL stress  (MPa)]]), Tabella2[[#This Row],[Amplitute RADIAL stress  (MPa)]],"")</f>
        <v>0</v>
      </c>
      <c r="AJ163" s="53">
        <f>IF(ISNUMBER(Tabella2[[#This Row],[Mean AXIAL stress  (MPa)]]), IF(Tabella2[[#This Row],[derived from (AXIAL/BENDING) load]]="AXIAL",Tabella2[[#This Row],[Mean AXIAL stress  (MPa)]]*Tabella2[[#This Row],[Area (mm^2)]],"Null"), "")</f>
        <v>4810.5637508093705</v>
      </c>
      <c r="AK163" s="53">
        <f>IF(ISNUMBER(Tabella2[[#This Row],[Amplitute AXIAL stress  (MPa)]]),    IF(Tabella2[[#This Row],[derived from (AXIAL/BENDING) load]]="AXIAL",Tabella2[[#This Row],[Amplitute AXIAL stress  (MPa)]]*Tabella2[[#This Row],[Area (mm^2)]],"Null"), "")</f>
        <v>4810.5637508093705</v>
      </c>
      <c r="AL163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63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63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3472.9325037730914</v>
      </c>
      <c r="AO163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3472.9325037730914</v>
      </c>
      <c r="AP163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0.57755102040816331</v>
      </c>
      <c r="AQ163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346.5425659280545</v>
      </c>
    </row>
    <row r="164" spans="1:43" ht="20.100000000000001" customHeight="1" x14ac:dyDescent="0.25">
      <c r="A164" s="49" t="s">
        <v>65</v>
      </c>
      <c r="B164" s="49">
        <v>2008</v>
      </c>
      <c r="C164" s="49" t="s">
        <v>67</v>
      </c>
      <c r="D164" s="49" t="s">
        <v>233</v>
      </c>
      <c r="E164" s="49">
        <v>721275</v>
      </c>
      <c r="F164" s="49" t="s">
        <v>20</v>
      </c>
      <c r="G164" s="49" t="s">
        <v>69</v>
      </c>
      <c r="H164" s="49" t="e" vm="33">
        <v>#VALUE!</v>
      </c>
      <c r="I164" s="49" t="s">
        <v>27</v>
      </c>
      <c r="J164" s="49" t="s">
        <v>71</v>
      </c>
      <c r="K164" s="49" t="s">
        <v>21</v>
      </c>
      <c r="L164" s="49" t="s">
        <v>21</v>
      </c>
      <c r="M164" s="49">
        <v>0</v>
      </c>
      <c r="N164" s="49">
        <v>5</v>
      </c>
      <c r="O164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64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64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64" s="49">
        <v>0</v>
      </c>
      <c r="S164" s="49">
        <v>0</v>
      </c>
      <c r="T164" s="49">
        <v>0</v>
      </c>
      <c r="U164" s="51" t="s">
        <v>21</v>
      </c>
      <c r="V164" s="51" t="s">
        <v>21</v>
      </c>
      <c r="W164" s="51" t="s">
        <v>21</v>
      </c>
      <c r="X164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64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64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64" s="53">
        <v>0</v>
      </c>
      <c r="AB164" s="53">
        <v>0</v>
      </c>
      <c r="AC164" s="54">
        <v>200</v>
      </c>
      <c r="AD164" s="54">
        <v>200</v>
      </c>
      <c r="AE164" s="52" t="s">
        <v>60</v>
      </c>
      <c r="AF164" s="53">
        <v>115.5</v>
      </c>
      <c r="AG164" s="53">
        <v>115.5</v>
      </c>
      <c r="AH164" s="53">
        <f>IF(ISNUMBER(Tabella2[[#This Row],[Mean RADIAL stress  (MPa)]]), Tabella2[[#This Row],[Mean RADIAL stress  (MPa)]],"")</f>
        <v>0</v>
      </c>
      <c r="AI164" s="53">
        <f>IF(ISNUMBER(Tabella2[[#This Row],[Amplitute RADIAL stress  (MPa)]]), Tabella2[[#This Row],[Amplitute RADIAL stress  (MPa)]],"")</f>
        <v>0</v>
      </c>
      <c r="AJ164" s="53">
        <f>IF(ISNUMBER(Tabella2[[#This Row],[Mean AXIAL stress  (MPa)]]), IF(Tabella2[[#This Row],[derived from (AXIAL/BENDING) load]]="AXIAL",Tabella2[[#This Row],[Mean AXIAL stress  (MPa)]]*Tabella2[[#This Row],[Area (mm^2)]],"Null"), "")</f>
        <v>3926.9908169872415</v>
      </c>
      <c r="AK164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3926.9908169872415</v>
      </c>
      <c r="AL164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64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64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2834.7964960126651</v>
      </c>
      <c r="AO164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2834.7964960126651</v>
      </c>
      <c r="AP164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0.57750000000000001</v>
      </c>
      <c r="AQ164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282.87939126065726</v>
      </c>
    </row>
    <row r="165" spans="1:43" ht="20.100000000000001" customHeight="1" x14ac:dyDescent="0.25">
      <c r="A165" s="49" t="s">
        <v>65</v>
      </c>
      <c r="B165" s="49">
        <v>2008</v>
      </c>
      <c r="C165" s="49" t="s">
        <v>67</v>
      </c>
      <c r="D165" s="49" t="s">
        <v>234</v>
      </c>
      <c r="E165" s="49">
        <v>231414</v>
      </c>
      <c r="F165" s="49" t="s">
        <v>20</v>
      </c>
      <c r="G165" s="49" t="s">
        <v>69</v>
      </c>
      <c r="H165" s="49" t="e" vm="33">
        <v>#VALUE!</v>
      </c>
      <c r="I165" s="49" t="s">
        <v>27</v>
      </c>
      <c r="J165" s="49" t="s">
        <v>71</v>
      </c>
      <c r="K165" s="49" t="s">
        <v>21</v>
      </c>
      <c r="L165" s="49" t="s">
        <v>21</v>
      </c>
      <c r="M165" s="49">
        <v>0</v>
      </c>
      <c r="N165" s="49">
        <v>5</v>
      </c>
      <c r="O165" s="51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65" s="51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65" s="51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65" s="49">
        <v>0</v>
      </c>
      <c r="S165" s="49">
        <v>0</v>
      </c>
      <c r="T165" s="49">
        <v>0</v>
      </c>
      <c r="U165" s="51" t="s">
        <v>21</v>
      </c>
      <c r="V165" s="51" t="s">
        <v>21</v>
      </c>
      <c r="W165" s="51" t="s">
        <v>21</v>
      </c>
      <c r="X165" s="55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65" s="55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165" s="55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165" s="53">
        <v>0</v>
      </c>
      <c r="AB165" s="53">
        <v>0</v>
      </c>
      <c r="AC165" s="54">
        <v>200</v>
      </c>
      <c r="AD165" s="54">
        <v>200</v>
      </c>
      <c r="AE165" s="52" t="s">
        <v>60</v>
      </c>
      <c r="AF165" s="53">
        <v>115.5</v>
      </c>
      <c r="AG165" s="53">
        <v>115.5</v>
      </c>
      <c r="AH165" s="53">
        <f>IF(ISNUMBER(Tabella2[[#This Row],[Mean RADIAL stress  (MPa)]]), Tabella2[[#This Row],[Mean RADIAL stress  (MPa)]],"")</f>
        <v>0</v>
      </c>
      <c r="AI165" s="53">
        <f>IF(ISNUMBER(Tabella2[[#This Row],[Amplitute RADIAL stress  (MPa)]]), Tabella2[[#This Row],[Amplitute RADIAL stress  (MPa)]],"")</f>
        <v>0</v>
      </c>
      <c r="AJ165" s="53">
        <f>IF(ISNUMBER(Tabella2[[#This Row],[Mean AXIAL stress  (MPa)]]), IF(Tabella2[[#This Row],[derived from (AXIAL/BENDING) load]]="AXIAL",Tabella2[[#This Row],[Mean AXIAL stress  (MPa)]]*Tabella2[[#This Row],[Area (mm^2)]],"Null"), "")</f>
        <v>3926.9908169872415</v>
      </c>
      <c r="AK165" s="53">
        <f>IF(ISNUMBER(Tabella2[[#This Row],[Amplitute AXIAL stress  (MPa)]]),    IF(Tabella2[[#This Row],[derived from (AXIAL/BENDING) load]]="AXIAL",Tabella2[[#This Row],[Amplitute AXIAL stress  (MPa)]]*Tabella2[[#This Row],[Area (mm^2)]],"Null"), "")</f>
        <v>3926.9908169872415</v>
      </c>
      <c r="AL165" s="53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65" s="53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65" s="53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2834.7964960126651</v>
      </c>
      <c r="AO165" s="53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2834.7964960126651</v>
      </c>
      <c r="AP165" s="5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0.57750000000000001</v>
      </c>
      <c r="AQ165" s="5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282.87939126065726</v>
      </c>
    </row>
    <row r="166" spans="1:43" x14ac:dyDescent="0.25">
      <c r="O166" s="51"/>
      <c r="P166" s="51"/>
      <c r="AG166" s="51"/>
    </row>
    <row r="167" spans="1:43" x14ac:dyDescent="0.25">
      <c r="O167" s="51"/>
      <c r="P167" s="51"/>
      <c r="AG167" s="51"/>
    </row>
    <row r="168" spans="1:43" x14ac:dyDescent="0.25">
      <c r="O168" s="51"/>
      <c r="P168" s="51"/>
      <c r="AG168" s="51"/>
    </row>
    <row r="169" spans="1:43" x14ac:dyDescent="0.25">
      <c r="O169" s="51"/>
      <c r="P169" s="51"/>
      <c r="AG169" s="51"/>
    </row>
    <row r="170" spans="1:43" x14ac:dyDescent="0.25">
      <c r="O170" s="51"/>
      <c r="P170" s="51"/>
      <c r="AG170" s="51"/>
    </row>
    <row r="171" spans="1:43" x14ac:dyDescent="0.25">
      <c r="O171" s="51"/>
      <c r="P171" s="51"/>
      <c r="AG171" s="51"/>
    </row>
    <row r="172" spans="1:43" x14ac:dyDescent="0.25">
      <c r="O172" s="51"/>
      <c r="P172" s="51"/>
      <c r="AG172" s="51"/>
    </row>
    <row r="173" spans="1:43" x14ac:dyDescent="0.25">
      <c r="O173" s="51"/>
      <c r="P173" s="51"/>
      <c r="AG173" s="51"/>
    </row>
    <row r="174" spans="1:43" x14ac:dyDescent="0.25">
      <c r="O174" s="51"/>
      <c r="P174" s="51"/>
      <c r="AG174" s="51"/>
    </row>
    <row r="175" spans="1:43" x14ac:dyDescent="0.25">
      <c r="O175" s="51"/>
      <c r="P175" s="51"/>
      <c r="AG175" s="51"/>
    </row>
    <row r="176" spans="1:43" x14ac:dyDescent="0.25">
      <c r="O176" s="51"/>
      <c r="P176" s="51"/>
      <c r="AG176" s="51"/>
    </row>
    <row r="177" spans="15:33" x14ac:dyDescent="0.25">
      <c r="O177" s="51"/>
      <c r="P177" s="51"/>
      <c r="AG177" s="51"/>
    </row>
    <row r="178" spans="15:33" x14ac:dyDescent="0.25">
      <c r="O178" s="51"/>
      <c r="P178" s="51"/>
      <c r="AG178" s="51"/>
    </row>
    <row r="179" spans="15:33" x14ac:dyDescent="0.25">
      <c r="O179" s="51"/>
      <c r="P179" s="51"/>
      <c r="AG179" s="51"/>
    </row>
    <row r="180" spans="15:33" x14ac:dyDescent="0.25">
      <c r="O180" s="51"/>
      <c r="P180" s="51"/>
      <c r="AG180" s="51"/>
    </row>
    <row r="181" spans="15:33" x14ac:dyDescent="0.25">
      <c r="O181" s="51"/>
      <c r="P181" s="51"/>
      <c r="AG181" s="51"/>
    </row>
    <row r="182" spans="15:33" x14ac:dyDescent="0.25">
      <c r="O182" s="51"/>
      <c r="P182" s="51"/>
      <c r="AG182" s="51"/>
    </row>
    <row r="183" spans="15:33" x14ac:dyDescent="0.25">
      <c r="O183" s="51"/>
      <c r="P183" s="51"/>
      <c r="AG183" s="51"/>
    </row>
    <row r="184" spans="15:33" x14ac:dyDescent="0.25">
      <c r="O184" s="51"/>
      <c r="P184" s="51"/>
      <c r="AG184" s="51"/>
    </row>
    <row r="185" spans="15:33" x14ac:dyDescent="0.25">
      <c r="O185" s="51"/>
      <c r="P185" s="51"/>
      <c r="AG185" s="51"/>
    </row>
    <row r="186" spans="15:33" x14ac:dyDescent="0.25">
      <c r="O186" s="51"/>
      <c r="P186" s="51"/>
      <c r="AG186" s="51"/>
    </row>
    <row r="187" spans="15:33" x14ac:dyDescent="0.25">
      <c r="O187" s="51"/>
      <c r="P187" s="51"/>
      <c r="AG187" s="51"/>
    </row>
    <row r="188" spans="15:33" x14ac:dyDescent="0.25">
      <c r="O188" s="51"/>
      <c r="P188" s="51"/>
      <c r="AG188" s="51"/>
    </row>
    <row r="189" spans="15:33" x14ac:dyDescent="0.25">
      <c r="O189" s="51"/>
      <c r="P189" s="51"/>
      <c r="AG189" s="51"/>
    </row>
    <row r="190" spans="15:33" x14ac:dyDescent="0.25">
      <c r="O190" s="51"/>
      <c r="P190" s="51"/>
      <c r="AG190" s="51"/>
    </row>
    <row r="191" spans="15:33" x14ac:dyDescent="0.25">
      <c r="O191" s="51"/>
      <c r="P191" s="51"/>
      <c r="AG191" s="51"/>
    </row>
    <row r="192" spans="15:33" x14ac:dyDescent="0.25">
      <c r="O192" s="51"/>
      <c r="P192" s="51"/>
      <c r="AG192" s="51"/>
    </row>
  </sheetData>
  <phoneticPr fontId="6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Summary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Chiocca</dc:creator>
  <cp:lastModifiedBy>Giulia Morettini</cp:lastModifiedBy>
  <dcterms:created xsi:type="dcterms:W3CDTF">2015-06-05T18:19:34Z</dcterms:created>
  <dcterms:modified xsi:type="dcterms:W3CDTF">2026-09-28T15:12:36Z</dcterms:modified>
</cp:coreProperties>
</file>