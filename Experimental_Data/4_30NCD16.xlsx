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mula\Desktop\DATA_SET\"/>
    </mc:Choice>
  </mc:AlternateContent>
  <xr:revisionPtr revIDLastSave="0" documentId="13_ncr:1_{1158C7DF-24DE-41D4-98F0-77F7D937BBBC}" xr6:coauthVersionLast="47" xr6:coauthVersionMax="47" xr10:uidLastSave="{00000000-0000-0000-0000-000000000000}"/>
  <bookViews>
    <workbookView xWindow="180" yWindow="870" windowWidth="28620" windowHeight="15330" tabRatio="189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AJ2" i="2" s="1"/>
  <c r="P2" i="2"/>
  <c r="Q2" i="2"/>
  <c r="AN2" i="2" s="1"/>
  <c r="X2" i="2"/>
  <c r="Y2" i="2"/>
  <c r="Z2" i="2"/>
  <c r="AH2" i="2"/>
  <c r="AI2" i="2"/>
  <c r="AK2" i="2"/>
  <c r="AL2" i="2"/>
  <c r="AM2" i="2"/>
  <c r="AP2" i="2"/>
  <c r="AQ2" i="2"/>
  <c r="O3" i="2"/>
  <c r="P3" i="2"/>
  <c r="Q3" i="2"/>
  <c r="AN3" i="2" s="1"/>
  <c r="X3" i="2"/>
  <c r="Y3" i="2"/>
  <c r="Z3" i="2"/>
  <c r="AH3" i="2"/>
  <c r="AI3" i="2"/>
  <c r="AJ3" i="2"/>
  <c r="AK3" i="2"/>
  <c r="AL3" i="2"/>
  <c r="AM3" i="2"/>
  <c r="AP3" i="2"/>
  <c r="AQ3" i="2"/>
  <c r="O4" i="2"/>
  <c r="P4" i="2"/>
  <c r="Q4" i="2"/>
  <c r="AN4" i="2" s="1"/>
  <c r="X4" i="2"/>
  <c r="Y4" i="2"/>
  <c r="Z4" i="2"/>
  <c r="AH4" i="2"/>
  <c r="AI4" i="2"/>
  <c r="AJ4" i="2"/>
  <c r="AK4" i="2"/>
  <c r="AL4" i="2"/>
  <c r="AM4" i="2"/>
  <c r="AP4" i="2"/>
  <c r="AQ4" i="2"/>
  <c r="O5" i="2"/>
  <c r="AJ5" i="2" s="1"/>
  <c r="P5" i="2"/>
  <c r="Q5" i="2"/>
  <c r="AN5" i="2" s="1"/>
  <c r="X5" i="2"/>
  <c r="Y5" i="2"/>
  <c r="Z5" i="2"/>
  <c r="AH5" i="2"/>
  <c r="AI5" i="2"/>
  <c r="AK5" i="2"/>
  <c r="AL5" i="2"/>
  <c r="AM5" i="2"/>
  <c r="AP5" i="2"/>
  <c r="AQ5" i="2"/>
  <c r="O6" i="2"/>
  <c r="AJ6" i="2" s="1"/>
  <c r="P6" i="2"/>
  <c r="Q6" i="2"/>
  <c r="AN6" i="2" s="1"/>
  <c r="X6" i="2"/>
  <c r="Y6" i="2"/>
  <c r="Z6" i="2"/>
  <c r="AH6" i="2"/>
  <c r="AI6" i="2"/>
  <c r="AK6" i="2"/>
  <c r="AL6" i="2"/>
  <c r="AM6" i="2"/>
  <c r="AP6" i="2"/>
  <c r="AQ6" i="2"/>
  <c r="O7" i="2"/>
  <c r="AJ7" i="2" s="1"/>
  <c r="P7" i="2"/>
  <c r="Q7" i="2"/>
  <c r="AN7" i="2" s="1"/>
  <c r="X7" i="2"/>
  <c r="Y7" i="2"/>
  <c r="Z7" i="2"/>
  <c r="AH7" i="2"/>
  <c r="AI7" i="2"/>
  <c r="AK7" i="2"/>
  <c r="AL7" i="2"/>
  <c r="AM7" i="2"/>
  <c r="AP7" i="2"/>
  <c r="AQ7" i="2"/>
  <c r="O8" i="2"/>
  <c r="AJ8" i="2" s="1"/>
  <c r="P8" i="2"/>
  <c r="Q8" i="2"/>
  <c r="AN8" i="2" s="1"/>
  <c r="X8" i="2"/>
  <c r="Y8" i="2"/>
  <c r="Z8" i="2"/>
  <c r="AH8" i="2"/>
  <c r="AI8" i="2"/>
  <c r="AK8" i="2"/>
  <c r="AL8" i="2"/>
  <c r="AM8" i="2"/>
  <c r="AP8" i="2"/>
  <c r="AQ8" i="2"/>
  <c r="O9" i="2"/>
  <c r="AJ9" i="2" s="1"/>
  <c r="P9" i="2"/>
  <c r="Q9" i="2"/>
  <c r="AN9" i="2" s="1"/>
  <c r="X9" i="2"/>
  <c r="Y9" i="2"/>
  <c r="Z9" i="2"/>
  <c r="AH9" i="2"/>
  <c r="AI9" i="2"/>
  <c r="AK9" i="2"/>
  <c r="AL9" i="2"/>
  <c r="AM9" i="2"/>
  <c r="AP9" i="2"/>
  <c r="AQ9" i="2"/>
  <c r="O10" i="2"/>
  <c r="AJ10" i="2" s="1"/>
  <c r="P10" i="2"/>
  <c r="Q10" i="2"/>
  <c r="AN10" i="2" s="1"/>
  <c r="X10" i="2"/>
  <c r="Y10" i="2"/>
  <c r="Z10" i="2"/>
  <c r="AH10" i="2"/>
  <c r="AI10" i="2"/>
  <c r="AK10" i="2"/>
  <c r="AL10" i="2"/>
  <c r="AM10" i="2"/>
  <c r="AP10" i="2"/>
  <c r="AQ10" i="2"/>
  <c r="O11" i="2"/>
  <c r="P11" i="2"/>
  <c r="Q11" i="2"/>
  <c r="AN11" i="2" s="1"/>
  <c r="X11" i="2"/>
  <c r="Y11" i="2"/>
  <c r="Z11" i="2"/>
  <c r="AH11" i="2"/>
  <c r="AI11" i="2"/>
  <c r="AJ11" i="2"/>
  <c r="AK11" i="2"/>
  <c r="AL11" i="2"/>
  <c r="AM11" i="2"/>
  <c r="AP11" i="2"/>
  <c r="AQ11" i="2"/>
  <c r="O12" i="2"/>
  <c r="AJ12" i="2" s="1"/>
  <c r="P12" i="2"/>
  <c r="Q12" i="2"/>
  <c r="AN12" i="2" s="1"/>
  <c r="X12" i="2"/>
  <c r="Y12" i="2"/>
  <c r="Z12" i="2"/>
  <c r="AH12" i="2"/>
  <c r="AI12" i="2"/>
  <c r="AK12" i="2"/>
  <c r="AL12" i="2"/>
  <c r="AM12" i="2"/>
  <c r="AP12" i="2"/>
  <c r="AQ12" i="2"/>
  <c r="O13" i="2"/>
  <c r="AJ13" i="2" s="1"/>
  <c r="P13" i="2"/>
  <c r="Q13" i="2"/>
  <c r="AN13" i="2" s="1"/>
  <c r="X13" i="2"/>
  <c r="Y13" i="2"/>
  <c r="Z13" i="2"/>
  <c r="AH13" i="2"/>
  <c r="AI13" i="2"/>
  <c r="AK13" i="2"/>
  <c r="AL13" i="2"/>
  <c r="AM13" i="2"/>
  <c r="AP13" i="2"/>
  <c r="AQ13" i="2"/>
  <c r="O14" i="2"/>
  <c r="AJ14" i="2" s="1"/>
  <c r="P14" i="2"/>
  <c r="Q14" i="2"/>
  <c r="AN14" i="2" s="1"/>
  <c r="X14" i="2"/>
  <c r="Y14" i="2"/>
  <c r="Z14" i="2"/>
  <c r="AH14" i="2"/>
  <c r="AI14" i="2"/>
  <c r="AK14" i="2"/>
  <c r="AL14" i="2"/>
  <c r="AM14" i="2"/>
  <c r="AP14" i="2"/>
  <c r="AQ14" i="2"/>
  <c r="O15" i="2"/>
  <c r="AJ15" i="2" s="1"/>
  <c r="P15" i="2"/>
  <c r="Q15" i="2"/>
  <c r="AN15" i="2" s="1"/>
  <c r="X15" i="2"/>
  <c r="Y15" i="2"/>
  <c r="Z15" i="2"/>
  <c r="AH15" i="2"/>
  <c r="AI15" i="2"/>
  <c r="AK15" i="2"/>
  <c r="AL15" i="2"/>
  <c r="AM15" i="2"/>
  <c r="AP15" i="2"/>
  <c r="AQ15" i="2"/>
  <c r="O16" i="2"/>
  <c r="P16" i="2"/>
  <c r="Q16" i="2"/>
  <c r="AN16" i="2" s="1"/>
  <c r="X16" i="2"/>
  <c r="Y16" i="2"/>
  <c r="Z16" i="2"/>
  <c r="AH16" i="2"/>
  <c r="AI16" i="2"/>
  <c r="AJ16" i="2"/>
  <c r="AK16" i="2"/>
  <c r="AL16" i="2"/>
  <c r="AM16" i="2"/>
  <c r="AP16" i="2"/>
  <c r="AQ16" i="2"/>
  <c r="O17" i="2"/>
  <c r="AJ17" i="2" s="1"/>
  <c r="P17" i="2"/>
  <c r="Q17" i="2"/>
  <c r="AN17" i="2" s="1"/>
  <c r="X17" i="2"/>
  <c r="Y17" i="2"/>
  <c r="Z17" i="2"/>
  <c r="AH17" i="2"/>
  <c r="AI17" i="2"/>
  <c r="AK17" i="2"/>
  <c r="AL17" i="2"/>
  <c r="AM17" i="2"/>
  <c r="AP17" i="2"/>
  <c r="AQ17" i="2"/>
  <c r="O18" i="2"/>
  <c r="AJ18" i="2" s="1"/>
  <c r="P18" i="2"/>
  <c r="Q18" i="2"/>
  <c r="AN18" i="2" s="1"/>
  <c r="X18" i="2"/>
  <c r="Y18" i="2"/>
  <c r="Z18" i="2"/>
  <c r="AH18" i="2"/>
  <c r="AI18" i="2"/>
  <c r="AK18" i="2"/>
  <c r="AL18" i="2"/>
  <c r="AM18" i="2"/>
  <c r="AP18" i="2"/>
  <c r="AQ18" i="2"/>
  <c r="O19" i="2"/>
  <c r="AJ19" i="2" s="1"/>
  <c r="P19" i="2"/>
  <c r="Q19" i="2"/>
  <c r="AN19" i="2" s="1"/>
  <c r="X19" i="2"/>
  <c r="Y19" i="2"/>
  <c r="Z19" i="2"/>
  <c r="AH19" i="2"/>
  <c r="AI19" i="2"/>
  <c r="AK19" i="2"/>
  <c r="AL19" i="2"/>
  <c r="AM19" i="2"/>
  <c r="AP19" i="2"/>
  <c r="AQ19" i="2"/>
  <c r="O20" i="2"/>
  <c r="AJ20" i="2" s="1"/>
  <c r="P20" i="2"/>
  <c r="Q20" i="2"/>
  <c r="AN20" i="2" s="1"/>
  <c r="X20" i="2"/>
  <c r="Y20" i="2"/>
  <c r="Z20" i="2"/>
  <c r="AH20" i="2"/>
  <c r="AI20" i="2"/>
  <c r="AK20" i="2"/>
  <c r="AL20" i="2"/>
  <c r="AM20" i="2"/>
  <c r="AP20" i="2"/>
  <c r="AQ20" i="2"/>
  <c r="O21" i="2"/>
  <c r="AJ21" i="2" s="1"/>
  <c r="P21" i="2"/>
  <c r="Q21" i="2"/>
  <c r="AN21" i="2" s="1"/>
  <c r="X21" i="2"/>
  <c r="Y21" i="2"/>
  <c r="Z21" i="2"/>
  <c r="AH21" i="2"/>
  <c r="AI21" i="2"/>
  <c r="AK21" i="2"/>
  <c r="AL21" i="2"/>
  <c r="AM21" i="2"/>
  <c r="AP21" i="2"/>
  <c r="AQ21" i="2"/>
  <c r="O22" i="2"/>
  <c r="AJ22" i="2" s="1"/>
  <c r="P22" i="2"/>
  <c r="Q22" i="2"/>
  <c r="AN22" i="2" s="1"/>
  <c r="X22" i="2"/>
  <c r="Y22" i="2"/>
  <c r="Z22" i="2"/>
  <c r="AH22" i="2"/>
  <c r="AI22" i="2"/>
  <c r="AK22" i="2"/>
  <c r="AL22" i="2"/>
  <c r="AM22" i="2"/>
  <c r="AP22" i="2"/>
  <c r="AQ22" i="2"/>
  <c r="O23" i="2"/>
  <c r="AJ23" i="2" s="1"/>
  <c r="P23" i="2"/>
  <c r="Q23" i="2"/>
  <c r="AN23" i="2" s="1"/>
  <c r="X23" i="2"/>
  <c r="Y23" i="2"/>
  <c r="Z23" i="2"/>
  <c r="AH23" i="2"/>
  <c r="AI23" i="2"/>
  <c r="AK23" i="2"/>
  <c r="AL23" i="2"/>
  <c r="AM23" i="2"/>
  <c r="AP23" i="2"/>
  <c r="AQ23" i="2"/>
  <c r="O24" i="2"/>
  <c r="AJ24" i="2" s="1"/>
  <c r="P24" i="2"/>
  <c r="Q24" i="2"/>
  <c r="AN24" i="2" s="1"/>
  <c r="X24" i="2"/>
  <c r="Y24" i="2"/>
  <c r="Z24" i="2"/>
  <c r="AH24" i="2"/>
  <c r="AI24" i="2"/>
  <c r="AK24" i="2"/>
  <c r="AL24" i="2"/>
  <c r="AM24" i="2"/>
  <c r="AP24" i="2"/>
  <c r="AQ24" i="2"/>
  <c r="O25" i="2"/>
  <c r="AJ25" i="2" s="1"/>
  <c r="P25" i="2"/>
  <c r="Q25" i="2"/>
  <c r="AN25" i="2" s="1"/>
  <c r="X25" i="2"/>
  <c r="Y25" i="2"/>
  <c r="Z25" i="2"/>
  <c r="AH25" i="2"/>
  <c r="AI25" i="2"/>
  <c r="AK25" i="2"/>
  <c r="AL25" i="2"/>
  <c r="AM25" i="2"/>
  <c r="AP25" i="2"/>
  <c r="AQ25" i="2"/>
  <c r="O26" i="2"/>
  <c r="AJ26" i="2" s="1"/>
  <c r="P26" i="2"/>
  <c r="Q26" i="2"/>
  <c r="AN26" i="2" s="1"/>
  <c r="X26" i="2"/>
  <c r="Y26" i="2"/>
  <c r="Z26" i="2"/>
  <c r="AH26" i="2"/>
  <c r="AI26" i="2"/>
  <c r="AK26" i="2"/>
  <c r="AL26" i="2"/>
  <c r="AM26" i="2"/>
  <c r="AP26" i="2"/>
  <c r="AQ26" i="2"/>
  <c r="O27" i="2"/>
  <c r="AJ27" i="2" s="1"/>
  <c r="P27" i="2"/>
  <c r="Q27" i="2"/>
  <c r="AN27" i="2" s="1"/>
  <c r="X27" i="2"/>
  <c r="Y27" i="2"/>
  <c r="Z27" i="2"/>
  <c r="AH27" i="2"/>
  <c r="AI27" i="2"/>
  <c r="AK27" i="2"/>
  <c r="AL27" i="2"/>
  <c r="AM27" i="2"/>
  <c r="AP27" i="2"/>
  <c r="AQ27" i="2"/>
  <c r="O28" i="2"/>
  <c r="AJ28" i="2" s="1"/>
  <c r="P28" i="2"/>
  <c r="Q28" i="2"/>
  <c r="AN28" i="2" s="1"/>
  <c r="X28" i="2"/>
  <c r="Y28" i="2"/>
  <c r="Z28" i="2"/>
  <c r="AH28" i="2"/>
  <c r="AI28" i="2"/>
  <c r="AK28" i="2"/>
  <c r="AL28" i="2"/>
  <c r="AM28" i="2"/>
  <c r="AP28" i="2"/>
  <c r="AQ28" i="2"/>
  <c r="O29" i="2"/>
  <c r="AJ29" i="2" s="1"/>
  <c r="P29" i="2"/>
  <c r="Q29" i="2"/>
  <c r="AN29" i="2" s="1"/>
  <c r="X29" i="2"/>
  <c r="Y29" i="2"/>
  <c r="Z29" i="2"/>
  <c r="AH29" i="2"/>
  <c r="AI29" i="2"/>
  <c r="AK29" i="2"/>
  <c r="AL29" i="2"/>
  <c r="AM29" i="2"/>
  <c r="AP29" i="2"/>
  <c r="AQ29" i="2"/>
  <c r="O30" i="2"/>
  <c r="AJ30" i="2" s="1"/>
  <c r="P30" i="2"/>
  <c r="Q30" i="2"/>
  <c r="AN30" i="2" s="1"/>
  <c r="X30" i="2"/>
  <c r="Y30" i="2"/>
  <c r="Z30" i="2"/>
  <c r="AH30" i="2"/>
  <c r="AI30" i="2"/>
  <c r="AK30" i="2"/>
  <c r="AL30" i="2"/>
  <c r="AM30" i="2"/>
  <c r="AP30" i="2"/>
  <c r="AQ30" i="2"/>
  <c r="O31" i="2"/>
  <c r="AJ31" i="2" s="1"/>
  <c r="P31" i="2"/>
  <c r="Q31" i="2"/>
  <c r="AN31" i="2" s="1"/>
  <c r="X31" i="2"/>
  <c r="Y31" i="2"/>
  <c r="Z31" i="2"/>
  <c r="AH31" i="2"/>
  <c r="AI31" i="2"/>
  <c r="AK31" i="2"/>
  <c r="AL31" i="2"/>
  <c r="AM31" i="2"/>
  <c r="AP31" i="2"/>
  <c r="AQ31" i="2"/>
  <c r="O32" i="2"/>
  <c r="AJ32" i="2" s="1"/>
  <c r="P32" i="2"/>
  <c r="Q32" i="2"/>
  <c r="AN32" i="2" s="1"/>
  <c r="X32" i="2"/>
  <c r="Y32" i="2"/>
  <c r="Z32" i="2"/>
  <c r="AH32" i="2"/>
  <c r="AI32" i="2"/>
  <c r="AK32" i="2"/>
  <c r="AL32" i="2"/>
  <c r="AM32" i="2"/>
  <c r="AP32" i="2"/>
  <c r="AQ32" i="2"/>
  <c r="O33" i="2"/>
  <c r="AJ33" i="2" s="1"/>
  <c r="P33" i="2"/>
  <c r="Q33" i="2"/>
  <c r="AN33" i="2" s="1"/>
  <c r="X33" i="2"/>
  <c r="Y33" i="2"/>
  <c r="Z33" i="2"/>
  <c r="AH33" i="2"/>
  <c r="AI33" i="2"/>
  <c r="AK33" i="2"/>
  <c r="AL33" i="2"/>
  <c r="AM33" i="2"/>
  <c r="AP33" i="2"/>
  <c r="AQ33" i="2"/>
  <c r="O34" i="2"/>
  <c r="AJ34" i="2" s="1"/>
  <c r="P34" i="2"/>
  <c r="Q34" i="2"/>
  <c r="AN34" i="2" s="1"/>
  <c r="X34" i="2"/>
  <c r="Y34" i="2"/>
  <c r="Z34" i="2"/>
  <c r="AH34" i="2"/>
  <c r="AI34" i="2"/>
  <c r="AK34" i="2"/>
  <c r="AL34" i="2"/>
  <c r="AM34" i="2"/>
  <c r="AP34" i="2"/>
  <c r="AQ34" i="2"/>
  <c r="O35" i="2"/>
  <c r="AJ35" i="2" s="1"/>
  <c r="P35" i="2"/>
  <c r="Q35" i="2"/>
  <c r="AN35" i="2" s="1"/>
  <c r="X35" i="2"/>
  <c r="Y35" i="2"/>
  <c r="Z35" i="2"/>
  <c r="AH35" i="2"/>
  <c r="AI35" i="2"/>
  <c r="AK35" i="2"/>
  <c r="AL35" i="2"/>
  <c r="AM35" i="2"/>
  <c r="AP35" i="2"/>
  <c r="AQ35" i="2"/>
  <c r="O36" i="2"/>
  <c r="AJ36" i="2" s="1"/>
  <c r="P36" i="2"/>
  <c r="Q36" i="2"/>
  <c r="AN36" i="2" s="1"/>
  <c r="X36" i="2"/>
  <c r="Y36" i="2"/>
  <c r="Z36" i="2"/>
  <c r="AH36" i="2"/>
  <c r="AI36" i="2"/>
  <c r="AL36" i="2"/>
  <c r="AM36" i="2"/>
  <c r="AP36" i="2"/>
  <c r="AQ36" i="2"/>
  <c r="O37" i="2"/>
  <c r="AK37" i="2" s="1"/>
  <c r="P37" i="2"/>
  <c r="Q37" i="2"/>
  <c r="AN37" i="2" s="1"/>
  <c r="X37" i="2"/>
  <c r="Y37" i="2"/>
  <c r="Z37" i="2"/>
  <c r="AH37" i="2"/>
  <c r="AI37" i="2"/>
  <c r="AL37" i="2"/>
  <c r="AM37" i="2"/>
  <c r="AP37" i="2"/>
  <c r="AQ37" i="2"/>
  <c r="O38" i="2"/>
  <c r="AJ38" i="2" s="1"/>
  <c r="P38" i="2"/>
  <c r="Q38" i="2"/>
  <c r="AN38" i="2" s="1"/>
  <c r="X38" i="2"/>
  <c r="Y38" i="2"/>
  <c r="Z38" i="2"/>
  <c r="AH38" i="2"/>
  <c r="AI38" i="2"/>
  <c r="AL38" i="2"/>
  <c r="AM38" i="2"/>
  <c r="AP38" i="2"/>
  <c r="AQ38" i="2"/>
  <c r="O39" i="2"/>
  <c r="AJ39" i="2" s="1"/>
  <c r="P39" i="2"/>
  <c r="Q39" i="2"/>
  <c r="AN39" i="2" s="1"/>
  <c r="X39" i="2"/>
  <c r="Y39" i="2"/>
  <c r="Z39" i="2"/>
  <c r="AH39" i="2"/>
  <c r="AI39" i="2"/>
  <c r="AL39" i="2"/>
  <c r="AM39" i="2"/>
  <c r="AP39" i="2"/>
  <c r="AQ39" i="2"/>
  <c r="O40" i="2"/>
  <c r="P40" i="2"/>
  <c r="Q40" i="2"/>
  <c r="AH40" i="2"/>
  <c r="AI40" i="2"/>
  <c r="AJ40" i="2"/>
  <c r="AK40" i="2"/>
  <c r="AL40" i="2"/>
  <c r="AM40" i="2"/>
  <c r="AN40" i="2"/>
  <c r="AO40" i="2"/>
  <c r="O41" i="2"/>
  <c r="P41" i="2"/>
  <c r="Q41" i="2"/>
  <c r="AH41" i="2"/>
  <c r="AI41" i="2"/>
  <c r="AJ41" i="2"/>
  <c r="AK41" i="2"/>
  <c r="AL41" i="2"/>
  <c r="AM41" i="2"/>
  <c r="AN41" i="2"/>
  <c r="AO41" i="2"/>
  <c r="M2" i="1"/>
  <c r="M3" i="1"/>
  <c r="J7" i="1"/>
  <c r="J6" i="1"/>
  <c r="AO39" i="2" l="1"/>
  <c r="AO38" i="2"/>
  <c r="AO37" i="2"/>
  <c r="AO36" i="2"/>
  <c r="AO35" i="2"/>
  <c r="AO34" i="2"/>
  <c r="AO33" i="2"/>
  <c r="AO32" i="2"/>
  <c r="AO31" i="2"/>
  <c r="AO30" i="2"/>
  <c r="AO29" i="2"/>
  <c r="AO28" i="2"/>
  <c r="AO27" i="2"/>
  <c r="AO26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O9" i="2"/>
  <c r="AO8" i="2"/>
  <c r="AO7" i="2"/>
  <c r="AO6" i="2"/>
  <c r="AO5" i="2"/>
  <c r="AO4" i="2"/>
  <c r="AO3" i="2"/>
  <c r="AO2" i="2"/>
  <c r="AK36" i="2"/>
  <c r="AK38" i="2"/>
  <c r="AK39" i="2"/>
  <c r="AJ37" i="2"/>
  <c r="F7" i="1"/>
  <c r="G7" i="1"/>
  <c r="H7" i="1"/>
  <c r="I7" i="1"/>
  <c r="E7" i="1"/>
  <c r="D28" i="1"/>
  <c r="F6" i="1" l="1"/>
  <c r="E6" i="1" l="1"/>
  <c r="G6" i="1" l="1"/>
  <c r="H6" i="1"/>
  <c r="I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</author>
    <author>Andrea Chiocca</author>
  </authors>
  <commentList>
    <comment ref="K1" authorId="0" shapeId="0" xr:uid="{6F04C3C2-FECD-4FFF-AA88-91952C0B68F1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long side</t>
        </r>
      </text>
    </comment>
    <comment ref="L1" authorId="0" shapeId="0" xr:uid="{66E3A68F-8EB9-44F9-874B-239CE193C68B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short side</t>
        </r>
      </text>
    </comment>
    <comment ref="O1" authorId="1" shapeId="0" xr:uid="{1CC4F29A-57B3-44F7-965B-DA237098AC81}">
      <text>
        <r>
          <rPr>
            <b/>
            <sz val="14"/>
            <color indexed="81"/>
            <rFont val="Tahoma"/>
            <family val="2"/>
          </rPr>
          <t>Net</t>
        </r>
        <r>
          <rPr>
            <sz val="14"/>
            <color indexed="81"/>
            <rFont val="Tahoma"/>
            <family val="2"/>
          </rPr>
          <t xml:space="preserve"> or </t>
        </r>
        <r>
          <rPr>
            <b/>
            <sz val="14"/>
            <color indexed="81"/>
            <rFont val="Tahoma"/>
            <family val="2"/>
          </rPr>
          <t>gross</t>
        </r>
        <r>
          <rPr>
            <sz val="14"/>
            <color indexed="81"/>
            <rFont val="Tahoma"/>
            <family val="2"/>
          </rPr>
          <t xml:space="preserve"> area depending on what the author used to evaluate the nominal stresses</t>
        </r>
      </text>
    </comment>
    <comment ref="P1" authorId="0" shapeId="0" xr:uid="{679AC68E-6E1E-49D7-95C8-CB4738B37734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if Flat with neutral-axis bending // along the long sideo</t>
        </r>
      </text>
    </comment>
    <comment ref="AB1" authorId="0" shapeId="0" xr:uid="{F0DA867F-3D3D-465D-BB43-47CFC5DF21E7}">
      <text>
        <r>
          <rPr>
            <b/>
            <sz val="9"/>
            <color indexed="81"/>
            <rFont val="Tahoma"/>
            <family val="2"/>
          </rPr>
          <t>Simula: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hypothesized that the radial stress (second axial stress) can be generated solely by internal pressure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<sst xmlns="http://schemas.openxmlformats.org/spreadsheetml/2006/main" count="488" uniqueCount="70">
  <si>
    <t>Material name</t>
  </si>
  <si>
    <t>Poisson's ratio (-)</t>
  </si>
  <si>
    <t>Tensile strength (MPa)</t>
  </si>
  <si>
    <t>Yield strength (MPa)</t>
  </si>
  <si>
    <t>Number of cycles to failure</t>
  </si>
  <si>
    <t>Run out (Yes/No)</t>
  </si>
  <si>
    <t>Mean RADIAL stress  (MPa)</t>
  </si>
  <si>
    <t>Amplitute RADIAL stress  (MPa)</t>
  </si>
  <si>
    <t>Mean SHEAR stress  (MPa)</t>
  </si>
  <si>
    <t>Amplitute SHEAR stress  (MPa)</t>
  </si>
  <si>
    <t>Amplitude TORQUE (Nmm)</t>
  </si>
  <si>
    <t>Mean TORQUE (Nmm)</t>
  </si>
  <si>
    <t>Lambda (tauA/sigmaA)</t>
  </si>
  <si>
    <t>Load ratio (RADIAL)</t>
  </si>
  <si>
    <t>Load ratio (TORSIONAL)</t>
  </si>
  <si>
    <t>Geometry picture</t>
  </si>
  <si>
    <t>Diameter (mm)</t>
  </si>
  <si>
    <t>Failure type (complete rupture/stiffness decrease)</t>
  </si>
  <si>
    <t>Specimen name</t>
  </si>
  <si>
    <t>No</t>
  </si>
  <si>
    <t>Null</t>
  </si>
  <si>
    <t>Young's modulus (MPa)</t>
  </si>
  <si>
    <t>Standard deviation</t>
  </si>
  <si>
    <t>Average</t>
  </si>
  <si>
    <t>Article year</t>
  </si>
  <si>
    <t>Authors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</si>
  <si>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</si>
  <si>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</si>
  <si>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</si>
  <si>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</si>
  <si>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</si>
  <si>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</si>
  <si>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Area (mm^2)</t>
  </si>
  <si>
    <t>Data count</t>
  </si>
  <si>
    <t>Mean BENDING moment (Nmm)</t>
  </si>
  <si>
    <t>Amplitude BENDING moment (Nmm)</t>
  </si>
  <si>
    <t>Number of Cycles (cycles)</t>
  </si>
  <si>
    <t>Stress ratio R</t>
  </si>
  <si>
    <t>Tensile fatigue limit (MPa)</t>
  </si>
  <si>
    <t>Torsional fatigue limit (MPa)</t>
  </si>
  <si>
    <t>A (mm)</t>
  </si>
  <si>
    <t>B (mm)</t>
  </si>
  <si>
    <t>Hole diameter (mm)</t>
  </si>
  <si>
    <t>Geometry type (flat/cylindrical/hollow cylinder)</t>
  </si>
  <si>
    <t>Phase RADIAL load (°)</t>
  </si>
  <si>
    <t>Phase AXIAL load (°)</t>
  </si>
  <si>
    <t>Phase TORSIONAL load (°)</t>
  </si>
  <si>
    <t>Freq RADIAL load [Hz]</t>
  </si>
  <si>
    <t>Freq AXIAL load[Hz]</t>
  </si>
  <si>
    <t>Freq TORSIONAL load [Hz]</t>
  </si>
  <si>
    <t>Load ratio (AXIAL)</t>
  </si>
  <si>
    <t>Mean AXIAL stress  (MPa)</t>
  </si>
  <si>
    <t>Amplitute AXIAL stress  (MPa)</t>
  </si>
  <si>
    <t>Mean internal PRESSURE  (MPa)</t>
  </si>
  <si>
    <t>Amplitute internal PRESSURE (MPa)</t>
  </si>
  <si>
    <t>derived from (AXIAL/BENDING) load</t>
  </si>
  <si>
    <t>torsional momento of inertia (mm^4)</t>
  </si>
  <si>
    <t>flessional momento of inertia (mm^4)</t>
  </si>
  <si>
    <t>Mean AXIAL load (N)</t>
  </si>
  <si>
    <t>AXIAL</t>
  </si>
  <si>
    <t>Article DOI / Reference</t>
  </si>
  <si>
    <t>Amplitude von Mises (MPa)</t>
  </si>
  <si>
    <t>Amplitute AXIAL load (N)</t>
  </si>
  <si>
    <t>10.1016/0142-1123(92)90087-S</t>
  </si>
  <si>
    <t>Lasserre S, Froustey C.</t>
  </si>
  <si>
    <t>30NCD16</t>
  </si>
  <si>
    <t>10.1016/0142-1123(89)90436-2</t>
  </si>
  <si>
    <t>k</t>
  </si>
  <si>
    <t>SPECIMEN_1</t>
  </si>
  <si>
    <t>crack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</si>
</sst>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E+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2A2A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11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12" xfId="0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5" borderId="13" xfId="0" applyFont="1" applyFill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9" borderId="13" xfId="0" applyFill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7" fillId="7" borderId="13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top"/>
    </xf>
    <xf numFmtId="165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" fontId="8" fillId="13" borderId="0" xfId="0" applyNumberFormat="1" applyFont="1" applyFill="1" applyAlignment="1">
      <alignment horizontal="center" vertical="center" wrapText="1"/>
    </xf>
    <xf numFmtId="49" fontId="8" fillId="13" borderId="0" xfId="0" applyNumberFormat="1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1" fontId="0" fillId="8" borderId="0" xfId="0" applyNumberForma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9" borderId="0" xfId="0" applyNumberFormat="1" applyFill="1" applyAlignment="1">
      <alignment horizontal="center" vertical="center" wrapText="1"/>
    </xf>
    <xf numFmtId="49" fontId="7" fillId="11" borderId="0" xfId="0" applyNumberFormat="1" applyFont="1" applyFill="1" applyAlignment="1">
      <alignment horizontal="center" vertical="center" wrapText="1"/>
    </xf>
    <xf numFmtId="164" fontId="7" fillId="10" borderId="0" xfId="0" applyNumberFormat="1" applyFont="1" applyFill="1" applyAlignment="1">
      <alignment horizontal="center" vertical="center" wrapText="1"/>
    </xf>
    <xf numFmtId="164" fontId="7" fillId="12" borderId="0" xfId="0" applyNumberFormat="1" applyFont="1" applyFill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164" fontId="7" fillId="0" borderId="0" xfId="0" applyNumberFormat="1" applyFont="1" applyAlignment="1">
      <alignment horizontal="center" vertical="center"/>
    </xf>
    <xf numFmtId="0" fontId="7" fillId="4" borderId="1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" fontId="0" fillId="8" borderId="13" xfId="0" applyNumberFormat="1" applyFill="1" applyBorder="1" applyAlignment="1">
      <alignment horizontal="center" vertical="center" wrapText="1"/>
    </xf>
    <xf numFmtId="1" fontId="7" fillId="0" borderId="13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e" xfId="0" builtinId="0"/>
  </cellStyles>
  <dxfs count="60"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</dxf>
    <dxf>
      <font>
        <color auto="1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color auto="1"/>
      </font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font>
        <color auto="1"/>
      </font>
      <numFmt numFmtId="1" formatCode="0"/>
      <alignment horizontal="center" vertical="center" textRotation="0" wrapText="0" indent="0" justifyLastLine="0" shrinkToFit="0" readingOrder="0"/>
    </dxf>
    <dxf>
      <font>
        <color auto="1"/>
      </font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color auto="1"/>
      </font>
      <alignment horizontal="center" vertical="center" textRotation="0" wrapText="0" indent="0" justifyLastLine="0" shrinkToFit="0" readingOrder="0"/>
    </dxf>
    <dxf>
      <font>
        <color auto="1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color auto="1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auto="1"/>
      </font>
      <alignment horizontal="center" vertical="center" textRotation="0" wrapText="0" indent="0" justifyLastLine="0" shrinkToFit="0" readingOrder="0"/>
    </dxf>
    <dxf>
      <font>
        <color auto="1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4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Dataset!$E$2:$E$41</c:f>
              <c:numCache>
                <c:formatCode>0E+00</c:formatCode>
                <c:ptCount val="40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1000000</c:v>
                </c:pt>
                <c:pt idx="23">
                  <c:v>1000000</c:v>
                </c:pt>
                <c:pt idx="24">
                  <c:v>1000000</c:v>
                </c:pt>
                <c:pt idx="25">
                  <c:v>1000000</c:v>
                </c:pt>
                <c:pt idx="26">
                  <c:v>1000000</c:v>
                </c:pt>
                <c:pt idx="27">
                  <c:v>1000000</c:v>
                </c:pt>
                <c:pt idx="28">
                  <c:v>1000000</c:v>
                </c:pt>
                <c:pt idx="29">
                  <c:v>1000000</c:v>
                </c:pt>
                <c:pt idx="30">
                  <c:v>1000000</c:v>
                </c:pt>
                <c:pt idx="31">
                  <c:v>1000000</c:v>
                </c:pt>
                <c:pt idx="32">
                  <c:v>1000000</c:v>
                </c:pt>
                <c:pt idx="33">
                  <c:v>1000000</c:v>
                </c:pt>
                <c:pt idx="34">
                  <c:v>1000000</c:v>
                </c:pt>
                <c:pt idx="35">
                  <c:v>1000000</c:v>
                </c:pt>
                <c:pt idx="36">
                  <c:v>1000000</c:v>
                </c:pt>
                <c:pt idx="37">
                  <c:v>1000000</c:v>
                </c:pt>
              </c:numCache>
            </c:numRef>
          </c:xVal>
          <c:yVal>
            <c:numRef>
              <c:f>Dataset!$AQ$2:$AQ$41</c:f>
              <c:numCache>
                <c:formatCode>0.00</c:formatCode>
                <c:ptCount val="40"/>
                <c:pt idx="0">
                  <c:v>710</c:v>
                </c:pt>
                <c:pt idx="1">
                  <c:v>779.4228634059948</c:v>
                </c:pt>
                <c:pt idx="2">
                  <c:v>685.87535310725377</c:v>
                </c:pt>
                <c:pt idx="3">
                  <c:v>678.66560248770531</c:v>
                </c:pt>
                <c:pt idx="4">
                  <c:v>630</c:v>
                </c:pt>
                <c:pt idx="5">
                  <c:v>684.16006898970659</c:v>
                </c:pt>
                <c:pt idx="6">
                  <c:v>678.66560248770531</c:v>
                </c:pt>
                <c:pt idx="7">
                  <c:v>678.66560248770531</c:v>
                </c:pt>
                <c:pt idx="8">
                  <c:v>664.24618930032261</c:v>
                </c:pt>
                <c:pt idx="9">
                  <c:v>668.81686581604686</c:v>
                </c:pt>
                <c:pt idx="10">
                  <c:v>310</c:v>
                </c:pt>
                <c:pt idx="11">
                  <c:v>310.03709455482903</c:v>
                </c:pt>
                <c:pt idx="12">
                  <c:v>325.52572862985807</c:v>
                </c:pt>
                <c:pt idx="13">
                  <c:v>325.52572862985807</c:v>
                </c:pt>
                <c:pt idx="14">
                  <c:v>342.58429619584143</c:v>
                </c:pt>
                <c:pt idx="15">
                  <c:v>550</c:v>
                </c:pt>
                <c:pt idx="16">
                  <c:v>525</c:v>
                </c:pt>
                <c:pt idx="17">
                  <c:v>535</c:v>
                </c:pt>
                <c:pt idx="18">
                  <c:v>684.16006898970659</c:v>
                </c:pt>
                <c:pt idx="19">
                  <c:v>643.84159542545865</c:v>
                </c:pt>
                <c:pt idx="20">
                  <c:v>658.26134627517058</c:v>
                </c:pt>
                <c:pt idx="21">
                  <c:v>684.16006898970659</c:v>
                </c:pt>
                <c:pt idx="22">
                  <c:v>587.38828725128667</c:v>
                </c:pt>
                <c:pt idx="23">
                  <c:v>605.61373828538603</c:v>
                </c:pt>
                <c:pt idx="24">
                  <c:v>606.21778264910711</c:v>
                </c:pt>
                <c:pt idx="25">
                  <c:v>523.72511874073791</c:v>
                </c:pt>
                <c:pt idx="26">
                  <c:v>551.33927848467317</c:v>
                </c:pt>
                <c:pt idx="27">
                  <c:v>630</c:v>
                </c:pt>
                <c:pt idx="28">
                  <c:v>640.85879880048458</c:v>
                </c:pt>
                <c:pt idx="29">
                  <c:v>666.48030728596927</c:v>
                </c:pt>
                <c:pt idx="30">
                  <c:v>702.19299341420378</c:v>
                </c:pt>
                <c:pt idx="31">
                  <c:v>643.28220867672064</c:v>
                </c:pt>
                <c:pt idx="32">
                  <c:v>613.68721674807603</c:v>
                </c:pt>
                <c:pt idx="33">
                  <c:v>588.45135737799092</c:v>
                </c:pt>
                <c:pt idx="34">
                  <c:v>678.66560248770531</c:v>
                </c:pt>
                <c:pt idx="35">
                  <c:v>678.66560248770531</c:v>
                </c:pt>
                <c:pt idx="36">
                  <c:v>664.24618930032261</c:v>
                </c:pt>
                <c:pt idx="37">
                  <c:v>668.81686581604686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39C-BD78-518C8A90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ax val="2500000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ax val="3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26</xdr:row>
      <xdr:rowOff>0</xdr:rowOff>
    </xdr:from>
    <xdr:to>
      <xdr:col>2</xdr:col>
      <xdr:colOff>917865</xdr:colOff>
      <xdr:row>41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A1232-E067-4380-A306-8D17032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M5" totalsRowShown="0" headerRowDxfId="14" dataDxfId="13">
  <autoFilter ref="A1:M5" xr:uid="{7EB9CA7B-F9F7-4B65-BAF9-0554C4DD3A3C}"/>
  <tableColumns count="13">
    <tableColumn id="1" xr3:uid="{8E3D1E9D-FBEE-441F-8710-5037CD4F23F4}" name="Article DOI / Reference" dataDxfId="12"/>
    <tableColumn id="11" xr3:uid="{DB748F3A-E0FD-40A7-AD76-C03A14000D6D}" name="Authors" dataDxfId="11"/>
    <tableColumn id="8" xr3:uid="{5AA73CAD-51B7-41DD-94EB-F60F774B9687}" name="Article year" dataDxfId="10"/>
    <tableColumn id="2" xr3:uid="{06FA6682-59D0-409F-9A0C-E6CD1808F355}" name="Material name" dataDxfId="9"/>
    <tableColumn id="3" xr3:uid="{576FC30A-97BD-425F-92F2-9A2823474F7C}" name="Young's modulus (MPa)" dataDxfId="8"/>
    <tableColumn id="4" xr3:uid="{63CF6BC0-ABE3-408E-84A9-EDA0B421D7E2}" name="Poisson's ratio (-)" dataDxfId="7"/>
    <tableColumn id="5" xr3:uid="{BF08D467-4D62-4CAB-A94F-0030F94E8A2E}" name="Tensile strength (MPa)" dataDxfId="6"/>
    <tableColumn id="6" xr3:uid="{CDCD2563-ECD7-4843-B859-5F7762FE830B}" name="Yield strength (MPa)" dataDxfId="5"/>
    <tableColumn id="7" xr3:uid="{7991DD6F-6040-4C6F-AEB4-2211698F999C}" name="Tensile fatigue limit (MPa)" dataDxfId="4"/>
    <tableColumn id="14" xr3:uid="{CDEEF974-3FC7-4365-BF36-5BF5F37E662A}" name="Torsional fatigue limit (MPa)" dataDxfId="3"/>
    <tableColumn id="13" xr3:uid="{61EEDB63-8EB1-4E68-8C73-6F3D35C9EEF7}" name="Number of Cycles (cycles)" dataDxfId="2"/>
    <tableColumn id="12" xr3:uid="{5EB3D6EA-60A8-471D-AB0E-73C0B9E22DD2}" name="Stress ratio R" dataDxfId="1"/>
    <tableColumn id="15" xr3:uid="{A83E1735-BBC8-4644-93CD-AC56C915386C}" name="k" dataDxfId="0">
      <calculatedColumnFormula>IF(COUNTIF(Tabella1[[#This Row],[Tensile fatigue limit (MPa)]],"Null")&gt;0, "Null", IF(COUNT(Tabella1[[#This Row],[Tensile fatigue limit (MPa)]])=0, "Null", Tabella1[[#This Row],[Tensile fatigue limit (MPa)]]/Tabella1[[#This Row],[Torsional fatigue limit (MPa)]]))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Q41" totalsRowShown="0" headerRowDxfId="59" dataDxfId="58">
  <autoFilter ref="A1:AQ41" xr:uid="{86243907-AA5D-4F4D-8699-490D77B21127}"/>
  <tableColumns count="43">
    <tableColumn id="31" xr3:uid="{05937513-BC98-44D1-A5DC-F19589B15DDF}" name="Authors" dataDxfId="57"/>
    <tableColumn id="32" xr3:uid="{DCBCBA66-A67E-429B-A752-67A81643133E}" name="Article year" dataDxfId="56"/>
    <tableColumn id="1" xr3:uid="{D75788C8-C867-4D50-A818-DADFA5044830}" name="Article DOI / Reference" dataDxfId="55"/>
    <tableColumn id="30" xr3:uid="{FA5CACDD-A594-4207-9BA7-C7F165153D5B}" name="Specimen name" dataDxfId="54"/>
    <tableColumn id="2" xr3:uid="{19DD8629-B305-4804-A689-1057FBADF71C}" name="Number of cycles to failure" dataDxfId="53"/>
    <tableColumn id="4" xr3:uid="{27575528-FAA3-4B4C-8860-7A7CFCB79DBE}" name="Run out (Yes/No)" dataDxfId="52"/>
    <tableColumn id="3" xr3:uid="{0CF78E1F-0EC3-474A-B3FD-519C01702157}" name="Failure type (complete rupture/stiffness decrease)" dataDxfId="51"/>
    <tableColumn id="26" xr3:uid="{05D9D755-9B11-40C9-8DCB-B9E39E20FA04}" name="Geometry picture" dataDxfId="50"/>
    <tableColumn id="33" xr3:uid="{936299CD-E030-4427-B1AB-D5CB204A04BE}" name="Geometry type (flat/cylindrical/hollow cylinder)" dataDxfId="49"/>
    <tableColumn id="34" xr3:uid="{09266E8F-9B14-40D4-88AB-80CC92F93BA2}" name="Notched" dataDxfId="48"/>
    <tableColumn id="39" xr3:uid="{108E1228-D670-44CE-87DA-2A1B0D22E417}" name="A (mm)" dataDxfId="47"/>
    <tableColumn id="38" xr3:uid="{D6414C63-3F42-4BCA-BB3F-506FCA7B7866}" name="B (mm)" dataDxfId="46"/>
    <tableColumn id="37" xr3:uid="{8138AA3A-CE2D-441D-907D-E35AD875EC90}" name="Hole diameter (mm)" dataDxfId="45"/>
    <tableColumn id="27" xr3:uid="{D5A8CCC0-542A-450B-8F88-B47472F29E40}" name="Diameter (mm)" dataDxfId="44"/>
    <tableColumn id="28" xr3:uid="{36725B61-E4CB-4B7E-AF40-7F3BC6BE6CB3}" name="Area (mm^2)" dataDxfId="43">
      <calculatedColumnFormula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calculatedColumnFormula>
    </tableColumn>
    <tableColumn id="45" xr3:uid="{127345D3-F57D-4266-B1E4-4F059E8B31BE}" name="flessional momento of inertia (mm^4)" dataDxfId="42">
      <calculatedColumnFormula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calculatedColumnFormula>
    </tableColumn>
    <tableColumn id="29" xr3:uid="{ADA51E38-565E-4B07-AA7F-4531D7FB559A}" name="torsional momento of inertia (mm^4)" dataDxfId="41">
      <calculatedColumnFormula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calculatedColumnFormula>
    </tableColumn>
    <tableColumn id="21" xr3:uid="{C8363B8B-B0C3-4670-AE9B-A3DF1F1D9748}" name="Phase RADIAL load (°)" dataDxfId="40"/>
    <tableColumn id="40" xr3:uid="{FF54B50E-D6C4-4EF8-BED6-8558889E32B3}" name="Phase AXIAL load (°)" dataDxfId="39"/>
    <tableColumn id="22" xr3:uid="{9A8358C3-645B-4F7B-A800-BF2013564F31}" name="Phase TORSIONAL load (°)" dataDxfId="38"/>
    <tableColumn id="43" xr3:uid="{32E76D00-2B52-4D17-881F-6CB825346CD9}" name="Freq RADIAL load [Hz]" dataDxfId="37"/>
    <tableColumn id="42" xr3:uid="{A0DFAB77-F821-4A7F-A0A1-75075998D45D}" name="Freq AXIAL load[Hz]" dataDxfId="36"/>
    <tableColumn id="41" xr3:uid="{DEC77E42-D985-463A-B500-A8E16CF67856}" name="Freq TORSIONAL load [Hz]" dataDxfId="35"/>
    <tableColumn id="23" xr3:uid="{9724DA05-688A-43E5-9AAC-5035994CD3C7}" name="Load ratio (RADIAL)" dataDxfId="34">
      <calculatedColumnFormula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calculatedColumnFormula>
    </tableColumn>
    <tableColumn id="24" xr3:uid="{5794A9BC-D825-4DEA-82F2-22B1FB825367}" name="Load ratio (AXIAL)" dataDxfId="33">
      <calculatedColumnFormula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calculatedColumnFormula>
    </tableColumn>
    <tableColumn id="25" xr3:uid="{A209A6A1-8B94-4DAE-9AD9-68A32BB08635}" name="Load ratio (TORSIONAL)" dataDxfId="32">
      <calculatedColumnFormula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calculatedColumnFormula>
    </tableColumn>
    <tableColumn id="15" xr3:uid="{79C3F669-131B-420A-8FF5-9D61125EAD7C}" name="Mean RADIAL stress  (MPa)" dataDxfId="31"/>
    <tableColumn id="6" xr3:uid="{CFA41242-20EF-4D5D-9025-FC3F232CBE04}" name="Amplitute RADIAL stress  (MPa)" dataDxfId="30"/>
    <tableColumn id="16" xr3:uid="{F37D511D-F078-4171-84FD-3AE13D4078DC}" name="Mean AXIAL stress  (MPa)" dataDxfId="29"/>
    <tableColumn id="8" xr3:uid="{933ACC34-FA80-47BE-87CF-5D7D742564A2}" name="Amplitute AXIAL stress  (MPa)" dataDxfId="28"/>
    <tableColumn id="44" xr3:uid="{460C3648-EA91-4BC9-8C0D-58B3E19E1ED3}" name="derived from (AXIAL/BENDING) load" dataDxfId="27"/>
    <tableColumn id="19" xr3:uid="{06584471-CEAD-405D-A12E-5A2E79E8CA33}" name="Mean SHEAR stress  (MPa)" dataDxfId="26"/>
    <tableColumn id="10" xr3:uid="{2FCDB52E-3BD8-4D04-8689-303C003D64AE}" name="Amplitute SHEAR stress  (MPa)" dataDxfId="25"/>
    <tableColumn id="36" xr3:uid="{EF2440ED-01F8-493F-BD7F-BDBCFC67F43F}" name="Mean internal PRESSURE  (MPa)" dataDxfId="24">
      <calculatedColumnFormula>IF(ISNUMBER(Tabella2[[#This Row],[Mean RADIAL stress  (MPa)]]), Tabella2[[#This Row],[Mean RADIAL stress  (MPa)]],"")</calculatedColumnFormula>
    </tableColumn>
    <tableColumn id="12" xr3:uid="{A3A206A7-7207-472E-A9D8-013B3CFCAFCB}" name="Amplitute internal PRESSURE (MPa)" dataDxfId="23">
      <calculatedColumnFormula>IF(ISNUMBER(Tabella2[[#This Row],[Amplitute RADIAL stress  (MPa)]]), Tabella2[[#This Row],[Amplitute RADIAL stress  (MPa)]],"")</calculatedColumnFormula>
    </tableColumn>
    <tableColumn id="47" xr3:uid="{2D0E8715-4DDF-44E6-8D9C-9880A8CC9001}" name="Mean AXIAL load (N)" dataDxfId="22">
      <calculatedColumnFormula>IF(ISNUMBER(Tabella2[[#This Row],[Mean AXIAL stress  (MPa)]]), IF(Tabella2[[#This Row],[derived from (AXIAL/BENDING) load]]="AXIAL",Tabella2[[#This Row],[Mean AXIAL stress  (MPa)]]*Tabella2[[#This Row],[Area (mm^2)]],"Null"), "")</calculatedColumnFormula>
    </tableColumn>
    <tableColumn id="46" xr3:uid="{74D06968-9F0E-4F66-B0FC-A6FDF325A23C}" name="Amplitute AXIAL load (N)" dataDxfId="21">
      <calculatedColumnFormula>IF(ISNUMBER(Tabella2[[#This Row],[Amplitute AXIAL stress  (MPa)]]),    IF(Tabella2[[#This Row],[derived from (AXIAL/BENDING) load]]="AXIAL",Tabella2[[#This Row],[Amplitute AXIAL stress  (MPa)]]*Tabella2[[#This Row],[Area (mm^2)]],"Null"), "")</calculatedColumnFormula>
    </tableColumn>
    <tableColumn id="14" xr3:uid="{B1691BE1-3E2F-4716-9F3A-1870C13BFA59}" name="Mean BENDING moment (Nmm)" dataDxfId="20">
      <calculatedColumnFormula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calculatedColumnFormula>
    </tableColumn>
    <tableColumn id="48" xr3:uid="{879D775B-56C1-4C8B-B0F2-AB881BBC76CB}" name="Amplitude BENDING moment (Nmm)" dataDxfId="19">
      <calculatedColumnFormula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calculatedColumnFormula>
    </tableColumn>
    <tableColumn id="17" xr3:uid="{B9FCDDAE-82CF-4FB8-907C-A1558D43EF84}" name="Mean TORQUE (Nmm)" dataDxfId="18">
      <calculatedColumnFormula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calculatedColumnFormula>
    </tableColumn>
    <tableColumn id="18" xr3:uid="{C66D42EC-66DD-4028-A153-9A90E5649F9D}" name="Amplitude TORQUE (Nmm)" dataDxfId="17">
      <calculatedColumnFormula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calculatedColumnFormula>
    </tableColumn>
    <tableColumn id="20" xr3:uid="{D27EA8AC-AA88-4708-8985-FCB1FE48E26F}" name="Lambda (tauA/sigmaA)" dataDxfId="16">
      <calculatedColumnFormula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  <tableColumn id="13" xr3:uid="{202EB95B-F464-428F-A067-490417EBEC52}" name="Amplitude von Mises (MPa)" dataDxfId="15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zoomScaleNormal="100" workbookViewId="0">
      <selection activeCell="E17" sqref="E17"/>
    </sheetView>
  </sheetViews>
  <sheetFormatPr defaultRowHeight="15" x14ac:dyDescent="0.25"/>
  <cols>
    <col min="1" max="1" width="29.140625" bestFit="1" customWidth="1"/>
    <col min="2" max="2" width="68.42578125" customWidth="1"/>
    <col min="3" max="3" width="42.28515625" bestFit="1" customWidth="1"/>
    <col min="4" max="4" width="31.7109375" customWidth="1"/>
    <col min="5" max="5" width="41.85546875" customWidth="1"/>
    <col min="6" max="6" width="31.140625" customWidth="1"/>
    <col min="7" max="7" width="35" customWidth="1"/>
    <col min="8" max="8" width="33.140625" customWidth="1"/>
    <col min="9" max="10" width="38" customWidth="1"/>
    <col min="11" max="11" width="41.140625" customWidth="1"/>
    <col min="12" max="12" width="30.7109375" customWidth="1"/>
    <col min="13" max="13" width="10.7109375" customWidth="1"/>
  </cols>
  <sheetData>
    <row r="1" spans="1:13" ht="20.100000000000001" customHeight="1" x14ac:dyDescent="0.25">
      <c r="A1" s="2" t="s">
        <v>60</v>
      </c>
      <c r="B1" s="2" t="s">
        <v>25</v>
      </c>
      <c r="C1" s="2" t="s">
        <v>24</v>
      </c>
      <c r="D1" s="2" t="s">
        <v>0</v>
      </c>
      <c r="E1" s="2" t="s">
        <v>21</v>
      </c>
      <c r="F1" s="2" t="s">
        <v>1</v>
      </c>
      <c r="G1" s="2" t="s">
        <v>2</v>
      </c>
      <c r="H1" s="2" t="s">
        <v>3</v>
      </c>
      <c r="I1" s="2" t="s">
        <v>38</v>
      </c>
      <c r="J1" s="2" t="s">
        <v>39</v>
      </c>
      <c r="K1" s="2" t="s">
        <v>36</v>
      </c>
      <c r="L1" s="2" t="s">
        <v>37</v>
      </c>
      <c r="M1" s="31" t="s">
        <v>67</v>
      </c>
    </row>
    <row r="2" spans="1:13" ht="20.100000000000001" customHeight="1" x14ac:dyDescent="0.25">
      <c r="A2" s="32" t="s">
        <v>63</v>
      </c>
      <c r="B2" s="1" t="s">
        <v>64</v>
      </c>
      <c r="C2" s="1">
        <v>1992</v>
      </c>
      <c r="D2" s="1" t="s">
        <v>65</v>
      </c>
      <c r="E2" s="1">
        <v>195000</v>
      </c>
      <c r="F2" s="1" t="s">
        <v>20</v>
      </c>
      <c r="G2" s="1">
        <v>1160</v>
      </c>
      <c r="H2" s="1">
        <v>1020</v>
      </c>
      <c r="I2" s="1">
        <v>710</v>
      </c>
      <c r="J2" s="1">
        <v>450</v>
      </c>
      <c r="K2" s="10">
        <v>1000000</v>
      </c>
      <c r="L2" s="20">
        <v>-1</v>
      </c>
      <c r="M2" s="20">
        <f>IF(COUNTIF(Tabella1[[#This Row],[Tensile fatigue limit (MPa)]],"Null")&gt;0, "Null", IF(COUNT(Tabella1[[#This Row],[Tensile fatigue limit (MPa)]])=0, "Null", Tabella1[[#This Row],[Tensile fatigue limit (MPa)]]/Tabella1[[#This Row],[Torsional fatigue limit (MPa)]]))</f>
        <v>1.5777777777777777</v>
      </c>
    </row>
    <row r="3" spans="1:13" ht="20.100000000000001" customHeight="1" x14ac:dyDescent="0.25">
      <c r="A3" s="32" t="s">
        <v>66</v>
      </c>
      <c r="B3" s="1" t="s">
        <v>64</v>
      </c>
      <c r="C3" s="1">
        <v>1989</v>
      </c>
      <c r="D3" s="1" t="s">
        <v>65</v>
      </c>
      <c r="E3" s="1">
        <v>200000</v>
      </c>
      <c r="F3" s="1" t="s">
        <v>20</v>
      </c>
      <c r="G3" s="1">
        <v>1160</v>
      </c>
      <c r="H3" s="1">
        <v>1020</v>
      </c>
      <c r="I3" s="1">
        <v>660</v>
      </c>
      <c r="J3" s="1">
        <v>410</v>
      </c>
      <c r="K3" s="10">
        <v>1000000</v>
      </c>
      <c r="L3" s="20">
        <v>-1</v>
      </c>
      <c r="M3" s="20">
        <f>IF(COUNTIF(Tabella1[[#This Row],[Tensile fatigue limit (MPa)]],"Null")&gt;0, "Null", IF(COUNT(Tabella1[[#This Row],[Tensile fatigue limit (MPa)]])=0, "Null", Tabella1[[#This Row],[Tensile fatigue limit (MPa)]]/Tabella1[[#This Row],[Torsional fatigue limit (MPa)]]))</f>
        <v>1.6097560975609757</v>
      </c>
    </row>
    <row r="4" spans="1:13" ht="20.100000000000001" customHeight="1" x14ac:dyDescent="0.25">
      <c r="A4" s="13"/>
      <c r="B4" s="1"/>
      <c r="C4" s="1"/>
      <c r="D4" s="1"/>
      <c r="E4" s="1"/>
      <c r="F4" s="1"/>
      <c r="G4" s="1"/>
      <c r="H4" s="1"/>
      <c r="I4" s="1"/>
      <c r="J4" s="1"/>
      <c r="K4" s="10"/>
      <c r="L4" s="1"/>
      <c r="M4" s="20"/>
    </row>
    <row r="5" spans="1:13" ht="20.100000000000001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0"/>
      <c r="L5" s="1"/>
      <c r="M5" s="20"/>
    </row>
    <row r="6" spans="1:13" ht="20.100000000000001" customHeight="1" x14ac:dyDescent="0.25">
      <c r="A6" s="73" t="s">
        <v>23</v>
      </c>
      <c r="B6" s="74"/>
      <c r="C6" s="74"/>
      <c r="D6" s="75"/>
      <c r="E6" s="3">
        <f>IF(COUNT(Tabella1[Young''s modulus (MPa)])=0, "Null", AVERAGE(Tabella1[Young''s modulus (MPa)]))</f>
        <v>197500</v>
      </c>
      <c r="F6" s="3" t="str">
        <f>IF(COUNT(Tabella1[Poisson''s ratio (-)])=0, "Null", AVERAGE(Tabella1[Poisson''s ratio (-)]))</f>
        <v>Null</v>
      </c>
      <c r="G6" s="3">
        <f>IF(COUNT(Tabella1[Tensile strength (MPa)])=0, "Null", AVERAGE(Tabella1[Tensile strength (MPa)]))</f>
        <v>1160</v>
      </c>
      <c r="H6" s="3">
        <f>IF(COUNT(Tabella1[Yield strength (MPa)])=0, "Null", AVERAGE(Tabella1[Yield strength (MPa)]))</f>
        <v>1020</v>
      </c>
      <c r="I6" s="3">
        <f>IF(COUNT(Tabella1[Tensile fatigue limit (MPa)])=0, "Null", AVERAGE(Tabella1[Tensile fatigue limit (MPa)]))</f>
        <v>685</v>
      </c>
      <c r="J6" s="3">
        <f>IF(COUNT(Tabella1[Torsional fatigue limit (MPa)])=0, "Null", AVERAGE(Tabella1[Torsional fatigue limit (MPa)]))</f>
        <v>430</v>
      </c>
      <c r="K6" s="11"/>
      <c r="L6" s="9"/>
      <c r="M6" s="3"/>
    </row>
    <row r="7" spans="1:13" ht="20.100000000000001" customHeight="1" thickBot="1" x14ac:dyDescent="0.3">
      <c r="A7" s="76" t="s">
        <v>22</v>
      </c>
      <c r="B7" s="77"/>
      <c r="C7" s="77"/>
      <c r="D7" s="78"/>
      <c r="E7" s="4">
        <f>IF(COUNT(Tabella1[Young''s modulus (MPa)])=0, "Null", _xlfn.STDEV.P(Tabella1[Young''s modulus (MPa)]))</f>
        <v>2500</v>
      </c>
      <c r="F7" s="4" t="str">
        <f>IF(COUNT(Tabella1[Poisson''s ratio (-)])=0, "Null", _xlfn.STDEV.P(Tabella1[Poisson''s ratio (-)]))</f>
        <v>Null</v>
      </c>
      <c r="G7" s="4">
        <f>IF(COUNT(Tabella1[Tensile strength (MPa)])=0, "Null", _xlfn.STDEV.P(Tabella1[Tensile strength (MPa)]))</f>
        <v>0</v>
      </c>
      <c r="H7" s="4">
        <f>IF(COUNT(Tabella1[Yield strength (MPa)])=0, "Null", _xlfn.STDEV.P(Tabella1[Yield strength (MPa)]))</f>
        <v>0</v>
      </c>
      <c r="I7" s="4">
        <f>IF(COUNT(Tabella1[Tensile fatigue limit (MPa)])=0, "Null", _xlfn.STDEV.P(Tabella1[Tensile fatigue limit (MPa)]))</f>
        <v>25</v>
      </c>
      <c r="J7" s="4">
        <f>IF(COUNT(Tabella1[Torsional fatigue limit (MPa)])=0, "Null", _xlfn.STDEV.P(Tabella1[Torsional fatigue limit (MPa)]))</f>
        <v>20</v>
      </c>
      <c r="K7" s="12"/>
      <c r="L7" s="4"/>
      <c r="M7" s="4"/>
    </row>
    <row r="8" spans="1:13" ht="20.100000000000001" customHeight="1" x14ac:dyDescent="0.25"/>
    <row r="9" spans="1:13" ht="20.100000000000001" customHeight="1" x14ac:dyDescent="0.25"/>
    <row r="10" spans="1:13" ht="20.100000000000001" customHeight="1" x14ac:dyDescent="0.25"/>
    <row r="11" spans="1:13" ht="20.100000000000001" customHeight="1" x14ac:dyDescent="0.25"/>
    <row r="12" spans="1:13" ht="20.100000000000001" customHeight="1" thickBot="1" x14ac:dyDescent="0.3"/>
    <row r="13" spans="1:13" ht="20.100000000000001" customHeight="1" x14ac:dyDescent="0.25">
      <c r="A13" s="79" t="s">
        <v>28</v>
      </c>
      <c r="B13" s="5" t="s">
        <v>29</v>
      </c>
    </row>
    <row r="14" spans="1:13" ht="20.100000000000001" customHeight="1" thickBot="1" x14ac:dyDescent="0.3">
      <c r="A14" s="80"/>
      <c r="B14" s="6" t="s">
        <v>30</v>
      </c>
    </row>
    <row r="27" spans="4:4" x14ac:dyDescent="0.25">
      <c r="D27" s="7" t="s">
        <v>33</v>
      </c>
    </row>
    <row r="28" spans="4:4" x14ac:dyDescent="0.25">
      <c r="D28" s="8">
        <f>COUNTA(Tabella2[Authors])</f>
        <v>38</v>
      </c>
    </row>
  </sheetData>
  <mergeCells count="3">
    <mergeCell ref="A6:D6"/>
    <mergeCell ref="A7:D7"/>
    <mergeCell ref="A13:A14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Q192"/>
  <sheetViews>
    <sheetView zoomScale="70" zoomScaleNormal="70" workbookViewId="0">
      <pane ySplit="1" topLeftCell="A20" activePane="bottomLeft" state="frozen"/>
      <selection activeCell="B1" sqref="B1"/>
      <selection pane="bottomLeft" activeCell="H25" sqref="H25"/>
    </sheetView>
  </sheetViews>
  <sheetFormatPr defaultColWidth="52.7109375" defaultRowHeight="15" x14ac:dyDescent="0.25"/>
  <cols>
    <col min="1" max="1" width="32.42578125" style="1" customWidth="1"/>
    <col min="2" max="2" width="25.5703125" style="1" customWidth="1"/>
    <col min="3" max="3" width="40.42578125" style="1" customWidth="1"/>
    <col min="4" max="4" width="54" style="1" customWidth="1"/>
    <col min="5" max="5" width="32.85546875" style="60" customWidth="1"/>
    <col min="6" max="6" width="24.5703125" style="1" customWidth="1"/>
    <col min="7" max="7" width="49.140625" style="1" customWidth="1"/>
    <col min="8" max="8" width="28.7109375" style="67" customWidth="1"/>
    <col min="9" max="9" width="63.5703125" style="1" customWidth="1"/>
    <col min="10" max="10" width="31.28515625" style="1" customWidth="1"/>
    <col min="11" max="11" width="26.5703125" style="1" customWidth="1"/>
    <col min="12" max="12" width="28" style="1" customWidth="1"/>
    <col min="13" max="13" width="35" style="1" customWidth="1"/>
    <col min="14" max="14" width="31.85546875" style="1" customWidth="1"/>
    <col min="15" max="15" width="35" style="1" customWidth="1"/>
    <col min="16" max="16" width="49.42578125" style="1" customWidth="1"/>
    <col min="17" max="17" width="53.140625" style="17" customWidth="1"/>
    <col min="18" max="18" width="42.140625" style="1" customWidth="1"/>
    <col min="19" max="19" width="33.5703125" style="1" customWidth="1"/>
    <col min="20" max="20" width="38.42578125" style="1" customWidth="1"/>
    <col min="21" max="21" width="37.140625" style="58" customWidth="1"/>
    <col min="22" max="22" width="40.7109375" style="59" customWidth="1"/>
    <col min="23" max="23" width="40" style="59" customWidth="1"/>
    <col min="24" max="24" width="35.140625" style="1" customWidth="1"/>
    <col min="25" max="25" width="34.28515625" style="58" customWidth="1"/>
    <col min="26" max="26" width="41.42578125" style="19" customWidth="1"/>
    <col min="27" max="27" width="28.7109375" style="20" customWidth="1"/>
    <col min="28" max="28" width="29.5703125" style="20" customWidth="1"/>
    <col min="29" max="29" width="27.42578125" style="20" customWidth="1"/>
    <col min="30" max="30" width="30.140625" style="20" customWidth="1"/>
    <col min="31" max="31" width="30.85546875" style="59" customWidth="1"/>
    <col min="32" max="32" width="25" style="20" customWidth="1"/>
    <col min="33" max="33" width="30.28515625" style="17" customWidth="1"/>
    <col min="34" max="34" width="28.5703125" style="20" customWidth="1"/>
    <col min="35" max="35" width="29.28515625" style="20" customWidth="1"/>
    <col min="36" max="36" width="20.140625" style="20" customWidth="1"/>
    <col min="37" max="37" width="23.140625" style="20" customWidth="1"/>
    <col min="38" max="38" width="23.28515625" style="20" customWidth="1"/>
    <col min="39" max="39" width="25.85546875" style="20" customWidth="1"/>
    <col min="40" max="40" width="23.85546875" style="20" customWidth="1"/>
    <col min="41" max="41" width="24" style="18" customWidth="1"/>
    <col min="42" max="42" width="34" style="29" customWidth="1"/>
    <col min="43" max="43" width="52.7109375" style="27"/>
    <col min="44" max="16384" width="52.7109375" style="1"/>
  </cols>
  <sheetData>
    <row r="1" spans="1:43" s="54" customFormat="1" ht="44.25" customHeight="1" x14ac:dyDescent="0.25">
      <c r="A1" s="38" t="s">
        <v>25</v>
      </c>
      <c r="B1" s="38" t="s">
        <v>24</v>
      </c>
      <c r="C1" s="38" t="s">
        <v>60</v>
      </c>
      <c r="D1" s="38" t="s">
        <v>18</v>
      </c>
      <c r="E1" s="39" t="s">
        <v>4</v>
      </c>
      <c r="F1" s="38" t="s">
        <v>5</v>
      </c>
      <c r="G1" s="38" t="s">
        <v>17</v>
      </c>
      <c r="H1" s="66" t="s">
        <v>15</v>
      </c>
      <c r="I1" s="40" t="s">
        <v>43</v>
      </c>
      <c r="J1" s="40" t="s">
        <v>27</v>
      </c>
      <c r="K1" s="41" t="s">
        <v>40</v>
      </c>
      <c r="L1" s="41" t="s">
        <v>41</v>
      </c>
      <c r="M1" s="41" t="s">
        <v>42</v>
      </c>
      <c r="N1" s="40" t="s">
        <v>16</v>
      </c>
      <c r="O1" s="42" t="s">
        <v>32</v>
      </c>
      <c r="P1" s="42" t="s">
        <v>57</v>
      </c>
      <c r="Q1" s="21" t="s">
        <v>56</v>
      </c>
      <c r="R1" s="43" t="s">
        <v>44</v>
      </c>
      <c r="S1" s="43" t="s">
        <v>45</v>
      </c>
      <c r="T1" s="43" t="s">
        <v>46</v>
      </c>
      <c r="U1" s="44" t="s">
        <v>47</v>
      </c>
      <c r="V1" s="45" t="s">
        <v>48</v>
      </c>
      <c r="W1" s="45" t="s">
        <v>49</v>
      </c>
      <c r="X1" s="46" t="s">
        <v>13</v>
      </c>
      <c r="Y1" s="47" t="s">
        <v>50</v>
      </c>
      <c r="Z1" s="69" t="s">
        <v>14</v>
      </c>
      <c r="AA1" s="48" t="s">
        <v>6</v>
      </c>
      <c r="AB1" s="49" t="s">
        <v>7</v>
      </c>
      <c r="AC1" s="49" t="s">
        <v>51</v>
      </c>
      <c r="AD1" s="49" t="s">
        <v>52</v>
      </c>
      <c r="AE1" s="50" t="s">
        <v>55</v>
      </c>
      <c r="AF1" s="51" t="s">
        <v>8</v>
      </c>
      <c r="AG1" s="24" t="s">
        <v>9</v>
      </c>
      <c r="AH1" s="52" t="s">
        <v>53</v>
      </c>
      <c r="AI1" s="53" t="s">
        <v>54</v>
      </c>
      <c r="AJ1" s="52" t="s">
        <v>58</v>
      </c>
      <c r="AK1" s="53" t="s">
        <v>62</v>
      </c>
      <c r="AL1" s="52" t="s">
        <v>34</v>
      </c>
      <c r="AM1" s="53" t="s">
        <v>35</v>
      </c>
      <c r="AN1" s="52" t="s">
        <v>11</v>
      </c>
      <c r="AO1" s="30" t="s">
        <v>10</v>
      </c>
      <c r="AP1" s="26" t="s">
        <v>12</v>
      </c>
      <c r="AQ1" s="72" t="s">
        <v>61</v>
      </c>
    </row>
    <row r="2" spans="1:43" ht="20.100000000000001" customHeight="1" x14ac:dyDescent="0.25">
      <c r="A2" s="1" t="s">
        <v>64</v>
      </c>
      <c r="B2" s="1">
        <v>1992</v>
      </c>
      <c r="C2" s="1" t="s">
        <v>63</v>
      </c>
      <c r="D2" s="1" t="s">
        <v>68</v>
      </c>
      <c r="E2" s="55">
        <v>1000000</v>
      </c>
      <c r="F2" s="1" t="s">
        <v>31</v>
      </c>
      <c r="G2" s="56" t="s">
        <v>69</v>
      </c>
      <c r="H2" s="67" t="e" vm="1">
        <v>#VALUE!</v>
      </c>
      <c r="I2" s="1" t="s">
        <v>26</v>
      </c>
      <c r="J2" s="1" t="s">
        <v>19</v>
      </c>
      <c r="K2" s="1" t="s">
        <v>20</v>
      </c>
      <c r="L2" s="1" t="s">
        <v>20</v>
      </c>
      <c r="M2" s="1" t="s">
        <v>20</v>
      </c>
      <c r="N2" s="57">
        <v>10</v>
      </c>
      <c r="O2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2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2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2" s="1">
        <v>0</v>
      </c>
      <c r="S2" s="1">
        <v>0</v>
      </c>
      <c r="T2" s="1">
        <v>0</v>
      </c>
      <c r="U2" s="58">
        <v>20</v>
      </c>
      <c r="V2" s="58">
        <v>20</v>
      </c>
      <c r="W2" s="58">
        <v>20</v>
      </c>
      <c r="X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" s="1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" s="20">
        <v>0</v>
      </c>
      <c r="AB2" s="20">
        <v>0</v>
      </c>
      <c r="AC2" s="1">
        <v>0</v>
      </c>
      <c r="AD2" s="1">
        <v>710</v>
      </c>
      <c r="AE2" s="59" t="s">
        <v>59</v>
      </c>
      <c r="AF2" s="58">
        <v>0</v>
      </c>
      <c r="AG2" s="19">
        <v>0</v>
      </c>
      <c r="AH2" s="20">
        <f>IF(ISNUMBER(Tabella2[[#This Row],[Mean RADIAL stress  (MPa)]]), Tabella2[[#This Row],[Mean RADIAL stress  (MPa)]],"")</f>
        <v>0</v>
      </c>
      <c r="AI2" s="20">
        <f>IF(ISNUMBER(Tabella2[[#This Row],[Amplitute RADIAL stress  (MPa)]]), Tabella2[[#This Row],[Amplitute RADIAL stress  (MPa)]],"")</f>
        <v>0</v>
      </c>
      <c r="AJ2" s="20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" s="20">
        <f>IF(ISNUMBER(Tabella2[[#This Row],[Amplitute AXIAL stress  (MPa)]]),    IF(Tabella2[[#This Row],[derived from (AXIAL/BENDING) load]]="AXIAL",Tabella2[[#This Row],[Amplitute AXIAL stress  (MPa)]]*Tabella2[[#This Row],[Area (mm^2)]],"Null"), "")</f>
        <v>55763.269601218832</v>
      </c>
      <c r="AL2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710</v>
      </c>
    </row>
    <row r="3" spans="1:43" ht="20.100000000000001" customHeight="1" x14ac:dyDescent="0.25">
      <c r="A3" s="1" t="s">
        <v>64</v>
      </c>
      <c r="B3" s="1">
        <v>1992</v>
      </c>
      <c r="C3" s="1" t="s">
        <v>63</v>
      </c>
      <c r="D3" s="1" t="s">
        <v>68</v>
      </c>
      <c r="E3" s="55">
        <v>1000000</v>
      </c>
      <c r="F3" s="1" t="s">
        <v>31</v>
      </c>
      <c r="G3" s="56" t="s">
        <v>69</v>
      </c>
      <c r="H3" s="67" t="e" vm="2">
        <v>#VALUE!</v>
      </c>
      <c r="I3" s="1" t="s">
        <v>26</v>
      </c>
      <c r="J3" s="1" t="s">
        <v>19</v>
      </c>
      <c r="K3" s="1" t="s">
        <v>20</v>
      </c>
      <c r="L3" s="1" t="s">
        <v>20</v>
      </c>
      <c r="M3" s="1" t="s">
        <v>20</v>
      </c>
      <c r="N3" s="57">
        <v>10</v>
      </c>
      <c r="O3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3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3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3" s="1">
        <v>0</v>
      </c>
      <c r="S3" s="1">
        <v>0</v>
      </c>
      <c r="T3" s="1">
        <v>0</v>
      </c>
      <c r="U3" s="58">
        <v>20</v>
      </c>
      <c r="V3" s="58">
        <v>20</v>
      </c>
      <c r="W3" s="58">
        <v>20</v>
      </c>
      <c r="X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" s="58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3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" s="20">
        <v>0</v>
      </c>
      <c r="AB3" s="20">
        <v>0</v>
      </c>
      <c r="AC3" s="1">
        <v>0</v>
      </c>
      <c r="AD3" s="1">
        <v>0</v>
      </c>
      <c r="AE3" s="59" t="s">
        <v>59</v>
      </c>
      <c r="AF3" s="58">
        <v>0</v>
      </c>
      <c r="AG3" s="19">
        <v>450</v>
      </c>
      <c r="AH3" s="20">
        <f>IF(ISNUMBER(Tabella2[[#This Row],[Mean RADIAL stress  (MPa)]]), Tabella2[[#This Row],[Mean RADIAL stress  (MPa)]],"")</f>
        <v>0</v>
      </c>
      <c r="AI3" s="20">
        <f>IF(ISNUMBER(Tabella2[[#This Row],[Amplitute RADIAL stress  (MPa)]]), Tabella2[[#This Row],[Amplitute RADIAL stress  (MPa)]],"")</f>
        <v>0</v>
      </c>
      <c r="AJ3" s="20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" s="20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3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88357.293382212942</v>
      </c>
      <c r="AP3" s="27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3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779.4228634059948</v>
      </c>
    </row>
    <row r="4" spans="1:43" ht="20.100000000000001" customHeight="1" x14ac:dyDescent="0.25">
      <c r="A4" s="1" t="s">
        <v>64</v>
      </c>
      <c r="B4" s="1">
        <v>1992</v>
      </c>
      <c r="C4" s="1" t="s">
        <v>63</v>
      </c>
      <c r="D4" s="1" t="s">
        <v>68</v>
      </c>
      <c r="E4" s="55">
        <v>1000000</v>
      </c>
      <c r="F4" s="1" t="s">
        <v>31</v>
      </c>
      <c r="G4" s="56" t="s">
        <v>69</v>
      </c>
      <c r="H4" s="67" t="e" vm="2">
        <v>#VALUE!</v>
      </c>
      <c r="I4" s="1" t="s">
        <v>26</v>
      </c>
      <c r="J4" s="1" t="s">
        <v>19</v>
      </c>
      <c r="K4" s="1" t="s">
        <v>20</v>
      </c>
      <c r="L4" s="1" t="s">
        <v>20</v>
      </c>
      <c r="M4" s="1" t="s">
        <v>20</v>
      </c>
      <c r="N4" s="57">
        <v>10</v>
      </c>
      <c r="O4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4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4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4" s="1">
        <v>0</v>
      </c>
      <c r="S4" s="1">
        <v>0</v>
      </c>
      <c r="T4" s="1">
        <v>0</v>
      </c>
      <c r="U4" s="58">
        <v>20</v>
      </c>
      <c r="V4" s="58">
        <v>20</v>
      </c>
      <c r="W4" s="58">
        <v>20</v>
      </c>
      <c r="X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" s="20">
        <v>0</v>
      </c>
      <c r="AB4" s="20">
        <v>0</v>
      </c>
      <c r="AC4" s="1">
        <v>0</v>
      </c>
      <c r="AD4" s="1">
        <v>485</v>
      </c>
      <c r="AE4" s="59" t="s">
        <v>59</v>
      </c>
      <c r="AF4" s="58">
        <v>0</v>
      </c>
      <c r="AG4" s="19">
        <v>280</v>
      </c>
      <c r="AH4" s="20">
        <f>IF(ISNUMBER(Tabella2[[#This Row],[Mean RADIAL stress  (MPa)]]), Tabella2[[#This Row],[Mean RADIAL stress  (MPa)]],"")</f>
        <v>0</v>
      </c>
      <c r="AI4" s="20">
        <f>IF(ISNUMBER(Tabella2[[#This Row],[Amplitute RADIAL stress  (MPa)]]), Tabella2[[#This Row],[Amplitute RADIAL stress  (MPa)]],"")</f>
        <v>0</v>
      </c>
      <c r="AJ4" s="20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" s="20">
        <f>IF(ISNUMBER(Tabella2[[#This Row],[Amplitute AXIAL stress  (MPa)]]),    IF(Tabella2[[#This Row],[derived from (AXIAL/BENDING) load]]="AXIAL",Tabella2[[#This Row],[Amplitute AXIAL stress  (MPa)]]*Tabella2[[#This Row],[Area (mm^2)]],"Null"), "")</f>
        <v>38091.81092477624</v>
      </c>
      <c r="AL4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54977.871437821384</v>
      </c>
      <c r="AP4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0.57731958762886593</v>
      </c>
      <c r="AQ4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685.87535310725377</v>
      </c>
    </row>
    <row r="5" spans="1:43" ht="20.100000000000001" customHeight="1" x14ac:dyDescent="0.25">
      <c r="A5" s="1" t="s">
        <v>64</v>
      </c>
      <c r="B5" s="1">
        <v>1992</v>
      </c>
      <c r="C5" s="1" t="s">
        <v>63</v>
      </c>
      <c r="D5" s="1" t="s">
        <v>68</v>
      </c>
      <c r="E5" s="55">
        <v>1000000</v>
      </c>
      <c r="F5" s="1" t="s">
        <v>31</v>
      </c>
      <c r="G5" s="56" t="s">
        <v>69</v>
      </c>
      <c r="H5" s="67" t="e" vm="2">
        <v>#VALUE!</v>
      </c>
      <c r="I5" s="1" t="s">
        <v>26</v>
      </c>
      <c r="J5" s="1" t="s">
        <v>19</v>
      </c>
      <c r="K5" s="1" t="s">
        <v>20</v>
      </c>
      <c r="L5" s="1" t="s">
        <v>20</v>
      </c>
      <c r="M5" s="1" t="s">
        <v>20</v>
      </c>
      <c r="N5" s="57">
        <v>10</v>
      </c>
      <c r="O5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5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5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5" s="1">
        <v>0</v>
      </c>
      <c r="S5" s="1">
        <v>0</v>
      </c>
      <c r="T5" s="1">
        <v>90</v>
      </c>
      <c r="U5" s="58">
        <v>20</v>
      </c>
      <c r="V5" s="58">
        <v>20</v>
      </c>
      <c r="W5" s="58">
        <v>20</v>
      </c>
      <c r="X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5" s="20">
        <v>0</v>
      </c>
      <c r="AB5" s="20">
        <v>0</v>
      </c>
      <c r="AC5" s="1">
        <v>0</v>
      </c>
      <c r="AD5" s="1">
        <v>480</v>
      </c>
      <c r="AE5" s="59" t="s">
        <v>59</v>
      </c>
      <c r="AF5" s="58">
        <v>0</v>
      </c>
      <c r="AG5" s="19">
        <v>277</v>
      </c>
      <c r="AH5" s="20">
        <f>IF(ISNUMBER(Tabella2[[#This Row],[Mean RADIAL stress  (MPa)]]), Tabella2[[#This Row],[Mean RADIAL stress  (MPa)]],"")</f>
        <v>0</v>
      </c>
      <c r="AI5" s="20">
        <f>IF(ISNUMBER(Tabella2[[#This Row],[Amplitute RADIAL stress  (MPa)]]), Tabella2[[#This Row],[Amplitute RADIAL stress  (MPa)]],"")</f>
        <v>0</v>
      </c>
      <c r="AJ5" s="20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" s="20">
        <f>IF(ISNUMBER(Tabella2[[#This Row],[Amplitute AXIAL stress  (MPa)]]),    IF(Tabella2[[#This Row],[derived from (AXIAL/BENDING) load]]="AXIAL",Tabella2[[#This Row],[Amplitute AXIAL stress  (MPa)]]*Tabella2[[#This Row],[Area (mm^2)]],"Null"), "")</f>
        <v>37699.111843077517</v>
      </c>
      <c r="AL5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54388.822815273292</v>
      </c>
      <c r="AP5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0.57708333333333328</v>
      </c>
      <c r="AQ5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678.66560248770531</v>
      </c>
    </row>
    <row r="6" spans="1:43" ht="20.100000000000001" customHeight="1" x14ac:dyDescent="0.25">
      <c r="A6" s="1" t="s">
        <v>64</v>
      </c>
      <c r="B6" s="1">
        <v>1992</v>
      </c>
      <c r="C6" s="1" t="s">
        <v>63</v>
      </c>
      <c r="D6" s="1" t="s">
        <v>68</v>
      </c>
      <c r="E6" s="55">
        <v>1000000</v>
      </c>
      <c r="F6" s="1" t="s">
        <v>31</v>
      </c>
      <c r="G6" s="56" t="s">
        <v>69</v>
      </c>
      <c r="H6" s="67" t="e" vm="2">
        <v>#VALUE!</v>
      </c>
      <c r="I6" s="1" t="s">
        <v>26</v>
      </c>
      <c r="J6" s="1" t="s">
        <v>19</v>
      </c>
      <c r="K6" s="1" t="s">
        <v>20</v>
      </c>
      <c r="L6" s="1" t="s">
        <v>20</v>
      </c>
      <c r="M6" s="1" t="s">
        <v>20</v>
      </c>
      <c r="N6" s="57">
        <v>10</v>
      </c>
      <c r="O6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6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6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6" s="1">
        <v>0</v>
      </c>
      <c r="S6" s="1">
        <v>0</v>
      </c>
      <c r="T6" s="1">
        <v>0</v>
      </c>
      <c r="U6" s="58">
        <v>20</v>
      </c>
      <c r="V6" s="58">
        <v>20</v>
      </c>
      <c r="W6" s="58">
        <v>20</v>
      </c>
      <c r="X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-0.35483870967741937</v>
      </c>
      <c r="Z6" s="1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" s="20">
        <v>0</v>
      </c>
      <c r="AB6" s="20">
        <v>0</v>
      </c>
      <c r="AC6" s="1">
        <v>300</v>
      </c>
      <c r="AD6" s="1">
        <v>630</v>
      </c>
      <c r="AE6" s="59" t="s">
        <v>59</v>
      </c>
      <c r="AF6" s="58">
        <v>0</v>
      </c>
      <c r="AG6" s="19">
        <v>0</v>
      </c>
      <c r="AH6" s="20">
        <f>IF(ISNUMBER(Tabella2[[#This Row],[Mean RADIAL stress  (MPa)]]), Tabella2[[#This Row],[Mean RADIAL stress  (MPa)]],"")</f>
        <v>0</v>
      </c>
      <c r="AI6" s="20">
        <f>IF(ISNUMBER(Tabella2[[#This Row],[Amplitute RADIAL stress  (MPa)]]), Tabella2[[#This Row],[Amplitute RADIAL stress  (MPa)]],"")</f>
        <v>0</v>
      </c>
      <c r="AJ6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6" s="20">
        <f>IF(ISNUMBER(Tabella2[[#This Row],[Amplitute AXIAL stress  (MPa)]]),    IF(Tabella2[[#This Row],[derived from (AXIAL/BENDING) load]]="AXIAL",Tabella2[[#This Row],[Amplitute AXIAL stress  (MPa)]]*Tabella2[[#This Row],[Area (mm^2)]],"Null"), "")</f>
        <v>49480.084294039247</v>
      </c>
      <c r="AL6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6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630</v>
      </c>
    </row>
    <row r="7" spans="1:43" ht="20.100000000000001" customHeight="1" x14ac:dyDescent="0.25">
      <c r="A7" s="1" t="s">
        <v>64</v>
      </c>
      <c r="B7" s="1">
        <v>1992</v>
      </c>
      <c r="C7" s="1" t="s">
        <v>63</v>
      </c>
      <c r="D7" s="1" t="s">
        <v>68</v>
      </c>
      <c r="E7" s="55">
        <v>1000000</v>
      </c>
      <c r="F7" s="1" t="s">
        <v>31</v>
      </c>
      <c r="G7" s="56" t="s">
        <v>69</v>
      </c>
      <c r="H7" s="67" t="e" vm="2">
        <v>#VALUE!</v>
      </c>
      <c r="I7" s="1" t="s">
        <v>26</v>
      </c>
      <c r="J7" s="1" t="s">
        <v>19</v>
      </c>
      <c r="K7" s="1" t="s">
        <v>20</v>
      </c>
      <c r="L7" s="1" t="s">
        <v>20</v>
      </c>
      <c r="M7" s="1" t="s">
        <v>20</v>
      </c>
      <c r="N7" s="57">
        <v>10</v>
      </c>
      <c r="O7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7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7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7" s="1">
        <v>0</v>
      </c>
      <c r="S7" s="1">
        <v>0</v>
      </c>
      <c r="T7" s="1">
        <v>0</v>
      </c>
      <c r="U7" s="58">
        <v>20</v>
      </c>
      <c r="V7" s="58">
        <v>20</v>
      </c>
      <c r="W7" s="58">
        <v>20</v>
      </c>
      <c r="X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1</v>
      </c>
      <c r="Z7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" s="20">
        <v>0</v>
      </c>
      <c r="AB7" s="20">
        <v>0</v>
      </c>
      <c r="AC7" s="1">
        <v>300</v>
      </c>
      <c r="AD7" s="1">
        <v>0</v>
      </c>
      <c r="AE7" s="59" t="s">
        <v>59</v>
      </c>
      <c r="AF7" s="58">
        <v>0</v>
      </c>
      <c r="AG7" s="19">
        <v>395</v>
      </c>
      <c r="AH7" s="20">
        <f>IF(ISNUMBER(Tabella2[[#This Row],[Mean RADIAL stress  (MPa)]]), Tabella2[[#This Row],[Mean RADIAL stress  (MPa)]],"")</f>
        <v>0</v>
      </c>
      <c r="AI7" s="20">
        <f>IF(ISNUMBER(Tabella2[[#This Row],[Amplitute RADIAL stress  (MPa)]]), Tabella2[[#This Row],[Amplitute RADIAL stress  (MPa)]],"")</f>
        <v>0</v>
      </c>
      <c r="AJ7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7" s="20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77558.068635498028</v>
      </c>
      <c r="AP7" s="27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684.16006898970659</v>
      </c>
    </row>
    <row r="8" spans="1:43" ht="20.100000000000001" customHeight="1" x14ac:dyDescent="0.25">
      <c r="A8" s="1" t="s">
        <v>64</v>
      </c>
      <c r="B8" s="1">
        <v>1992</v>
      </c>
      <c r="C8" s="1" t="s">
        <v>63</v>
      </c>
      <c r="D8" s="1" t="s">
        <v>68</v>
      </c>
      <c r="E8" s="55">
        <v>1000000</v>
      </c>
      <c r="F8" s="1" t="s">
        <v>31</v>
      </c>
      <c r="G8" s="56" t="s">
        <v>69</v>
      </c>
      <c r="H8" s="67" t="e" vm="2">
        <v>#VALUE!</v>
      </c>
      <c r="I8" s="1" t="s">
        <v>26</v>
      </c>
      <c r="J8" s="1" t="s">
        <v>19</v>
      </c>
      <c r="K8" s="1" t="s">
        <v>20</v>
      </c>
      <c r="L8" s="1" t="s">
        <v>20</v>
      </c>
      <c r="M8" s="1" t="s">
        <v>20</v>
      </c>
      <c r="N8" s="57">
        <v>10</v>
      </c>
      <c r="O8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8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8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8" s="1">
        <v>0</v>
      </c>
      <c r="S8" s="1">
        <v>0</v>
      </c>
      <c r="T8" s="1">
        <v>0</v>
      </c>
      <c r="U8" s="58">
        <v>20</v>
      </c>
      <c r="V8" s="58">
        <v>20</v>
      </c>
      <c r="W8" s="58">
        <v>20</v>
      </c>
      <c r="X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-0.23076923076923078</v>
      </c>
      <c r="Z8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" s="20">
        <v>0</v>
      </c>
      <c r="AB8" s="20">
        <v>0</v>
      </c>
      <c r="AC8" s="1">
        <v>300</v>
      </c>
      <c r="AD8" s="1">
        <v>480</v>
      </c>
      <c r="AE8" s="59" t="s">
        <v>59</v>
      </c>
      <c r="AF8" s="58">
        <v>0</v>
      </c>
      <c r="AG8" s="19">
        <v>277</v>
      </c>
      <c r="AH8" s="20">
        <f>IF(ISNUMBER(Tabella2[[#This Row],[Mean RADIAL stress  (MPa)]]), Tabella2[[#This Row],[Mean RADIAL stress  (MPa)]],"")</f>
        <v>0</v>
      </c>
      <c r="AI8" s="20">
        <f>IF(ISNUMBER(Tabella2[[#This Row],[Amplitute RADIAL stress  (MPa)]]), Tabella2[[#This Row],[Amplitute RADIAL stress  (MPa)]],"")</f>
        <v>0</v>
      </c>
      <c r="AJ8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8" s="20">
        <f>IF(ISNUMBER(Tabella2[[#This Row],[Amplitute AXIAL stress  (MPa)]]),    IF(Tabella2[[#This Row],[derived from (AXIAL/BENDING) load]]="AXIAL",Tabella2[[#This Row],[Amplitute AXIAL stress  (MPa)]]*Tabella2[[#This Row],[Area (mm^2)]],"Null"), "")</f>
        <v>37699.111843077517</v>
      </c>
      <c r="AL8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54388.822815273292</v>
      </c>
      <c r="AP8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0.57708333333333328</v>
      </c>
      <c r="AQ8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678.66560248770531</v>
      </c>
    </row>
    <row r="9" spans="1:43" ht="20.100000000000001" customHeight="1" x14ac:dyDescent="0.25">
      <c r="A9" s="1" t="s">
        <v>64</v>
      </c>
      <c r="B9" s="1">
        <v>1992</v>
      </c>
      <c r="C9" s="1" t="s">
        <v>63</v>
      </c>
      <c r="D9" s="1" t="s">
        <v>68</v>
      </c>
      <c r="E9" s="55">
        <v>1000000</v>
      </c>
      <c r="F9" s="1" t="s">
        <v>31</v>
      </c>
      <c r="G9" s="56" t="s">
        <v>69</v>
      </c>
      <c r="H9" s="67" t="e" vm="2">
        <v>#VALUE!</v>
      </c>
      <c r="I9" s="1" t="s">
        <v>26</v>
      </c>
      <c r="J9" s="1" t="s">
        <v>19</v>
      </c>
      <c r="K9" s="1" t="s">
        <v>20</v>
      </c>
      <c r="L9" s="1" t="s">
        <v>20</v>
      </c>
      <c r="M9" s="1" t="s">
        <v>20</v>
      </c>
      <c r="N9" s="57">
        <v>10</v>
      </c>
      <c r="O9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9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9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9" s="1">
        <v>0</v>
      </c>
      <c r="S9" s="1">
        <v>0</v>
      </c>
      <c r="T9" s="1">
        <v>45</v>
      </c>
      <c r="U9" s="58">
        <v>20</v>
      </c>
      <c r="V9" s="58">
        <v>20</v>
      </c>
      <c r="W9" s="58">
        <v>20</v>
      </c>
      <c r="X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-0.23076923076923078</v>
      </c>
      <c r="Z9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" s="20">
        <v>0</v>
      </c>
      <c r="AB9" s="20">
        <v>0</v>
      </c>
      <c r="AC9" s="1">
        <v>300</v>
      </c>
      <c r="AD9" s="1">
        <v>480</v>
      </c>
      <c r="AE9" s="59" t="s">
        <v>59</v>
      </c>
      <c r="AF9" s="58">
        <v>0</v>
      </c>
      <c r="AG9" s="19">
        <v>277</v>
      </c>
      <c r="AH9" s="20">
        <f>IF(ISNUMBER(Tabella2[[#This Row],[Mean RADIAL stress  (MPa)]]), Tabella2[[#This Row],[Mean RADIAL stress  (MPa)]],"")</f>
        <v>0</v>
      </c>
      <c r="AI9" s="20">
        <f>IF(ISNUMBER(Tabella2[[#This Row],[Amplitute RADIAL stress  (MPa)]]), Tabella2[[#This Row],[Amplitute RADIAL stress  (MPa)]],"")</f>
        <v>0</v>
      </c>
      <c r="AJ9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9" s="20">
        <f>IF(ISNUMBER(Tabella2[[#This Row],[Amplitute AXIAL stress  (MPa)]]),    IF(Tabella2[[#This Row],[derived from (AXIAL/BENDING) load]]="AXIAL",Tabella2[[#This Row],[Amplitute AXIAL stress  (MPa)]]*Tabella2[[#This Row],[Area (mm^2)]],"Null"), "")</f>
        <v>37699.111843077517</v>
      </c>
      <c r="AL9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54388.822815273292</v>
      </c>
      <c r="AP9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0.57708333333333328</v>
      </c>
      <c r="AQ9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678.66560248770531</v>
      </c>
    </row>
    <row r="10" spans="1:43" ht="20.100000000000001" customHeight="1" x14ac:dyDescent="0.25">
      <c r="A10" s="1" t="s">
        <v>64</v>
      </c>
      <c r="B10" s="1">
        <v>1992</v>
      </c>
      <c r="C10" s="1" t="s">
        <v>63</v>
      </c>
      <c r="D10" s="1" t="s">
        <v>68</v>
      </c>
      <c r="E10" s="55">
        <v>1000000</v>
      </c>
      <c r="F10" s="1" t="s">
        <v>31</v>
      </c>
      <c r="G10" s="56" t="s">
        <v>69</v>
      </c>
      <c r="H10" s="67" t="e" vm="2">
        <v>#VALUE!</v>
      </c>
      <c r="I10" s="1" t="s">
        <v>26</v>
      </c>
      <c r="J10" s="1" t="s">
        <v>19</v>
      </c>
      <c r="K10" s="1" t="s">
        <v>20</v>
      </c>
      <c r="L10" s="1" t="s">
        <v>20</v>
      </c>
      <c r="M10" s="1" t="s">
        <v>20</v>
      </c>
      <c r="N10" s="57">
        <v>10</v>
      </c>
      <c r="O10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10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10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10" s="1">
        <v>0</v>
      </c>
      <c r="S10" s="1">
        <v>0</v>
      </c>
      <c r="T10" s="1">
        <v>60</v>
      </c>
      <c r="U10" s="58">
        <v>20</v>
      </c>
      <c r="V10" s="58">
        <v>20</v>
      </c>
      <c r="W10" s="58">
        <v>20</v>
      </c>
      <c r="X1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-0.22077922077922077</v>
      </c>
      <c r="Z10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0" s="20">
        <v>0</v>
      </c>
      <c r="AB10" s="20">
        <v>0</v>
      </c>
      <c r="AC10" s="1">
        <v>300</v>
      </c>
      <c r="AD10" s="1">
        <v>470</v>
      </c>
      <c r="AE10" s="59" t="s">
        <v>59</v>
      </c>
      <c r="AF10" s="58">
        <v>0</v>
      </c>
      <c r="AG10" s="19">
        <v>271</v>
      </c>
      <c r="AH10" s="20">
        <f>IF(ISNUMBER(Tabella2[[#This Row],[Mean RADIAL stress  (MPa)]]), Tabella2[[#This Row],[Mean RADIAL stress  (MPa)]],"")</f>
        <v>0</v>
      </c>
      <c r="AI10" s="20">
        <f>IF(ISNUMBER(Tabella2[[#This Row],[Amplitute RADIAL stress  (MPa)]]), Tabella2[[#This Row],[Amplitute RADIAL stress  (MPa)]],"")</f>
        <v>0</v>
      </c>
      <c r="AJ10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10" s="20">
        <f>IF(ISNUMBER(Tabella2[[#This Row],[Amplitute AXIAL stress  (MPa)]]),    IF(Tabella2[[#This Row],[derived from (AXIAL/BENDING) load]]="AXIAL",Tabella2[[#This Row],[Amplitute AXIAL stress  (MPa)]]*Tabella2[[#This Row],[Area (mm^2)]],"Null"), "")</f>
        <v>36913.71367968007</v>
      </c>
      <c r="AL10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53210.725570177121</v>
      </c>
      <c r="AP10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0.57659574468085106</v>
      </c>
      <c r="AQ10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664.24618930032261</v>
      </c>
    </row>
    <row r="11" spans="1:43" ht="20.100000000000001" customHeight="1" x14ac:dyDescent="0.25">
      <c r="A11" s="1" t="s">
        <v>64</v>
      </c>
      <c r="B11" s="1">
        <v>1992</v>
      </c>
      <c r="C11" s="1" t="s">
        <v>63</v>
      </c>
      <c r="D11" s="1" t="s">
        <v>68</v>
      </c>
      <c r="E11" s="55">
        <v>1000000</v>
      </c>
      <c r="F11" s="1" t="s">
        <v>31</v>
      </c>
      <c r="G11" s="56" t="s">
        <v>69</v>
      </c>
      <c r="H11" s="67" t="e" vm="2">
        <v>#VALUE!</v>
      </c>
      <c r="I11" s="1" t="s">
        <v>26</v>
      </c>
      <c r="J11" s="1" t="s">
        <v>19</v>
      </c>
      <c r="K11" s="1" t="s">
        <v>20</v>
      </c>
      <c r="L11" s="1" t="s">
        <v>20</v>
      </c>
      <c r="M11" s="1" t="s">
        <v>20</v>
      </c>
      <c r="N11" s="57">
        <v>10</v>
      </c>
      <c r="O11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11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11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11" s="1">
        <v>0</v>
      </c>
      <c r="S11" s="1">
        <v>0</v>
      </c>
      <c r="T11" s="1">
        <v>90</v>
      </c>
      <c r="U11" s="58">
        <v>20</v>
      </c>
      <c r="V11" s="58">
        <v>20</v>
      </c>
      <c r="W11" s="58">
        <v>20</v>
      </c>
      <c r="X1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-0.2238033635187581</v>
      </c>
      <c r="Z11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" s="20">
        <v>0</v>
      </c>
      <c r="AB11" s="20">
        <v>0</v>
      </c>
      <c r="AC11" s="1">
        <v>300</v>
      </c>
      <c r="AD11" s="1">
        <v>473</v>
      </c>
      <c r="AE11" s="59" t="s">
        <v>59</v>
      </c>
      <c r="AF11" s="58">
        <v>0</v>
      </c>
      <c r="AG11" s="19">
        <v>273</v>
      </c>
      <c r="AH11" s="20">
        <f>IF(ISNUMBER(Tabella2[[#This Row],[Mean RADIAL stress  (MPa)]]), Tabella2[[#This Row],[Mean RADIAL stress  (MPa)]],"")</f>
        <v>0</v>
      </c>
      <c r="AI11" s="20">
        <f>IF(ISNUMBER(Tabella2[[#This Row],[Amplitute RADIAL stress  (MPa)]]), Tabella2[[#This Row],[Amplitute RADIAL stress  (MPa)]],"")</f>
        <v>0</v>
      </c>
      <c r="AJ11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11" s="20">
        <f>IF(ISNUMBER(Tabella2[[#This Row],[Amplitute AXIAL stress  (MPa)]]),    IF(Tabella2[[#This Row],[derived from (AXIAL/BENDING) load]]="AXIAL",Tabella2[[#This Row],[Amplitute AXIAL stress  (MPa)]]*Tabella2[[#This Row],[Area (mm^2)]],"Null"), "")</f>
        <v>37149.333128699305</v>
      </c>
      <c r="AL11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53603.424651875845</v>
      </c>
      <c r="AP11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0.57716701902748413</v>
      </c>
      <c r="AQ11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668.81686581604686</v>
      </c>
    </row>
    <row r="12" spans="1:43" ht="20.100000000000001" customHeight="1" x14ac:dyDescent="0.25">
      <c r="A12" s="1" t="s">
        <v>64</v>
      </c>
      <c r="B12" s="1">
        <v>1992</v>
      </c>
      <c r="C12" s="1" t="s">
        <v>63</v>
      </c>
      <c r="D12" s="1" t="s">
        <v>68</v>
      </c>
      <c r="E12" s="55">
        <v>1000000</v>
      </c>
      <c r="F12" s="1" t="s">
        <v>31</v>
      </c>
      <c r="G12" s="56" t="s">
        <v>69</v>
      </c>
      <c r="H12" s="67" t="e" vm="2">
        <v>#VALUE!</v>
      </c>
      <c r="I12" s="1" t="s">
        <v>26</v>
      </c>
      <c r="J12" s="1" t="s">
        <v>19</v>
      </c>
      <c r="K12" s="1" t="s">
        <v>20</v>
      </c>
      <c r="L12" s="1" t="s">
        <v>20</v>
      </c>
      <c r="M12" s="1" t="s">
        <v>20</v>
      </c>
      <c r="N12" s="57">
        <v>10</v>
      </c>
      <c r="O12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12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12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12" s="1">
        <v>0</v>
      </c>
      <c r="S12" s="1">
        <v>0</v>
      </c>
      <c r="T12" s="1">
        <v>0</v>
      </c>
      <c r="U12" s="58">
        <v>20</v>
      </c>
      <c r="V12" s="58">
        <v>20</v>
      </c>
      <c r="W12" s="58">
        <v>20</v>
      </c>
      <c r="X1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" s="1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2" s="20">
        <v>0</v>
      </c>
      <c r="AB12" s="20">
        <v>0</v>
      </c>
      <c r="AC12" s="1">
        <v>0</v>
      </c>
      <c r="AD12" s="1">
        <v>310</v>
      </c>
      <c r="AE12" s="59" t="s">
        <v>59</v>
      </c>
      <c r="AF12" s="58">
        <v>0</v>
      </c>
      <c r="AG12" s="19">
        <v>0</v>
      </c>
      <c r="AH12" s="20">
        <f>IF(ISNUMBER(Tabella2[[#This Row],[Mean RADIAL stress  (MPa)]]), Tabella2[[#This Row],[Mean RADIAL stress  (MPa)]],"")</f>
        <v>0</v>
      </c>
      <c r="AI12" s="20">
        <f>IF(ISNUMBER(Tabella2[[#This Row],[Amplitute RADIAL stress  (MPa)]]), Tabella2[[#This Row],[Amplitute RADIAL stress  (MPa)]],"")</f>
        <v>0</v>
      </c>
      <c r="AJ12" s="20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" s="20">
        <f>IF(ISNUMBER(Tabella2[[#This Row],[Amplitute AXIAL stress  (MPa)]]),    IF(Tabella2[[#This Row],[derived from (AXIAL/BENDING) load]]="AXIAL",Tabella2[[#This Row],[Amplitute AXIAL stress  (MPa)]]*Tabella2[[#This Row],[Area (mm^2)]],"Null"), "")</f>
        <v>24347.343065320896</v>
      </c>
      <c r="AL12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2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2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310</v>
      </c>
    </row>
    <row r="13" spans="1:43" ht="20.100000000000001" customHeight="1" x14ac:dyDescent="0.25">
      <c r="A13" s="1" t="s">
        <v>64</v>
      </c>
      <c r="B13" s="1">
        <v>1992</v>
      </c>
      <c r="C13" s="1" t="s">
        <v>63</v>
      </c>
      <c r="D13" s="1" t="s">
        <v>68</v>
      </c>
      <c r="E13" s="55">
        <v>1000000</v>
      </c>
      <c r="F13" s="1" t="s">
        <v>31</v>
      </c>
      <c r="G13" s="56" t="s">
        <v>69</v>
      </c>
      <c r="H13" s="67" t="e" vm="2">
        <v>#VALUE!</v>
      </c>
      <c r="I13" s="1" t="s">
        <v>26</v>
      </c>
      <c r="J13" s="1" t="s">
        <v>19</v>
      </c>
      <c r="K13" s="1" t="s">
        <v>20</v>
      </c>
      <c r="L13" s="1" t="s">
        <v>20</v>
      </c>
      <c r="M13" s="1" t="s">
        <v>20</v>
      </c>
      <c r="N13" s="57">
        <v>10</v>
      </c>
      <c r="O13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13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13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13" s="1">
        <v>0</v>
      </c>
      <c r="S13" s="1">
        <v>0</v>
      </c>
      <c r="T13" s="1">
        <v>0</v>
      </c>
      <c r="U13" s="58">
        <v>20</v>
      </c>
      <c r="V13" s="58">
        <v>20</v>
      </c>
      <c r="W13" s="58">
        <v>20</v>
      </c>
      <c r="X1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" s="58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3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" s="20">
        <v>0</v>
      </c>
      <c r="AB13" s="20">
        <v>0</v>
      </c>
      <c r="AC13" s="1">
        <v>0</v>
      </c>
      <c r="AD13" s="1">
        <v>0</v>
      </c>
      <c r="AE13" s="59" t="s">
        <v>59</v>
      </c>
      <c r="AF13" s="58">
        <v>0</v>
      </c>
      <c r="AG13" s="19">
        <v>179</v>
      </c>
      <c r="AH13" s="20">
        <f>IF(ISNUMBER(Tabella2[[#This Row],[Mean RADIAL stress  (MPa)]]), Tabella2[[#This Row],[Mean RADIAL stress  (MPa)]],"")</f>
        <v>0</v>
      </c>
      <c r="AI13" s="20">
        <f>IF(ISNUMBER(Tabella2[[#This Row],[Amplitute RADIAL stress  (MPa)]]), Tabella2[[#This Row],[Amplitute RADIAL stress  (MPa)]],"")</f>
        <v>0</v>
      </c>
      <c r="AJ13" s="20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" s="20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3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35146.567812035806</v>
      </c>
      <c r="AP13" s="27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3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310.03709455482903</v>
      </c>
    </row>
    <row r="14" spans="1:43" ht="20.100000000000001" customHeight="1" x14ac:dyDescent="0.25">
      <c r="A14" s="1" t="s">
        <v>64</v>
      </c>
      <c r="B14" s="1">
        <v>1992</v>
      </c>
      <c r="C14" s="1" t="s">
        <v>63</v>
      </c>
      <c r="D14" s="1" t="s">
        <v>68</v>
      </c>
      <c r="E14" s="55">
        <v>1000000</v>
      </c>
      <c r="F14" s="1" t="s">
        <v>31</v>
      </c>
      <c r="G14" s="56" t="s">
        <v>69</v>
      </c>
      <c r="H14" s="67" t="e" vm="2">
        <v>#VALUE!</v>
      </c>
      <c r="I14" s="1" t="s">
        <v>26</v>
      </c>
      <c r="J14" s="1" t="s">
        <v>19</v>
      </c>
      <c r="K14" s="1" t="s">
        <v>20</v>
      </c>
      <c r="L14" s="1" t="s">
        <v>20</v>
      </c>
      <c r="M14" s="1" t="s">
        <v>20</v>
      </c>
      <c r="N14" s="57">
        <v>10</v>
      </c>
      <c r="O14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14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14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14" s="1">
        <v>0</v>
      </c>
      <c r="S14" s="1">
        <v>0</v>
      </c>
      <c r="T14" s="1">
        <v>0</v>
      </c>
      <c r="U14" s="58">
        <v>20</v>
      </c>
      <c r="V14" s="58">
        <v>20</v>
      </c>
      <c r="W14" s="58">
        <v>20</v>
      </c>
      <c r="X1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4" s="20">
        <v>0</v>
      </c>
      <c r="AB14" s="20">
        <v>0</v>
      </c>
      <c r="AC14" s="1">
        <v>0</v>
      </c>
      <c r="AD14" s="1">
        <v>230</v>
      </c>
      <c r="AE14" s="59" t="s">
        <v>59</v>
      </c>
      <c r="AF14" s="58">
        <v>0</v>
      </c>
      <c r="AG14" s="19">
        <v>133</v>
      </c>
      <c r="AH14" s="20">
        <f>IF(ISNUMBER(Tabella2[[#This Row],[Mean RADIAL stress  (MPa)]]), Tabella2[[#This Row],[Mean RADIAL stress  (MPa)]],"")</f>
        <v>0</v>
      </c>
      <c r="AI14" s="20">
        <f>IF(ISNUMBER(Tabella2[[#This Row],[Amplitute RADIAL stress  (MPa)]]), Tabella2[[#This Row],[Amplitute RADIAL stress  (MPa)]],"")</f>
        <v>0</v>
      </c>
      <c r="AJ14" s="20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" s="20">
        <f>IF(ISNUMBER(Tabella2[[#This Row],[Amplitute AXIAL stress  (MPa)]]),    IF(Tabella2[[#This Row],[derived from (AXIAL/BENDING) load]]="AXIAL",Tabella2[[#This Row],[Amplitute AXIAL stress  (MPa)]]*Tabella2[[#This Row],[Area (mm^2)]],"Null"), "")</f>
        <v>18064.157758141311</v>
      </c>
      <c r="AL14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4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26114.488932965156</v>
      </c>
      <c r="AP14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0.57826086956521738</v>
      </c>
      <c r="AQ14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325.52572862985807</v>
      </c>
    </row>
    <row r="15" spans="1:43" ht="20.100000000000001" customHeight="1" x14ac:dyDescent="0.25">
      <c r="A15" s="1" t="s">
        <v>64</v>
      </c>
      <c r="B15" s="1">
        <v>1992</v>
      </c>
      <c r="C15" s="1" t="s">
        <v>63</v>
      </c>
      <c r="D15" s="1" t="s">
        <v>68</v>
      </c>
      <c r="E15" s="55">
        <v>1000000</v>
      </c>
      <c r="F15" s="1" t="s">
        <v>31</v>
      </c>
      <c r="G15" s="56" t="s">
        <v>69</v>
      </c>
      <c r="H15" s="67" t="e" vm="2">
        <v>#VALUE!</v>
      </c>
      <c r="I15" s="1" t="s">
        <v>26</v>
      </c>
      <c r="J15" s="1" t="s">
        <v>19</v>
      </c>
      <c r="K15" s="1" t="s">
        <v>20</v>
      </c>
      <c r="L15" s="1" t="s">
        <v>20</v>
      </c>
      <c r="M15" s="1" t="s">
        <v>20</v>
      </c>
      <c r="N15" s="57">
        <v>10</v>
      </c>
      <c r="O15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15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15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15" s="1">
        <v>0</v>
      </c>
      <c r="S15" s="1">
        <v>0</v>
      </c>
      <c r="T15" s="1">
        <v>45</v>
      </c>
      <c r="U15" s="58">
        <v>20</v>
      </c>
      <c r="V15" s="58">
        <v>20</v>
      </c>
      <c r="W15" s="58">
        <v>20</v>
      </c>
      <c r="X1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" s="20">
        <v>0</v>
      </c>
      <c r="AB15" s="20">
        <v>0</v>
      </c>
      <c r="AC15" s="1">
        <v>0</v>
      </c>
      <c r="AD15" s="1">
        <v>230</v>
      </c>
      <c r="AE15" s="59" t="s">
        <v>59</v>
      </c>
      <c r="AF15" s="58">
        <v>0</v>
      </c>
      <c r="AG15" s="19">
        <v>133</v>
      </c>
      <c r="AH15" s="20">
        <f>IF(ISNUMBER(Tabella2[[#This Row],[Mean RADIAL stress  (MPa)]]), Tabella2[[#This Row],[Mean RADIAL stress  (MPa)]],"")</f>
        <v>0</v>
      </c>
      <c r="AI15" s="20">
        <f>IF(ISNUMBER(Tabella2[[#This Row],[Amplitute RADIAL stress  (MPa)]]), Tabella2[[#This Row],[Amplitute RADIAL stress  (MPa)]],"")</f>
        <v>0</v>
      </c>
      <c r="AJ15" s="20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" s="20">
        <f>IF(ISNUMBER(Tabella2[[#This Row],[Amplitute AXIAL stress  (MPa)]]),    IF(Tabella2[[#This Row],[derived from (AXIAL/BENDING) load]]="AXIAL",Tabella2[[#This Row],[Amplitute AXIAL stress  (MPa)]]*Tabella2[[#This Row],[Area (mm^2)]],"Null"), "")</f>
        <v>18064.157758141311</v>
      </c>
      <c r="AL15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26114.488932965156</v>
      </c>
      <c r="AP15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0.57826086956521738</v>
      </c>
      <c r="AQ15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325.52572862985807</v>
      </c>
    </row>
    <row r="16" spans="1:43" s="14" customFormat="1" ht="20.100000000000001" customHeight="1" thickBot="1" x14ac:dyDescent="0.3">
      <c r="A16" s="14" t="s">
        <v>64</v>
      </c>
      <c r="B16" s="14">
        <v>1992</v>
      </c>
      <c r="C16" s="14" t="s">
        <v>63</v>
      </c>
      <c r="D16" s="14" t="s">
        <v>68</v>
      </c>
      <c r="E16" s="33">
        <v>1000000</v>
      </c>
      <c r="F16" s="14" t="s">
        <v>31</v>
      </c>
      <c r="G16" s="34" t="s">
        <v>69</v>
      </c>
      <c r="H16" s="68" t="e" vm="2">
        <v>#VALUE!</v>
      </c>
      <c r="I16" s="14" t="s">
        <v>26</v>
      </c>
      <c r="J16" s="14" t="s">
        <v>19</v>
      </c>
      <c r="K16" s="14" t="s">
        <v>20</v>
      </c>
      <c r="L16" s="14" t="s">
        <v>20</v>
      </c>
      <c r="M16" s="14" t="s">
        <v>20</v>
      </c>
      <c r="N16" s="35">
        <v>10</v>
      </c>
      <c r="O16" s="1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16" s="1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16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16" s="14">
        <v>0</v>
      </c>
      <c r="S16" s="14">
        <v>0</v>
      </c>
      <c r="T16" s="14">
        <v>90</v>
      </c>
      <c r="U16" s="15">
        <v>20</v>
      </c>
      <c r="V16" s="15">
        <v>20</v>
      </c>
      <c r="W16" s="15">
        <v>20</v>
      </c>
      <c r="X16" s="14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" s="1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6" s="2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6" s="16">
        <v>0</v>
      </c>
      <c r="AB16" s="16">
        <v>0</v>
      </c>
      <c r="AC16" s="14">
        <v>0</v>
      </c>
      <c r="AD16" s="14">
        <v>242</v>
      </c>
      <c r="AE16" s="22" t="s">
        <v>59</v>
      </c>
      <c r="AF16" s="15">
        <v>0</v>
      </c>
      <c r="AG16" s="23">
        <v>140</v>
      </c>
      <c r="AH16" s="16">
        <f>IF(ISNUMBER(Tabella2[[#This Row],[Mean RADIAL stress  (MPa)]]), Tabella2[[#This Row],[Mean RADIAL stress  (MPa)]],"")</f>
        <v>0</v>
      </c>
      <c r="AI16" s="16">
        <f>IF(ISNUMBER(Tabella2[[#This Row],[Amplitute RADIAL stress  (MPa)]]), Tabella2[[#This Row],[Amplitute RADIAL stress  (MPa)]],"")</f>
        <v>0</v>
      </c>
      <c r="AJ16" s="16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" s="16">
        <f>IF(ISNUMBER(Tabella2[[#This Row],[Amplitute AXIAL stress  (MPa)]]),    IF(Tabella2[[#This Row],[derived from (AXIAL/BENDING) load]]="AXIAL",Tabella2[[#This Row],[Amplitute AXIAL stress  (MPa)]]*Tabella2[[#This Row],[Area (mm^2)]],"Null"), "")</f>
        <v>19006.63555421825</v>
      </c>
      <c r="AL16" s="1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" s="1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" s="1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6" s="25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27488.935718910692</v>
      </c>
      <c r="AP16" s="2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0.57851239669421484</v>
      </c>
      <c r="AQ16" s="28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342.58429619584143</v>
      </c>
    </row>
    <row r="17" spans="1:43" ht="20.100000000000001" customHeight="1" x14ac:dyDescent="0.25">
      <c r="A17" s="1" t="s">
        <v>64</v>
      </c>
      <c r="B17" s="1">
        <v>1989</v>
      </c>
      <c r="C17" s="1" t="s">
        <v>66</v>
      </c>
      <c r="D17" s="57" t="s">
        <v>68</v>
      </c>
      <c r="E17" s="61">
        <v>1000000</v>
      </c>
      <c r="F17" s="57" t="s">
        <v>31</v>
      </c>
      <c r="G17" s="56" t="s">
        <v>69</v>
      </c>
      <c r="H17" s="67" t="e" vm="2">
        <v>#VALUE!</v>
      </c>
      <c r="I17" s="57" t="s">
        <v>26</v>
      </c>
      <c r="J17" s="57" t="s">
        <v>19</v>
      </c>
      <c r="K17" s="1" t="s">
        <v>20</v>
      </c>
      <c r="L17" s="1" t="s">
        <v>20</v>
      </c>
      <c r="M17" s="1" t="s">
        <v>20</v>
      </c>
      <c r="N17" s="57">
        <v>10</v>
      </c>
      <c r="O17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17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17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17" s="1">
        <v>0</v>
      </c>
      <c r="S17" s="1">
        <v>0</v>
      </c>
      <c r="T17" s="57">
        <v>0</v>
      </c>
      <c r="U17" s="58">
        <v>20</v>
      </c>
      <c r="V17" s="58">
        <v>20</v>
      </c>
      <c r="W17" s="58">
        <v>20</v>
      </c>
      <c r="X1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-0.1</v>
      </c>
      <c r="Z17" s="1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7" s="20">
        <v>0</v>
      </c>
      <c r="AB17" s="20">
        <v>0</v>
      </c>
      <c r="AC17" s="57">
        <v>450</v>
      </c>
      <c r="AD17" s="62">
        <v>550</v>
      </c>
      <c r="AE17" s="59" t="s">
        <v>59</v>
      </c>
      <c r="AF17" s="62">
        <v>0</v>
      </c>
      <c r="AG17" s="70">
        <v>0</v>
      </c>
      <c r="AH17" s="20">
        <f>IF(ISNUMBER(Tabella2[[#This Row],[Mean RADIAL stress  (MPa)]]), Tabella2[[#This Row],[Mean RADIAL stress  (MPa)]],"")</f>
        <v>0</v>
      </c>
      <c r="AI17" s="20">
        <f>IF(ISNUMBER(Tabella2[[#This Row],[Amplitute RADIAL stress  (MPa)]]), Tabella2[[#This Row],[Amplitute RADIAL stress  (MPa)]],"")</f>
        <v>0</v>
      </c>
      <c r="AJ17" s="20">
        <f>IF(ISNUMBER(Tabella2[[#This Row],[Mean AXIAL stress  (MPa)]]), IF(Tabella2[[#This Row],[derived from (AXIAL/BENDING) load]]="AXIAL",Tabella2[[#This Row],[Mean AXIAL stress  (MPa)]]*Tabella2[[#This Row],[Area (mm^2)]],"Null"), "")</f>
        <v>35342.917352885175</v>
      </c>
      <c r="AK17" s="20">
        <f>IF(ISNUMBER(Tabella2[[#This Row],[Amplitute AXIAL stress  (MPa)]]),    IF(Tabella2[[#This Row],[derived from (AXIAL/BENDING) load]]="AXIAL",Tabella2[[#This Row],[Amplitute AXIAL stress  (MPa)]]*Tabella2[[#This Row],[Area (mm^2)]],"Null"), "")</f>
        <v>43196.898986859655</v>
      </c>
      <c r="AL17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7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7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7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550</v>
      </c>
    </row>
    <row r="18" spans="1:43" ht="20.100000000000001" customHeight="1" x14ac:dyDescent="0.25">
      <c r="A18" s="57" t="s">
        <v>64</v>
      </c>
      <c r="B18" s="1">
        <v>1989</v>
      </c>
      <c r="C18" s="1" t="s">
        <v>66</v>
      </c>
      <c r="D18" s="57" t="s">
        <v>68</v>
      </c>
      <c r="E18" s="61">
        <v>1000000</v>
      </c>
      <c r="F18" s="57" t="s">
        <v>31</v>
      </c>
      <c r="G18" s="56" t="s">
        <v>69</v>
      </c>
      <c r="H18" s="67" t="e" vm="2">
        <v>#VALUE!</v>
      </c>
      <c r="I18" s="57" t="s">
        <v>26</v>
      </c>
      <c r="J18" s="57" t="s">
        <v>19</v>
      </c>
      <c r="K18" s="1" t="s">
        <v>20</v>
      </c>
      <c r="L18" s="1" t="s">
        <v>20</v>
      </c>
      <c r="M18" s="1" t="s">
        <v>20</v>
      </c>
      <c r="N18" s="57">
        <v>10</v>
      </c>
      <c r="O18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18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18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18" s="1">
        <v>0</v>
      </c>
      <c r="S18" s="1">
        <v>0</v>
      </c>
      <c r="T18" s="57">
        <v>0</v>
      </c>
      <c r="U18" s="58">
        <v>20</v>
      </c>
      <c r="V18" s="58">
        <v>20</v>
      </c>
      <c r="W18" s="58">
        <v>20</v>
      </c>
      <c r="X1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8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-1.4492753623188406E-2</v>
      </c>
      <c r="Z18" s="1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8" s="20">
        <v>0</v>
      </c>
      <c r="AB18" s="20">
        <v>0</v>
      </c>
      <c r="AC18" s="57">
        <v>510</v>
      </c>
      <c r="AD18" s="62">
        <v>525</v>
      </c>
      <c r="AE18" s="59" t="s">
        <v>59</v>
      </c>
      <c r="AF18" s="62">
        <v>0</v>
      </c>
      <c r="AG18" s="70">
        <v>0</v>
      </c>
      <c r="AH18" s="20">
        <f>IF(ISNUMBER(Tabella2[[#This Row],[Mean RADIAL stress  (MPa)]]), Tabella2[[#This Row],[Mean RADIAL stress  (MPa)]],"")</f>
        <v>0</v>
      </c>
      <c r="AI18" s="20">
        <f>IF(ISNUMBER(Tabella2[[#This Row],[Amplitute RADIAL stress  (MPa)]]), Tabella2[[#This Row],[Amplitute RADIAL stress  (MPa)]],"")</f>
        <v>0</v>
      </c>
      <c r="AJ18" s="20">
        <f>IF(ISNUMBER(Tabella2[[#This Row],[Mean AXIAL stress  (MPa)]]), IF(Tabella2[[#This Row],[derived from (AXIAL/BENDING) load]]="AXIAL",Tabella2[[#This Row],[Mean AXIAL stress  (MPa)]]*Tabella2[[#This Row],[Area (mm^2)]],"Null"), "")</f>
        <v>40055.306333269866</v>
      </c>
      <c r="AK18" s="20">
        <f>IF(ISNUMBER(Tabella2[[#This Row],[Amplitute AXIAL stress  (MPa)]]),    IF(Tabella2[[#This Row],[derived from (AXIAL/BENDING) load]]="AXIAL",Tabella2[[#This Row],[Amplitute AXIAL stress  (MPa)]]*Tabella2[[#This Row],[Area (mm^2)]],"Null"), "")</f>
        <v>41233.403578366037</v>
      </c>
      <c r="AL18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8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8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8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8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8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525</v>
      </c>
    </row>
    <row r="19" spans="1:43" ht="20.100000000000001" customHeight="1" x14ac:dyDescent="0.25">
      <c r="A19" s="57" t="s">
        <v>64</v>
      </c>
      <c r="B19" s="1">
        <v>1989</v>
      </c>
      <c r="C19" s="1" t="s">
        <v>66</v>
      </c>
      <c r="D19" s="57" t="s">
        <v>68</v>
      </c>
      <c r="E19" s="61">
        <v>1000000</v>
      </c>
      <c r="F19" s="57" t="s">
        <v>31</v>
      </c>
      <c r="G19" s="56" t="s">
        <v>69</v>
      </c>
      <c r="H19" s="67" t="e" vm="2">
        <v>#VALUE!</v>
      </c>
      <c r="I19" s="57" t="s">
        <v>26</v>
      </c>
      <c r="J19" s="57" t="s">
        <v>19</v>
      </c>
      <c r="K19" s="1" t="s">
        <v>20</v>
      </c>
      <c r="L19" s="1" t="s">
        <v>20</v>
      </c>
      <c r="M19" s="1" t="s">
        <v>20</v>
      </c>
      <c r="N19" s="57">
        <v>10</v>
      </c>
      <c r="O19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19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19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19" s="1">
        <v>0</v>
      </c>
      <c r="S19" s="1">
        <v>0</v>
      </c>
      <c r="T19" s="57">
        <v>0</v>
      </c>
      <c r="U19" s="58">
        <v>20</v>
      </c>
      <c r="V19" s="58">
        <v>20</v>
      </c>
      <c r="W19" s="58">
        <v>20</v>
      </c>
      <c r="X1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9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5.7268722466960353E-2</v>
      </c>
      <c r="Z19" s="1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9" s="20">
        <v>0</v>
      </c>
      <c r="AB19" s="20">
        <v>0</v>
      </c>
      <c r="AC19" s="57">
        <v>600</v>
      </c>
      <c r="AD19" s="62">
        <v>535</v>
      </c>
      <c r="AE19" s="59" t="s">
        <v>59</v>
      </c>
      <c r="AF19" s="62">
        <v>0</v>
      </c>
      <c r="AG19" s="70">
        <v>0</v>
      </c>
      <c r="AH19" s="20">
        <f>IF(ISNUMBER(Tabella2[[#This Row],[Mean RADIAL stress  (MPa)]]), Tabella2[[#This Row],[Mean RADIAL stress  (MPa)]],"")</f>
        <v>0</v>
      </c>
      <c r="AI19" s="20">
        <f>IF(ISNUMBER(Tabella2[[#This Row],[Amplitute RADIAL stress  (MPa)]]), Tabella2[[#This Row],[Amplitute RADIAL stress  (MPa)]],"")</f>
        <v>0</v>
      </c>
      <c r="AJ19" s="20">
        <f>IF(ISNUMBER(Tabella2[[#This Row],[Mean AXIAL stress  (MPa)]]), IF(Tabella2[[#This Row],[derived from (AXIAL/BENDING) load]]="AXIAL",Tabella2[[#This Row],[Mean AXIAL stress  (MPa)]]*Tabella2[[#This Row],[Area (mm^2)]],"Null"), "")</f>
        <v>47123.889803846898</v>
      </c>
      <c r="AK19" s="20">
        <f>IF(ISNUMBER(Tabella2[[#This Row],[Amplitute AXIAL stress  (MPa)]]),    IF(Tabella2[[#This Row],[derived from (AXIAL/BENDING) load]]="AXIAL",Tabella2[[#This Row],[Amplitute AXIAL stress  (MPa)]]*Tabella2[[#This Row],[Area (mm^2)]],"Null"), "")</f>
        <v>42018.801741763484</v>
      </c>
      <c r="AL19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9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9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9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9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9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535</v>
      </c>
    </row>
    <row r="20" spans="1:43" ht="20.100000000000001" customHeight="1" x14ac:dyDescent="0.25">
      <c r="A20" s="57" t="s">
        <v>64</v>
      </c>
      <c r="B20" s="1">
        <v>1989</v>
      </c>
      <c r="C20" s="1" t="s">
        <v>66</v>
      </c>
      <c r="D20" s="57" t="s">
        <v>68</v>
      </c>
      <c r="E20" s="61">
        <v>1000000</v>
      </c>
      <c r="F20" s="57" t="s">
        <v>31</v>
      </c>
      <c r="G20" s="56" t="s">
        <v>69</v>
      </c>
      <c r="H20" s="67" t="e" vm="2">
        <v>#VALUE!</v>
      </c>
      <c r="I20" s="57" t="s">
        <v>26</v>
      </c>
      <c r="J20" s="57" t="s">
        <v>19</v>
      </c>
      <c r="K20" s="1" t="s">
        <v>20</v>
      </c>
      <c r="L20" s="1" t="s">
        <v>20</v>
      </c>
      <c r="M20" s="1" t="s">
        <v>20</v>
      </c>
      <c r="N20" s="57">
        <v>10</v>
      </c>
      <c r="O20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20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20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20" s="1">
        <v>0</v>
      </c>
      <c r="S20" s="1">
        <v>0</v>
      </c>
      <c r="T20" s="57">
        <v>0</v>
      </c>
      <c r="U20" s="58">
        <v>20</v>
      </c>
      <c r="V20" s="58">
        <v>20</v>
      </c>
      <c r="W20" s="58">
        <v>20</v>
      </c>
      <c r="X2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0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1</v>
      </c>
      <c r="Z20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0" s="20">
        <v>0</v>
      </c>
      <c r="AB20" s="20">
        <v>0</v>
      </c>
      <c r="AC20" s="57">
        <v>300</v>
      </c>
      <c r="AD20" s="62">
        <v>0</v>
      </c>
      <c r="AE20" s="59" t="s">
        <v>59</v>
      </c>
      <c r="AF20" s="62">
        <v>0</v>
      </c>
      <c r="AG20" s="70">
        <v>395</v>
      </c>
      <c r="AH20" s="20">
        <f>IF(ISNUMBER(Tabella2[[#This Row],[Mean RADIAL stress  (MPa)]]), Tabella2[[#This Row],[Mean RADIAL stress  (MPa)]],"")</f>
        <v>0</v>
      </c>
      <c r="AI20" s="20">
        <f>IF(ISNUMBER(Tabella2[[#This Row],[Amplitute RADIAL stress  (MPa)]]), Tabella2[[#This Row],[Amplitute RADIAL stress  (MPa)]],"")</f>
        <v>0</v>
      </c>
      <c r="AJ20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20" s="20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0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0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0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0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77558.068635498028</v>
      </c>
      <c r="AP20" s="27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0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684.16006898970659</v>
      </c>
    </row>
    <row r="21" spans="1:43" ht="20.100000000000001" customHeight="1" x14ac:dyDescent="0.25">
      <c r="A21" s="57" t="s">
        <v>64</v>
      </c>
      <c r="B21" s="1">
        <v>1989</v>
      </c>
      <c r="C21" s="1" t="s">
        <v>66</v>
      </c>
      <c r="D21" s="57" t="s">
        <v>68</v>
      </c>
      <c r="E21" s="61">
        <v>1000000</v>
      </c>
      <c r="F21" s="57" t="s">
        <v>31</v>
      </c>
      <c r="G21" s="56" t="s">
        <v>69</v>
      </c>
      <c r="H21" s="67" t="e" vm="2">
        <v>#VALUE!</v>
      </c>
      <c r="I21" s="57" t="s">
        <v>26</v>
      </c>
      <c r="J21" s="57" t="s">
        <v>19</v>
      </c>
      <c r="K21" s="1" t="s">
        <v>20</v>
      </c>
      <c r="L21" s="1" t="s">
        <v>20</v>
      </c>
      <c r="M21" s="1" t="s">
        <v>20</v>
      </c>
      <c r="N21" s="57">
        <v>10</v>
      </c>
      <c r="O21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21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21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21" s="1">
        <v>0</v>
      </c>
      <c r="S21" s="1">
        <v>0</v>
      </c>
      <c r="T21" s="57">
        <v>0</v>
      </c>
      <c r="U21" s="58">
        <v>20</v>
      </c>
      <c r="V21" s="58">
        <v>20</v>
      </c>
      <c r="W21" s="58">
        <v>20</v>
      </c>
      <c r="X2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1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-0.20529801324503311</v>
      </c>
      <c r="Z21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-0.13606911447084233</v>
      </c>
      <c r="AA21" s="20">
        <v>0</v>
      </c>
      <c r="AB21" s="20">
        <v>0</v>
      </c>
      <c r="AC21" s="57">
        <v>300</v>
      </c>
      <c r="AD21" s="62">
        <v>455</v>
      </c>
      <c r="AE21" s="59" t="s">
        <v>59</v>
      </c>
      <c r="AF21" s="62">
        <v>200</v>
      </c>
      <c r="AG21" s="70">
        <v>263</v>
      </c>
      <c r="AH21" s="20">
        <f>IF(ISNUMBER(Tabella2[[#This Row],[Mean RADIAL stress  (MPa)]]), Tabella2[[#This Row],[Mean RADIAL stress  (MPa)]],"")</f>
        <v>0</v>
      </c>
      <c r="AI21" s="20">
        <f>IF(ISNUMBER(Tabella2[[#This Row],[Amplitute RADIAL stress  (MPa)]]), Tabella2[[#This Row],[Amplitute RADIAL stress  (MPa)]],"")</f>
        <v>0</v>
      </c>
      <c r="AJ21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21" s="20">
        <f>IF(ISNUMBER(Tabella2[[#This Row],[Amplitute AXIAL stress  (MPa)]]),    IF(Tabella2[[#This Row],[derived from (AXIAL/BENDING) load]]="AXIAL",Tabella2[[#This Row],[Amplitute AXIAL stress  (MPa)]]*Tabella2[[#This Row],[Area (mm^2)]],"Null"), "")</f>
        <v>35735.616434583899</v>
      </c>
      <c r="AL21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1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1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39269.908169872411</v>
      </c>
      <c r="AO21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51639.929243382227</v>
      </c>
      <c r="AP21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0.57802197802197797</v>
      </c>
      <c r="AQ21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643.84159542545865</v>
      </c>
    </row>
    <row r="22" spans="1:43" ht="20.100000000000001" customHeight="1" x14ac:dyDescent="0.25">
      <c r="A22" s="57" t="s">
        <v>64</v>
      </c>
      <c r="B22" s="1">
        <v>1989</v>
      </c>
      <c r="C22" s="1" t="s">
        <v>66</v>
      </c>
      <c r="D22" s="57" t="s">
        <v>68</v>
      </c>
      <c r="E22" s="61">
        <v>1000000</v>
      </c>
      <c r="F22" s="57" t="s">
        <v>31</v>
      </c>
      <c r="G22" s="56" t="s">
        <v>69</v>
      </c>
      <c r="H22" s="67" t="e" vm="2">
        <v>#VALUE!</v>
      </c>
      <c r="I22" s="57" t="s">
        <v>26</v>
      </c>
      <c r="J22" s="57" t="s">
        <v>19</v>
      </c>
      <c r="K22" s="1" t="s">
        <v>20</v>
      </c>
      <c r="L22" s="1" t="s">
        <v>20</v>
      </c>
      <c r="M22" s="1" t="s">
        <v>20</v>
      </c>
      <c r="N22" s="57">
        <v>10</v>
      </c>
      <c r="O22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22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22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22" s="1">
        <v>0</v>
      </c>
      <c r="S22" s="1">
        <v>0</v>
      </c>
      <c r="T22" s="57">
        <v>90</v>
      </c>
      <c r="U22" s="58">
        <v>20</v>
      </c>
      <c r="V22" s="58">
        <v>20</v>
      </c>
      <c r="W22" s="58">
        <v>20</v>
      </c>
      <c r="X2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2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-0.21568627450980393</v>
      </c>
      <c r="Z22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-0.14712153518123666</v>
      </c>
      <c r="AA22" s="20">
        <v>0</v>
      </c>
      <c r="AB22" s="20">
        <v>0</v>
      </c>
      <c r="AC22" s="57">
        <v>300</v>
      </c>
      <c r="AD22" s="62">
        <v>465</v>
      </c>
      <c r="AE22" s="59" t="s">
        <v>59</v>
      </c>
      <c r="AF22" s="62">
        <v>200</v>
      </c>
      <c r="AG22" s="70">
        <v>269</v>
      </c>
      <c r="AH22" s="20">
        <f>IF(ISNUMBER(Tabella2[[#This Row],[Mean RADIAL stress  (MPa)]]), Tabella2[[#This Row],[Mean RADIAL stress  (MPa)]],"")</f>
        <v>0</v>
      </c>
      <c r="AI22" s="20">
        <f>IF(ISNUMBER(Tabella2[[#This Row],[Amplitute RADIAL stress  (MPa)]]), Tabella2[[#This Row],[Amplitute RADIAL stress  (MPa)]],"")</f>
        <v>0</v>
      </c>
      <c r="AJ22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22" s="20">
        <f>IF(ISNUMBER(Tabella2[[#This Row],[Amplitute AXIAL stress  (MPa)]]),    IF(Tabella2[[#This Row],[derived from (AXIAL/BENDING) load]]="AXIAL",Tabella2[[#This Row],[Amplitute AXIAL stress  (MPa)]]*Tabella2[[#This Row],[Area (mm^2)]],"Null"), "")</f>
        <v>36521.014597981346</v>
      </c>
      <c r="AL22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2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2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39269.908169872411</v>
      </c>
      <c r="AO22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52818.026488478397</v>
      </c>
      <c r="AP22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0.57849462365591398</v>
      </c>
      <c r="AQ22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658.26134627517058</v>
      </c>
    </row>
    <row r="23" spans="1:43" ht="20.100000000000001" customHeight="1" x14ac:dyDescent="0.25">
      <c r="A23" s="57" t="s">
        <v>64</v>
      </c>
      <c r="B23" s="1">
        <v>1989</v>
      </c>
      <c r="C23" s="1" t="s">
        <v>66</v>
      </c>
      <c r="D23" s="57" t="s">
        <v>68</v>
      </c>
      <c r="E23" s="61">
        <v>1000000</v>
      </c>
      <c r="F23" s="57" t="s">
        <v>31</v>
      </c>
      <c r="G23" s="56" t="s">
        <v>69</v>
      </c>
      <c r="H23" s="67" t="e" vm="2">
        <v>#VALUE!</v>
      </c>
      <c r="I23" s="57" t="s">
        <v>26</v>
      </c>
      <c r="J23" s="57" t="s">
        <v>19</v>
      </c>
      <c r="K23" s="1" t="s">
        <v>20</v>
      </c>
      <c r="L23" s="1" t="s">
        <v>20</v>
      </c>
      <c r="M23" s="1" t="s">
        <v>20</v>
      </c>
      <c r="N23" s="57">
        <v>10</v>
      </c>
      <c r="O23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23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23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23" s="1">
        <v>0</v>
      </c>
      <c r="S23" s="1">
        <v>0</v>
      </c>
      <c r="T23" s="57">
        <v>0</v>
      </c>
      <c r="U23" s="58">
        <v>20</v>
      </c>
      <c r="V23" s="58">
        <v>20</v>
      </c>
      <c r="W23" s="58">
        <v>20</v>
      </c>
      <c r="X2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3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1</v>
      </c>
      <c r="Z23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3" s="20">
        <v>0</v>
      </c>
      <c r="AB23" s="20">
        <v>0</v>
      </c>
      <c r="AC23" s="57">
        <v>450</v>
      </c>
      <c r="AD23" s="62">
        <v>0</v>
      </c>
      <c r="AE23" s="59" t="s">
        <v>59</v>
      </c>
      <c r="AF23" s="62">
        <v>0</v>
      </c>
      <c r="AG23" s="70">
        <v>395</v>
      </c>
      <c r="AH23" s="20">
        <f>IF(ISNUMBER(Tabella2[[#This Row],[Mean RADIAL stress  (MPa)]]), Tabella2[[#This Row],[Mean RADIAL stress  (MPa)]],"")</f>
        <v>0</v>
      </c>
      <c r="AI23" s="20">
        <f>IF(ISNUMBER(Tabella2[[#This Row],[Amplitute RADIAL stress  (MPa)]]), Tabella2[[#This Row],[Amplitute RADIAL stress  (MPa)]],"")</f>
        <v>0</v>
      </c>
      <c r="AJ23" s="20">
        <f>IF(ISNUMBER(Tabella2[[#This Row],[Mean AXIAL stress  (MPa)]]), IF(Tabella2[[#This Row],[derived from (AXIAL/BENDING) load]]="AXIAL",Tabella2[[#This Row],[Mean AXIAL stress  (MPa)]]*Tabella2[[#This Row],[Area (mm^2)]],"Null"), "")</f>
        <v>35342.917352885175</v>
      </c>
      <c r="AK23" s="20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3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3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3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3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77558.068635498028</v>
      </c>
      <c r="AP23" s="27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3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684.16006898970659</v>
      </c>
    </row>
    <row r="24" spans="1:43" ht="20.100000000000001" customHeight="1" x14ac:dyDescent="0.25">
      <c r="A24" s="57" t="s">
        <v>64</v>
      </c>
      <c r="B24" s="1">
        <v>1989</v>
      </c>
      <c r="C24" s="1" t="s">
        <v>66</v>
      </c>
      <c r="D24" s="57" t="s">
        <v>68</v>
      </c>
      <c r="E24" s="61">
        <v>1000000</v>
      </c>
      <c r="F24" s="57" t="s">
        <v>31</v>
      </c>
      <c r="G24" s="56" t="s">
        <v>69</v>
      </c>
      <c r="H24" s="67" t="e" vm="2">
        <v>#VALUE!</v>
      </c>
      <c r="I24" s="57" t="s">
        <v>26</v>
      </c>
      <c r="J24" s="57" t="s">
        <v>19</v>
      </c>
      <c r="K24" s="1" t="s">
        <v>20</v>
      </c>
      <c r="L24" s="1" t="s">
        <v>20</v>
      </c>
      <c r="M24" s="1" t="s">
        <v>20</v>
      </c>
      <c r="N24" s="57">
        <v>10</v>
      </c>
      <c r="O24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24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24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24" s="1">
        <v>0</v>
      </c>
      <c r="S24" s="1">
        <v>0</v>
      </c>
      <c r="T24" s="57">
        <v>0</v>
      </c>
      <c r="U24" s="58">
        <v>20</v>
      </c>
      <c r="V24" s="58">
        <v>20</v>
      </c>
      <c r="W24" s="58">
        <v>20</v>
      </c>
      <c r="X2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4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4.046242774566474E-2</v>
      </c>
      <c r="Z24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4" s="20">
        <v>0</v>
      </c>
      <c r="AB24" s="20">
        <v>0</v>
      </c>
      <c r="AC24" s="57">
        <v>450</v>
      </c>
      <c r="AD24" s="62">
        <v>415</v>
      </c>
      <c r="AE24" s="59" t="s">
        <v>59</v>
      </c>
      <c r="AF24" s="62">
        <v>0</v>
      </c>
      <c r="AG24" s="70">
        <v>240</v>
      </c>
      <c r="AH24" s="20">
        <f>IF(ISNUMBER(Tabella2[[#This Row],[Mean RADIAL stress  (MPa)]]), Tabella2[[#This Row],[Mean RADIAL stress  (MPa)]],"")</f>
        <v>0</v>
      </c>
      <c r="AI24" s="20">
        <f>IF(ISNUMBER(Tabella2[[#This Row],[Amplitute RADIAL stress  (MPa)]]), Tabella2[[#This Row],[Amplitute RADIAL stress  (MPa)]],"")</f>
        <v>0</v>
      </c>
      <c r="AJ24" s="20">
        <f>IF(ISNUMBER(Tabella2[[#This Row],[Mean AXIAL stress  (MPa)]]), IF(Tabella2[[#This Row],[derived from (AXIAL/BENDING) load]]="AXIAL",Tabella2[[#This Row],[Mean AXIAL stress  (MPa)]]*Tabella2[[#This Row],[Area (mm^2)]],"Null"), "")</f>
        <v>35342.917352885175</v>
      </c>
      <c r="AK24" s="20">
        <f>IF(ISNUMBER(Tabella2[[#This Row],[Amplitute AXIAL stress  (MPa)]]),    IF(Tabella2[[#This Row],[derived from (AXIAL/BENDING) load]]="AXIAL",Tabella2[[#This Row],[Amplitute AXIAL stress  (MPa)]]*Tabella2[[#This Row],[Area (mm^2)]],"Null"), "")</f>
        <v>32594.023780994106</v>
      </c>
      <c r="AL24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4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4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4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47123.889803846898</v>
      </c>
      <c r="AP24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0.57831325301204817</v>
      </c>
      <c r="AQ24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587.38828725128667</v>
      </c>
    </row>
    <row r="25" spans="1:43" ht="20.100000000000001" customHeight="1" x14ac:dyDescent="0.25">
      <c r="A25" s="57" t="s">
        <v>64</v>
      </c>
      <c r="B25" s="1">
        <v>1989</v>
      </c>
      <c r="C25" s="1" t="s">
        <v>66</v>
      </c>
      <c r="D25" s="57" t="s">
        <v>68</v>
      </c>
      <c r="E25" s="61">
        <v>1000000</v>
      </c>
      <c r="F25" s="57" t="s">
        <v>31</v>
      </c>
      <c r="G25" s="56" t="s">
        <v>69</v>
      </c>
      <c r="H25" s="67" t="e" vm="3">
        <v>#VALUE!</v>
      </c>
      <c r="I25" s="57" t="s">
        <v>26</v>
      </c>
      <c r="J25" s="57" t="s">
        <v>19</v>
      </c>
      <c r="K25" s="1" t="s">
        <v>20</v>
      </c>
      <c r="L25" s="1" t="s">
        <v>20</v>
      </c>
      <c r="M25" s="1" t="s">
        <v>20</v>
      </c>
      <c r="N25" s="57">
        <v>10</v>
      </c>
      <c r="O25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25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25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25" s="1">
        <v>0</v>
      </c>
      <c r="S25" s="1">
        <v>0</v>
      </c>
      <c r="T25" s="57">
        <v>90</v>
      </c>
      <c r="U25" s="58">
        <v>20</v>
      </c>
      <c r="V25" s="58">
        <v>20</v>
      </c>
      <c r="W25" s="58">
        <v>20</v>
      </c>
      <c r="X2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5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25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5" s="20">
        <v>0</v>
      </c>
      <c r="AB25" s="20">
        <v>0</v>
      </c>
      <c r="AC25" s="57">
        <v>450</v>
      </c>
      <c r="AD25" s="62">
        <v>450</v>
      </c>
      <c r="AE25" s="59" t="s">
        <v>59</v>
      </c>
      <c r="AF25" s="62">
        <v>0</v>
      </c>
      <c r="AG25" s="70">
        <v>234</v>
      </c>
      <c r="AH25" s="20">
        <f>IF(ISNUMBER(Tabella2[[#This Row],[Mean RADIAL stress  (MPa)]]), Tabella2[[#This Row],[Mean RADIAL stress  (MPa)]],"")</f>
        <v>0</v>
      </c>
      <c r="AI25" s="20">
        <f>IF(ISNUMBER(Tabella2[[#This Row],[Amplitute RADIAL stress  (MPa)]]), Tabella2[[#This Row],[Amplitute RADIAL stress  (MPa)]],"")</f>
        <v>0</v>
      </c>
      <c r="AJ25" s="20">
        <f>IF(ISNUMBER(Tabella2[[#This Row],[Mean AXIAL stress  (MPa)]]), IF(Tabella2[[#This Row],[derived from (AXIAL/BENDING) load]]="AXIAL",Tabella2[[#This Row],[Mean AXIAL stress  (MPa)]]*Tabella2[[#This Row],[Area (mm^2)]],"Null"), "")</f>
        <v>35342.917352885175</v>
      </c>
      <c r="AK25" s="20">
        <f>IF(ISNUMBER(Tabella2[[#This Row],[Amplitute AXIAL stress  (MPa)]]),    IF(Tabella2[[#This Row],[derived from (AXIAL/BENDING) load]]="AXIAL",Tabella2[[#This Row],[Amplitute AXIAL stress  (MPa)]]*Tabella2[[#This Row],[Area (mm^2)]],"Null"), "")</f>
        <v>35342.917352885175</v>
      </c>
      <c r="AL25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5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5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5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45945.792558750727</v>
      </c>
      <c r="AP25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0.52</v>
      </c>
      <c r="AQ25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605.61373828538603</v>
      </c>
    </row>
    <row r="26" spans="1:43" ht="20.100000000000001" customHeight="1" x14ac:dyDescent="0.25">
      <c r="A26" s="57" t="s">
        <v>64</v>
      </c>
      <c r="B26" s="1">
        <v>1989</v>
      </c>
      <c r="C26" s="1" t="s">
        <v>66</v>
      </c>
      <c r="D26" s="57" t="s">
        <v>68</v>
      </c>
      <c r="E26" s="61">
        <v>1000000</v>
      </c>
      <c r="F26" s="57" t="s">
        <v>31</v>
      </c>
      <c r="G26" s="56" t="s">
        <v>69</v>
      </c>
      <c r="H26" s="67" t="e" vm="2">
        <v>#VALUE!</v>
      </c>
      <c r="I26" s="57" t="s">
        <v>26</v>
      </c>
      <c r="J26" s="57" t="s">
        <v>19</v>
      </c>
      <c r="K26" s="1" t="s">
        <v>20</v>
      </c>
      <c r="L26" s="1" t="s">
        <v>20</v>
      </c>
      <c r="M26" s="1" t="s">
        <v>20</v>
      </c>
      <c r="N26" s="57">
        <v>10</v>
      </c>
      <c r="O26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26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26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26" s="1">
        <v>0</v>
      </c>
      <c r="S26" s="1">
        <v>0</v>
      </c>
      <c r="T26" s="57">
        <v>0</v>
      </c>
      <c r="U26" s="58">
        <v>20</v>
      </c>
      <c r="V26" s="58">
        <v>20</v>
      </c>
      <c r="W26" s="58">
        <v>20</v>
      </c>
      <c r="X2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6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1</v>
      </c>
      <c r="Z26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6" s="20">
        <v>0</v>
      </c>
      <c r="AB26" s="20">
        <v>0</v>
      </c>
      <c r="AC26" s="57">
        <v>600</v>
      </c>
      <c r="AD26" s="62">
        <v>0</v>
      </c>
      <c r="AE26" s="59" t="s">
        <v>59</v>
      </c>
      <c r="AF26" s="62">
        <v>0</v>
      </c>
      <c r="AG26" s="70">
        <v>350</v>
      </c>
      <c r="AH26" s="20">
        <f>IF(ISNUMBER(Tabella2[[#This Row],[Mean RADIAL stress  (MPa)]]), Tabella2[[#This Row],[Mean RADIAL stress  (MPa)]],"")</f>
        <v>0</v>
      </c>
      <c r="AI26" s="20">
        <f>IF(ISNUMBER(Tabella2[[#This Row],[Amplitute RADIAL stress  (MPa)]]), Tabella2[[#This Row],[Amplitute RADIAL stress  (MPa)]],"")</f>
        <v>0</v>
      </c>
      <c r="AJ26" s="20">
        <f>IF(ISNUMBER(Tabella2[[#This Row],[Mean AXIAL stress  (MPa)]]), IF(Tabella2[[#This Row],[derived from (AXIAL/BENDING) load]]="AXIAL",Tabella2[[#This Row],[Mean AXIAL stress  (MPa)]]*Tabella2[[#This Row],[Area (mm^2)]],"Null"), "")</f>
        <v>47123.889803846898</v>
      </c>
      <c r="AK26" s="20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26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6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6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6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68722.339297276718</v>
      </c>
      <c r="AP26" s="27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26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606.21778264910711</v>
      </c>
    </row>
    <row r="27" spans="1:43" ht="20.100000000000001" customHeight="1" x14ac:dyDescent="0.25">
      <c r="A27" s="57" t="s">
        <v>64</v>
      </c>
      <c r="B27" s="1">
        <v>1989</v>
      </c>
      <c r="C27" s="1" t="s">
        <v>66</v>
      </c>
      <c r="D27" s="57" t="s">
        <v>68</v>
      </c>
      <c r="E27" s="61">
        <v>1000000</v>
      </c>
      <c r="F27" s="57" t="s">
        <v>31</v>
      </c>
      <c r="G27" s="56" t="s">
        <v>69</v>
      </c>
      <c r="H27" s="67" t="e" vm="2">
        <v>#VALUE!</v>
      </c>
      <c r="I27" s="57" t="s">
        <v>26</v>
      </c>
      <c r="J27" s="57" t="s">
        <v>19</v>
      </c>
      <c r="K27" s="1" t="s">
        <v>20</v>
      </c>
      <c r="L27" s="1" t="s">
        <v>20</v>
      </c>
      <c r="M27" s="1" t="s">
        <v>20</v>
      </c>
      <c r="N27" s="57">
        <v>10</v>
      </c>
      <c r="O27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27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27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27" s="1">
        <v>0</v>
      </c>
      <c r="S27" s="1">
        <v>0</v>
      </c>
      <c r="T27" s="57">
        <v>0</v>
      </c>
      <c r="U27" s="58">
        <v>20</v>
      </c>
      <c r="V27" s="58">
        <v>20</v>
      </c>
      <c r="W27" s="58">
        <v>20</v>
      </c>
      <c r="X2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7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0.23711340206185566</v>
      </c>
      <c r="Z27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7" s="20">
        <v>0</v>
      </c>
      <c r="AB27" s="20">
        <v>0</v>
      </c>
      <c r="AC27" s="57">
        <v>600</v>
      </c>
      <c r="AD27" s="62">
        <v>370</v>
      </c>
      <c r="AE27" s="59" t="s">
        <v>59</v>
      </c>
      <c r="AF27" s="62">
        <v>0</v>
      </c>
      <c r="AG27" s="70">
        <v>214</v>
      </c>
      <c r="AH27" s="20">
        <f>IF(ISNUMBER(Tabella2[[#This Row],[Mean RADIAL stress  (MPa)]]), Tabella2[[#This Row],[Mean RADIAL stress  (MPa)]],"")</f>
        <v>0</v>
      </c>
      <c r="AI27" s="20">
        <f>IF(ISNUMBER(Tabella2[[#This Row],[Amplitute RADIAL stress  (MPa)]]), Tabella2[[#This Row],[Amplitute RADIAL stress  (MPa)]],"")</f>
        <v>0</v>
      </c>
      <c r="AJ27" s="20">
        <f>IF(ISNUMBER(Tabella2[[#This Row],[Mean AXIAL stress  (MPa)]]), IF(Tabella2[[#This Row],[derived from (AXIAL/BENDING) load]]="AXIAL",Tabella2[[#This Row],[Mean AXIAL stress  (MPa)]]*Tabella2[[#This Row],[Area (mm^2)]],"Null"), "")</f>
        <v>47123.889803846898</v>
      </c>
      <c r="AK27" s="20">
        <f>IF(ISNUMBER(Tabella2[[#This Row],[Amplitute AXIAL stress  (MPa)]]),    IF(Tabella2[[#This Row],[derived from (AXIAL/BENDING) load]]="AXIAL",Tabella2[[#This Row],[Amplitute AXIAL stress  (MPa)]]*Tabella2[[#This Row],[Area (mm^2)]],"Null"), "")</f>
        <v>29059.732045705587</v>
      </c>
      <c r="AL27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7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7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7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42018.801741763484</v>
      </c>
      <c r="AP27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0.57837837837837835</v>
      </c>
      <c r="AQ27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523.72511874073791</v>
      </c>
    </row>
    <row r="28" spans="1:43" ht="20.100000000000001" customHeight="1" x14ac:dyDescent="0.25">
      <c r="A28" s="57" t="s">
        <v>64</v>
      </c>
      <c r="B28" s="1">
        <v>1989</v>
      </c>
      <c r="C28" s="1" t="s">
        <v>66</v>
      </c>
      <c r="D28" s="57" t="s">
        <v>68</v>
      </c>
      <c r="E28" s="61">
        <v>1000000</v>
      </c>
      <c r="F28" s="57" t="s">
        <v>31</v>
      </c>
      <c r="G28" s="56" t="s">
        <v>69</v>
      </c>
      <c r="H28" s="67" t="e" vm="2">
        <v>#VALUE!</v>
      </c>
      <c r="I28" s="57" t="s">
        <v>26</v>
      </c>
      <c r="J28" s="57" t="s">
        <v>19</v>
      </c>
      <c r="K28" s="1" t="s">
        <v>20</v>
      </c>
      <c r="L28" s="1" t="s">
        <v>20</v>
      </c>
      <c r="M28" s="1" t="s">
        <v>20</v>
      </c>
      <c r="N28" s="57">
        <v>10</v>
      </c>
      <c r="O28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28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28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28" s="1">
        <v>0</v>
      </c>
      <c r="S28" s="1">
        <v>0</v>
      </c>
      <c r="T28" s="57">
        <v>90</v>
      </c>
      <c r="U28" s="58">
        <v>20</v>
      </c>
      <c r="V28" s="58">
        <v>20</v>
      </c>
      <c r="W28" s="58">
        <v>20</v>
      </c>
      <c r="X2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8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0.21212121212121213</v>
      </c>
      <c r="Z28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8" s="20">
        <v>0</v>
      </c>
      <c r="AB28" s="20">
        <v>0</v>
      </c>
      <c r="AC28" s="57">
        <v>600</v>
      </c>
      <c r="AD28" s="62">
        <v>390</v>
      </c>
      <c r="AE28" s="59" t="s">
        <v>59</v>
      </c>
      <c r="AF28" s="62">
        <v>0</v>
      </c>
      <c r="AG28" s="70">
        <v>225</v>
      </c>
      <c r="AH28" s="20">
        <f>IF(ISNUMBER(Tabella2[[#This Row],[Mean RADIAL stress  (MPa)]]), Tabella2[[#This Row],[Mean RADIAL stress  (MPa)]],"")</f>
        <v>0</v>
      </c>
      <c r="AI28" s="20">
        <f>IF(ISNUMBER(Tabella2[[#This Row],[Amplitute RADIAL stress  (MPa)]]), Tabella2[[#This Row],[Amplitute RADIAL stress  (MPa)]],"")</f>
        <v>0</v>
      </c>
      <c r="AJ28" s="20">
        <f>IF(ISNUMBER(Tabella2[[#This Row],[Mean AXIAL stress  (MPa)]]), IF(Tabella2[[#This Row],[derived from (AXIAL/BENDING) load]]="AXIAL",Tabella2[[#This Row],[Mean AXIAL stress  (MPa)]]*Tabella2[[#This Row],[Area (mm^2)]],"Null"), "")</f>
        <v>47123.889803846898</v>
      </c>
      <c r="AK28" s="20">
        <f>IF(ISNUMBER(Tabella2[[#This Row],[Amplitute AXIAL stress  (MPa)]]),    IF(Tabella2[[#This Row],[derived from (AXIAL/BENDING) load]]="AXIAL",Tabella2[[#This Row],[Amplitute AXIAL stress  (MPa)]]*Tabella2[[#This Row],[Area (mm^2)]],"Null"), "")</f>
        <v>30630.528372500485</v>
      </c>
      <c r="AL28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8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8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8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44178.646691106471</v>
      </c>
      <c r="AP28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0.57692307692307687</v>
      </c>
      <c r="AQ28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551.33927848467317</v>
      </c>
    </row>
    <row r="29" spans="1:43" ht="20.100000000000001" customHeight="1" x14ac:dyDescent="0.25">
      <c r="A29" s="57" t="s">
        <v>64</v>
      </c>
      <c r="B29" s="1">
        <v>1989</v>
      </c>
      <c r="C29" s="1" t="s">
        <v>66</v>
      </c>
      <c r="D29" s="57" t="s">
        <v>68</v>
      </c>
      <c r="E29" s="61">
        <v>1000000</v>
      </c>
      <c r="F29" s="57" t="s">
        <v>31</v>
      </c>
      <c r="G29" s="56" t="s">
        <v>69</v>
      </c>
      <c r="H29" s="67" t="e" vm="2">
        <v>#VALUE!</v>
      </c>
      <c r="I29" s="57" t="s">
        <v>26</v>
      </c>
      <c r="J29" s="57" t="s">
        <v>19</v>
      </c>
      <c r="K29" s="1" t="s">
        <v>20</v>
      </c>
      <c r="L29" s="1" t="s">
        <v>20</v>
      </c>
      <c r="M29" s="1" t="s">
        <v>20</v>
      </c>
      <c r="N29" s="57">
        <v>10</v>
      </c>
      <c r="O29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29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29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29" s="1">
        <v>0</v>
      </c>
      <c r="S29" s="1">
        <v>0</v>
      </c>
      <c r="T29" s="57">
        <v>0</v>
      </c>
      <c r="U29" s="58">
        <v>20</v>
      </c>
      <c r="V29" s="58">
        <v>20</v>
      </c>
      <c r="W29" s="58">
        <v>20</v>
      </c>
      <c r="X2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9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-0.35483870967741937</v>
      </c>
      <c r="Z29" s="1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9" s="20">
        <v>0</v>
      </c>
      <c r="AB29" s="20">
        <v>0</v>
      </c>
      <c r="AC29" s="57">
        <v>300</v>
      </c>
      <c r="AD29" s="62">
        <v>630</v>
      </c>
      <c r="AE29" s="59" t="s">
        <v>59</v>
      </c>
      <c r="AF29" s="62">
        <v>0</v>
      </c>
      <c r="AG29" s="70">
        <v>0</v>
      </c>
      <c r="AH29" s="20">
        <f>IF(ISNUMBER(Tabella2[[#This Row],[Mean RADIAL stress  (MPa)]]), Tabella2[[#This Row],[Mean RADIAL stress  (MPa)]],"")</f>
        <v>0</v>
      </c>
      <c r="AI29" s="20">
        <f>IF(ISNUMBER(Tabella2[[#This Row],[Amplitute RADIAL stress  (MPa)]]), Tabella2[[#This Row],[Amplitute RADIAL stress  (MPa)]],"")</f>
        <v>0</v>
      </c>
      <c r="AJ29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29" s="20">
        <f>IF(ISNUMBER(Tabella2[[#This Row],[Amplitute AXIAL stress  (MPa)]]),    IF(Tabella2[[#This Row],[derived from (AXIAL/BENDING) load]]="AXIAL",Tabella2[[#This Row],[Amplitute AXIAL stress  (MPa)]]*Tabella2[[#This Row],[Area (mm^2)]],"Null"), "")</f>
        <v>49480.084294039247</v>
      </c>
      <c r="AL29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9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9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9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9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9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630</v>
      </c>
    </row>
    <row r="30" spans="1:43" ht="20.100000000000001" customHeight="1" x14ac:dyDescent="0.25">
      <c r="A30" s="57" t="s">
        <v>64</v>
      </c>
      <c r="B30" s="1">
        <v>1989</v>
      </c>
      <c r="C30" s="1" t="s">
        <v>66</v>
      </c>
      <c r="D30" s="57" t="s">
        <v>68</v>
      </c>
      <c r="E30" s="61">
        <v>1000000</v>
      </c>
      <c r="F30" s="57" t="s">
        <v>31</v>
      </c>
      <c r="G30" s="56" t="s">
        <v>69</v>
      </c>
      <c r="H30" s="67" t="e" vm="2">
        <v>#VALUE!</v>
      </c>
      <c r="I30" s="57" t="s">
        <v>26</v>
      </c>
      <c r="J30" s="57" t="s">
        <v>19</v>
      </c>
      <c r="K30" s="1" t="s">
        <v>20</v>
      </c>
      <c r="L30" s="1" t="s">
        <v>20</v>
      </c>
      <c r="M30" s="1" t="s">
        <v>20</v>
      </c>
      <c r="N30" s="57">
        <v>10</v>
      </c>
      <c r="O30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30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30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30" s="1">
        <v>0</v>
      </c>
      <c r="S30" s="1">
        <v>0</v>
      </c>
      <c r="T30" s="57">
        <v>0</v>
      </c>
      <c r="U30" s="58">
        <v>20</v>
      </c>
      <c r="V30" s="58">
        <v>20</v>
      </c>
      <c r="W30" s="58">
        <v>20</v>
      </c>
      <c r="X3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0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1</v>
      </c>
      <c r="Z30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0" s="20">
        <v>0</v>
      </c>
      <c r="AB30" s="20">
        <v>0</v>
      </c>
      <c r="AC30" s="57">
        <v>300</v>
      </c>
      <c r="AD30" s="62">
        <v>0</v>
      </c>
      <c r="AE30" s="59" t="s">
        <v>59</v>
      </c>
      <c r="AF30" s="62">
        <v>0</v>
      </c>
      <c r="AG30" s="70">
        <v>370</v>
      </c>
      <c r="AH30" s="20">
        <f>IF(ISNUMBER(Tabella2[[#This Row],[Mean RADIAL stress  (MPa)]]), Tabella2[[#This Row],[Mean RADIAL stress  (MPa)]],"")</f>
        <v>0</v>
      </c>
      <c r="AI30" s="20">
        <f>IF(ISNUMBER(Tabella2[[#This Row],[Amplitute RADIAL stress  (MPa)]]), Tabella2[[#This Row],[Amplitute RADIAL stress  (MPa)]],"")</f>
        <v>0</v>
      </c>
      <c r="AJ30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30" s="20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30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0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0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0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72649.330114263968</v>
      </c>
      <c r="AP30" s="27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30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640.85879880048458</v>
      </c>
    </row>
    <row r="31" spans="1:43" ht="20.100000000000001" customHeight="1" x14ac:dyDescent="0.25">
      <c r="A31" s="57" t="s">
        <v>64</v>
      </c>
      <c r="B31" s="1">
        <v>1989</v>
      </c>
      <c r="C31" s="1" t="s">
        <v>66</v>
      </c>
      <c r="D31" s="57" t="s">
        <v>68</v>
      </c>
      <c r="E31" s="61">
        <v>1000000</v>
      </c>
      <c r="F31" s="57" t="s">
        <v>31</v>
      </c>
      <c r="G31" s="56" t="s">
        <v>69</v>
      </c>
      <c r="H31" s="67" t="e" vm="2">
        <v>#VALUE!</v>
      </c>
      <c r="I31" s="57" t="s">
        <v>26</v>
      </c>
      <c r="J31" s="57" t="s">
        <v>19</v>
      </c>
      <c r="K31" s="1" t="s">
        <v>20</v>
      </c>
      <c r="L31" s="1" t="s">
        <v>20</v>
      </c>
      <c r="M31" s="1" t="s">
        <v>20</v>
      </c>
      <c r="N31" s="57">
        <v>10</v>
      </c>
      <c r="O31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31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31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31" s="1">
        <v>0</v>
      </c>
      <c r="S31" s="1">
        <v>0</v>
      </c>
      <c r="T31" s="57">
        <v>0</v>
      </c>
      <c r="U31" s="58">
        <v>20</v>
      </c>
      <c r="V31" s="58">
        <v>20</v>
      </c>
      <c r="W31" s="58">
        <v>20</v>
      </c>
      <c r="X3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1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0.17416829745596868</v>
      </c>
      <c r="Z31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1" s="20">
        <v>0</v>
      </c>
      <c r="AB31" s="20">
        <v>0</v>
      </c>
      <c r="AC31" s="57">
        <v>300</v>
      </c>
      <c r="AD31" s="62">
        <v>211</v>
      </c>
      <c r="AE31" s="59" t="s">
        <v>59</v>
      </c>
      <c r="AF31" s="62">
        <v>0</v>
      </c>
      <c r="AG31" s="70">
        <v>365</v>
      </c>
      <c r="AH31" s="20">
        <f>IF(ISNUMBER(Tabella2[[#This Row],[Mean RADIAL stress  (MPa)]]), Tabella2[[#This Row],[Mean RADIAL stress  (MPa)]],"")</f>
        <v>0</v>
      </c>
      <c r="AI31" s="20">
        <f>IF(ISNUMBER(Tabella2[[#This Row],[Amplitute RADIAL stress  (MPa)]]), Tabella2[[#This Row],[Amplitute RADIAL stress  (MPa)]],"")</f>
        <v>0</v>
      </c>
      <c r="AJ31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31" s="20">
        <f>IF(ISNUMBER(Tabella2[[#This Row],[Amplitute AXIAL stress  (MPa)]]),    IF(Tabella2[[#This Row],[derived from (AXIAL/BENDING) load]]="AXIAL",Tabella2[[#This Row],[Amplitute AXIAL stress  (MPa)]]*Tabella2[[#This Row],[Area (mm^2)]],"Null"), "")</f>
        <v>16571.901247686161</v>
      </c>
      <c r="AL31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1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1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1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71667.582410017159</v>
      </c>
      <c r="AP31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1.7298578199052133</v>
      </c>
      <c r="AQ31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666.48030728596927</v>
      </c>
    </row>
    <row r="32" spans="1:43" ht="20.100000000000001" customHeight="1" x14ac:dyDescent="0.25">
      <c r="A32" s="57" t="s">
        <v>64</v>
      </c>
      <c r="B32" s="1">
        <v>1989</v>
      </c>
      <c r="C32" s="1" t="s">
        <v>66</v>
      </c>
      <c r="D32" s="57" t="s">
        <v>68</v>
      </c>
      <c r="E32" s="61">
        <v>1000000</v>
      </c>
      <c r="F32" s="57" t="s">
        <v>31</v>
      </c>
      <c r="G32" s="56" t="s">
        <v>69</v>
      </c>
      <c r="H32" s="67" t="e" vm="2">
        <v>#VALUE!</v>
      </c>
      <c r="I32" s="57" t="s">
        <v>26</v>
      </c>
      <c r="J32" s="57" t="s">
        <v>19</v>
      </c>
      <c r="K32" s="1" t="s">
        <v>20</v>
      </c>
      <c r="L32" s="1" t="s">
        <v>20</v>
      </c>
      <c r="M32" s="1" t="s">
        <v>20</v>
      </c>
      <c r="N32" s="57">
        <v>10</v>
      </c>
      <c r="O32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32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32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32" s="1">
        <v>0</v>
      </c>
      <c r="S32" s="1">
        <v>0</v>
      </c>
      <c r="T32" s="57">
        <v>90</v>
      </c>
      <c r="U32" s="58">
        <v>20</v>
      </c>
      <c r="V32" s="58">
        <v>20</v>
      </c>
      <c r="W32" s="58">
        <v>20</v>
      </c>
      <c r="X3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2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0.15384615384615385</v>
      </c>
      <c r="Z32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2" s="20">
        <v>0</v>
      </c>
      <c r="AB32" s="20">
        <v>0</v>
      </c>
      <c r="AC32" s="57">
        <v>300</v>
      </c>
      <c r="AD32" s="62">
        <v>220</v>
      </c>
      <c r="AE32" s="59" t="s">
        <v>59</v>
      </c>
      <c r="AF32" s="62">
        <v>0</v>
      </c>
      <c r="AG32" s="70">
        <v>385</v>
      </c>
      <c r="AH32" s="20">
        <f>IF(ISNUMBER(Tabella2[[#This Row],[Mean RADIAL stress  (MPa)]]), Tabella2[[#This Row],[Mean RADIAL stress  (MPa)]],"")</f>
        <v>0</v>
      </c>
      <c r="AI32" s="20">
        <f>IF(ISNUMBER(Tabella2[[#This Row],[Amplitute RADIAL stress  (MPa)]]), Tabella2[[#This Row],[Amplitute RADIAL stress  (MPa)]],"")</f>
        <v>0</v>
      </c>
      <c r="AJ32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32" s="20">
        <f>IF(ISNUMBER(Tabella2[[#This Row],[Amplitute AXIAL stress  (MPa)]]),    IF(Tabella2[[#This Row],[derived from (AXIAL/BENDING) load]]="AXIAL",Tabella2[[#This Row],[Amplitute AXIAL stress  (MPa)]]*Tabella2[[#This Row],[Area (mm^2)]],"Null"), "")</f>
        <v>17278.759594743864</v>
      </c>
      <c r="AL32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2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2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2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75594.57322700441</v>
      </c>
      <c r="AP32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1.75</v>
      </c>
      <c r="AQ32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702.19299341420378</v>
      </c>
    </row>
    <row r="33" spans="1:43" ht="20.100000000000001" customHeight="1" x14ac:dyDescent="0.25">
      <c r="A33" s="57" t="s">
        <v>64</v>
      </c>
      <c r="B33" s="1">
        <v>1989</v>
      </c>
      <c r="C33" s="1" t="s">
        <v>66</v>
      </c>
      <c r="D33" s="57" t="s">
        <v>68</v>
      </c>
      <c r="E33" s="61">
        <v>1000000</v>
      </c>
      <c r="F33" s="57" t="s">
        <v>31</v>
      </c>
      <c r="G33" s="56" t="s">
        <v>69</v>
      </c>
      <c r="H33" s="67" t="e" vm="2">
        <v>#VALUE!</v>
      </c>
      <c r="I33" s="57" t="s">
        <v>26</v>
      </c>
      <c r="J33" s="57" t="s">
        <v>19</v>
      </c>
      <c r="K33" s="1" t="s">
        <v>20</v>
      </c>
      <c r="L33" s="1" t="s">
        <v>20</v>
      </c>
      <c r="M33" s="1" t="s">
        <v>20</v>
      </c>
      <c r="N33" s="57">
        <v>10</v>
      </c>
      <c r="O33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33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33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33" s="1">
        <v>0</v>
      </c>
      <c r="S33" s="1">
        <v>0</v>
      </c>
      <c r="T33" s="57">
        <v>0</v>
      </c>
      <c r="U33" s="58">
        <v>20</v>
      </c>
      <c r="V33" s="58">
        <v>20</v>
      </c>
      <c r="W33" s="58">
        <v>20</v>
      </c>
      <c r="X3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3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-0.3258426966292135</v>
      </c>
      <c r="Z33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3" s="20">
        <v>0</v>
      </c>
      <c r="AB33" s="20">
        <v>0</v>
      </c>
      <c r="AC33" s="57">
        <v>300</v>
      </c>
      <c r="AD33" s="62">
        <v>590</v>
      </c>
      <c r="AE33" s="59" t="s">
        <v>59</v>
      </c>
      <c r="AF33" s="62">
        <v>0</v>
      </c>
      <c r="AG33" s="70">
        <v>148</v>
      </c>
      <c r="AH33" s="20">
        <f>IF(ISNUMBER(Tabella2[[#This Row],[Mean RADIAL stress  (MPa)]]), Tabella2[[#This Row],[Mean RADIAL stress  (MPa)]],"")</f>
        <v>0</v>
      </c>
      <c r="AI33" s="20">
        <f>IF(ISNUMBER(Tabella2[[#This Row],[Amplitute RADIAL stress  (MPa)]]), Tabella2[[#This Row],[Amplitute RADIAL stress  (MPa)]],"")</f>
        <v>0</v>
      </c>
      <c r="AJ33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33" s="20">
        <f>IF(ISNUMBER(Tabella2[[#This Row],[Amplitute AXIAL stress  (MPa)]]),    IF(Tabella2[[#This Row],[derived from (AXIAL/BENDING) load]]="AXIAL",Tabella2[[#This Row],[Amplitute AXIAL stress  (MPa)]]*Tabella2[[#This Row],[Area (mm^2)]],"Null"), "")</f>
        <v>46338.491640449451</v>
      </c>
      <c r="AL33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3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3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3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29059.732045705587</v>
      </c>
      <c r="AP33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0.25084745762711863</v>
      </c>
      <c r="AQ33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643.28220867672064</v>
      </c>
    </row>
    <row r="34" spans="1:43" ht="20.100000000000001" customHeight="1" x14ac:dyDescent="0.25">
      <c r="A34" s="57" t="s">
        <v>64</v>
      </c>
      <c r="B34" s="1">
        <v>1989</v>
      </c>
      <c r="C34" s="1" t="s">
        <v>66</v>
      </c>
      <c r="D34" s="57" t="s">
        <v>68</v>
      </c>
      <c r="E34" s="61">
        <v>1000000</v>
      </c>
      <c r="F34" s="57" t="s">
        <v>31</v>
      </c>
      <c r="G34" s="56" t="s">
        <v>69</v>
      </c>
      <c r="H34" s="67" t="e" vm="2">
        <v>#VALUE!</v>
      </c>
      <c r="I34" s="57" t="s">
        <v>26</v>
      </c>
      <c r="J34" s="57" t="s">
        <v>19</v>
      </c>
      <c r="K34" s="1" t="s">
        <v>20</v>
      </c>
      <c r="L34" s="1" t="s">
        <v>20</v>
      </c>
      <c r="M34" s="1" t="s">
        <v>20</v>
      </c>
      <c r="N34" s="57">
        <v>10</v>
      </c>
      <c r="O34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34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34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34" s="1">
        <v>0</v>
      </c>
      <c r="S34" s="1">
        <v>0</v>
      </c>
      <c r="T34" s="57">
        <v>45</v>
      </c>
      <c r="U34" s="58">
        <v>20</v>
      </c>
      <c r="V34" s="58">
        <v>20</v>
      </c>
      <c r="W34" s="58">
        <v>20</v>
      </c>
      <c r="X3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4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-0.30475086906141369</v>
      </c>
      <c r="Z34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4" s="20">
        <v>0</v>
      </c>
      <c r="AB34" s="20">
        <v>0</v>
      </c>
      <c r="AC34" s="57">
        <v>300</v>
      </c>
      <c r="AD34" s="62">
        <v>563</v>
      </c>
      <c r="AE34" s="59" t="s">
        <v>59</v>
      </c>
      <c r="AF34" s="62">
        <v>0</v>
      </c>
      <c r="AG34" s="70">
        <v>141</v>
      </c>
      <c r="AH34" s="20">
        <f>IF(ISNUMBER(Tabella2[[#This Row],[Mean RADIAL stress  (MPa)]]), Tabella2[[#This Row],[Mean RADIAL stress  (MPa)]],"")</f>
        <v>0</v>
      </c>
      <c r="AI34" s="20">
        <f>IF(ISNUMBER(Tabella2[[#This Row],[Amplitute RADIAL stress  (MPa)]]), Tabella2[[#This Row],[Amplitute RADIAL stress  (MPa)]],"")</f>
        <v>0</v>
      </c>
      <c r="AJ34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34" s="20">
        <f>IF(ISNUMBER(Tabella2[[#This Row],[Amplitute AXIAL stress  (MPa)]]),    IF(Tabella2[[#This Row],[derived from (AXIAL/BENDING) load]]="AXIAL",Tabella2[[#This Row],[Amplitute AXIAL stress  (MPa)]]*Tabella2[[#This Row],[Area (mm^2)]],"Null"), "")</f>
        <v>44217.916599276337</v>
      </c>
      <c r="AL34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4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4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4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27685.285259760054</v>
      </c>
      <c r="AP34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0.25044404973357015</v>
      </c>
      <c r="AQ34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613.68721674807603</v>
      </c>
    </row>
    <row r="35" spans="1:43" ht="20.100000000000001" customHeight="1" x14ac:dyDescent="0.25">
      <c r="A35" s="57" t="s">
        <v>64</v>
      </c>
      <c r="B35" s="1">
        <v>1989</v>
      </c>
      <c r="C35" s="1" t="s">
        <v>66</v>
      </c>
      <c r="D35" s="57" t="s">
        <v>68</v>
      </c>
      <c r="E35" s="61">
        <v>1000000</v>
      </c>
      <c r="F35" s="57" t="s">
        <v>31</v>
      </c>
      <c r="G35" s="56" t="s">
        <v>69</v>
      </c>
      <c r="H35" s="67" t="e" vm="2">
        <v>#VALUE!</v>
      </c>
      <c r="I35" s="57" t="s">
        <v>26</v>
      </c>
      <c r="J35" s="57" t="s">
        <v>19</v>
      </c>
      <c r="K35" s="1" t="s">
        <v>20</v>
      </c>
      <c r="L35" s="1" t="s">
        <v>20</v>
      </c>
      <c r="M35" s="1" t="s">
        <v>20</v>
      </c>
      <c r="N35" s="57">
        <v>10</v>
      </c>
      <c r="O35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35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35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35" s="1">
        <v>0</v>
      </c>
      <c r="S35" s="1">
        <v>0</v>
      </c>
      <c r="T35" s="57">
        <v>90</v>
      </c>
      <c r="U35" s="58">
        <v>20</v>
      </c>
      <c r="V35" s="58">
        <v>20</v>
      </c>
      <c r="W35" s="58">
        <v>20</v>
      </c>
      <c r="X3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5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-0.2857142857142857</v>
      </c>
      <c r="Z35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5" s="20">
        <v>0</v>
      </c>
      <c r="AB35" s="20">
        <v>0</v>
      </c>
      <c r="AC35" s="57">
        <v>300</v>
      </c>
      <c r="AD35" s="62">
        <v>540</v>
      </c>
      <c r="AE35" s="59" t="s">
        <v>59</v>
      </c>
      <c r="AF35" s="62">
        <v>0</v>
      </c>
      <c r="AG35" s="70">
        <v>135</v>
      </c>
      <c r="AH35" s="20">
        <f>IF(ISNUMBER(Tabella2[[#This Row],[Mean RADIAL stress  (MPa)]]), Tabella2[[#This Row],[Mean RADIAL stress  (MPa)]],"")</f>
        <v>0</v>
      </c>
      <c r="AI35" s="20">
        <f>IF(ISNUMBER(Tabella2[[#This Row],[Amplitute RADIAL stress  (MPa)]]), Tabella2[[#This Row],[Amplitute RADIAL stress  (MPa)]],"")</f>
        <v>0</v>
      </c>
      <c r="AJ35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35" s="20">
        <f>IF(ISNUMBER(Tabella2[[#This Row],[Amplitute AXIAL stress  (MPa)]]),    IF(Tabella2[[#This Row],[derived from (AXIAL/BENDING) load]]="AXIAL",Tabella2[[#This Row],[Amplitute AXIAL stress  (MPa)]]*Tabella2[[#This Row],[Area (mm^2)]],"Null"), "")</f>
        <v>42411.500823462207</v>
      </c>
      <c r="AL35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5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5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5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26507.18801466388</v>
      </c>
      <c r="AP35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0.25</v>
      </c>
      <c r="AQ35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588.45135737799092</v>
      </c>
    </row>
    <row r="36" spans="1:43" ht="20.100000000000001" customHeight="1" x14ac:dyDescent="0.25">
      <c r="A36" s="57" t="s">
        <v>64</v>
      </c>
      <c r="B36" s="1">
        <v>1989</v>
      </c>
      <c r="C36" s="1" t="s">
        <v>66</v>
      </c>
      <c r="D36" s="57" t="s">
        <v>68</v>
      </c>
      <c r="E36" s="61">
        <v>1000000</v>
      </c>
      <c r="F36" s="57" t="s">
        <v>31</v>
      </c>
      <c r="G36" s="56" t="s">
        <v>69</v>
      </c>
      <c r="H36" s="67" t="e" vm="2">
        <v>#VALUE!</v>
      </c>
      <c r="I36" s="57" t="s">
        <v>26</v>
      </c>
      <c r="J36" s="57" t="s">
        <v>19</v>
      </c>
      <c r="K36" s="1" t="s">
        <v>20</v>
      </c>
      <c r="L36" s="1" t="s">
        <v>20</v>
      </c>
      <c r="M36" s="1" t="s">
        <v>20</v>
      </c>
      <c r="N36" s="57">
        <v>10</v>
      </c>
      <c r="O36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36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36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36" s="1">
        <v>0</v>
      </c>
      <c r="S36" s="1">
        <v>0</v>
      </c>
      <c r="T36" s="57">
        <v>0</v>
      </c>
      <c r="U36" s="58">
        <v>20</v>
      </c>
      <c r="V36" s="58">
        <v>20</v>
      </c>
      <c r="W36" s="58">
        <v>20</v>
      </c>
      <c r="X3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6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-0.23076923076923078</v>
      </c>
      <c r="Z36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6" s="20">
        <v>0</v>
      </c>
      <c r="AB36" s="20">
        <v>0</v>
      </c>
      <c r="AC36" s="57">
        <v>300</v>
      </c>
      <c r="AD36" s="62">
        <v>480</v>
      </c>
      <c r="AE36" s="59" t="s">
        <v>59</v>
      </c>
      <c r="AF36" s="62">
        <v>0</v>
      </c>
      <c r="AG36" s="70">
        <v>277</v>
      </c>
      <c r="AH36" s="20">
        <f>IF(ISNUMBER(Tabella2[[#This Row],[Mean RADIAL stress  (MPa)]]), Tabella2[[#This Row],[Mean RADIAL stress  (MPa)]],"")</f>
        <v>0</v>
      </c>
      <c r="AI36" s="20">
        <f>IF(ISNUMBER(Tabella2[[#This Row],[Amplitute RADIAL stress  (MPa)]]), Tabella2[[#This Row],[Amplitute RADIAL stress  (MPa)]],"")</f>
        <v>0</v>
      </c>
      <c r="AJ36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36" s="20">
        <f>IF(ISNUMBER(Tabella2[[#This Row],[Amplitute AXIAL stress  (MPa)]]),    IF(Tabella2[[#This Row],[derived from (AXIAL/BENDING) load]]="AXIAL",Tabella2[[#This Row],[Amplitute AXIAL stress  (MPa)]]*Tabella2[[#This Row],[Area (mm^2)]],"Null"), "")</f>
        <v>37699.111843077517</v>
      </c>
      <c r="AL36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6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6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6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54388.822815273292</v>
      </c>
      <c r="AP36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0.57708333333333328</v>
      </c>
      <c r="AQ36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678.66560248770531</v>
      </c>
    </row>
    <row r="37" spans="1:43" ht="20.100000000000001" customHeight="1" x14ac:dyDescent="0.25">
      <c r="A37" s="57" t="s">
        <v>64</v>
      </c>
      <c r="B37" s="1">
        <v>1989</v>
      </c>
      <c r="C37" s="1" t="s">
        <v>66</v>
      </c>
      <c r="D37" s="57" t="s">
        <v>68</v>
      </c>
      <c r="E37" s="61">
        <v>1000000</v>
      </c>
      <c r="F37" s="57" t="s">
        <v>31</v>
      </c>
      <c r="G37" s="56" t="s">
        <v>69</v>
      </c>
      <c r="H37" s="67" t="e" vm="2">
        <v>#VALUE!</v>
      </c>
      <c r="I37" s="57" t="s">
        <v>26</v>
      </c>
      <c r="J37" s="57" t="s">
        <v>19</v>
      </c>
      <c r="K37" s="1" t="s">
        <v>20</v>
      </c>
      <c r="L37" s="1" t="s">
        <v>20</v>
      </c>
      <c r="M37" s="1" t="s">
        <v>20</v>
      </c>
      <c r="N37" s="57">
        <v>10</v>
      </c>
      <c r="O37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37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37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37" s="1">
        <v>0</v>
      </c>
      <c r="S37" s="1">
        <v>0</v>
      </c>
      <c r="T37" s="57">
        <v>45</v>
      </c>
      <c r="U37" s="58">
        <v>20</v>
      </c>
      <c r="V37" s="58">
        <v>20</v>
      </c>
      <c r="W37" s="58">
        <v>20</v>
      </c>
      <c r="X3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7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-0.23076923076923078</v>
      </c>
      <c r="Z37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7" s="20">
        <v>0</v>
      </c>
      <c r="AB37" s="20">
        <v>0</v>
      </c>
      <c r="AC37" s="57">
        <v>300</v>
      </c>
      <c r="AD37" s="62">
        <v>480</v>
      </c>
      <c r="AE37" s="59" t="s">
        <v>59</v>
      </c>
      <c r="AF37" s="62">
        <v>0</v>
      </c>
      <c r="AG37" s="70">
        <v>277</v>
      </c>
      <c r="AH37" s="20">
        <f>IF(ISNUMBER(Tabella2[[#This Row],[Mean RADIAL stress  (MPa)]]), Tabella2[[#This Row],[Mean RADIAL stress  (MPa)]],"")</f>
        <v>0</v>
      </c>
      <c r="AI37" s="20">
        <f>IF(ISNUMBER(Tabella2[[#This Row],[Amplitute RADIAL stress  (MPa)]]), Tabella2[[#This Row],[Amplitute RADIAL stress  (MPa)]],"")</f>
        <v>0</v>
      </c>
      <c r="AJ37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37" s="20">
        <f>IF(ISNUMBER(Tabella2[[#This Row],[Amplitute AXIAL stress  (MPa)]]),    IF(Tabella2[[#This Row],[derived from (AXIAL/BENDING) load]]="AXIAL",Tabella2[[#This Row],[Amplitute AXIAL stress  (MPa)]]*Tabella2[[#This Row],[Area (mm^2)]],"Null"), "")</f>
        <v>37699.111843077517</v>
      </c>
      <c r="AL37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7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7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7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54388.822815273292</v>
      </c>
      <c r="AP37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0.57708333333333328</v>
      </c>
      <c r="AQ37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678.66560248770531</v>
      </c>
    </row>
    <row r="38" spans="1:43" ht="20.100000000000001" customHeight="1" x14ac:dyDescent="0.25">
      <c r="A38" s="57" t="s">
        <v>64</v>
      </c>
      <c r="B38" s="1">
        <v>1989</v>
      </c>
      <c r="C38" s="1" t="s">
        <v>66</v>
      </c>
      <c r="D38" s="57" t="s">
        <v>68</v>
      </c>
      <c r="E38" s="61">
        <v>1000000</v>
      </c>
      <c r="F38" s="57" t="s">
        <v>31</v>
      </c>
      <c r="G38" s="56" t="s">
        <v>69</v>
      </c>
      <c r="H38" s="67" t="e" vm="2">
        <v>#VALUE!</v>
      </c>
      <c r="I38" s="57" t="s">
        <v>26</v>
      </c>
      <c r="J38" s="57" t="s">
        <v>19</v>
      </c>
      <c r="K38" s="1" t="s">
        <v>20</v>
      </c>
      <c r="L38" s="1" t="s">
        <v>20</v>
      </c>
      <c r="M38" s="1" t="s">
        <v>20</v>
      </c>
      <c r="N38" s="57">
        <v>10</v>
      </c>
      <c r="O38" s="5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38" s="5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38" s="19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38" s="1">
        <v>0</v>
      </c>
      <c r="S38" s="1">
        <v>0</v>
      </c>
      <c r="T38" s="57">
        <v>60</v>
      </c>
      <c r="U38" s="58">
        <v>20</v>
      </c>
      <c r="V38" s="58">
        <v>20</v>
      </c>
      <c r="W38" s="58">
        <v>20</v>
      </c>
      <c r="X3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8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-0.22077922077922077</v>
      </c>
      <c r="Z38" s="19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8" s="20">
        <v>0</v>
      </c>
      <c r="AB38" s="20">
        <v>0</v>
      </c>
      <c r="AC38" s="57">
        <v>300</v>
      </c>
      <c r="AD38" s="62">
        <v>470</v>
      </c>
      <c r="AE38" s="59" t="s">
        <v>59</v>
      </c>
      <c r="AF38" s="62">
        <v>0</v>
      </c>
      <c r="AG38" s="70">
        <v>271</v>
      </c>
      <c r="AH38" s="20">
        <f>IF(ISNUMBER(Tabella2[[#This Row],[Mean RADIAL stress  (MPa)]]), Tabella2[[#This Row],[Mean RADIAL stress  (MPa)]],"")</f>
        <v>0</v>
      </c>
      <c r="AI38" s="20">
        <f>IF(ISNUMBER(Tabella2[[#This Row],[Amplitute RADIAL stress  (MPa)]]), Tabella2[[#This Row],[Amplitute RADIAL stress  (MPa)]],"")</f>
        <v>0</v>
      </c>
      <c r="AJ38" s="20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38" s="20">
        <f>IF(ISNUMBER(Tabella2[[#This Row],[Amplitute AXIAL stress  (MPa)]]),    IF(Tabella2[[#This Row],[derived from (AXIAL/BENDING) load]]="AXIAL",Tabella2[[#This Row],[Amplitute AXIAL stress  (MPa)]]*Tabella2[[#This Row],[Area (mm^2)]],"Null"), "")</f>
        <v>36913.71367968007</v>
      </c>
      <c r="AL38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8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8" s="20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8" s="1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53210.725570177121</v>
      </c>
      <c r="AP38" s="27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0.57659574468085106</v>
      </c>
      <c r="AQ38" s="27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664.24618930032261</v>
      </c>
    </row>
    <row r="39" spans="1:43" s="14" customFormat="1" ht="20.100000000000001" customHeight="1" thickBot="1" x14ac:dyDescent="0.3">
      <c r="A39" s="35" t="s">
        <v>64</v>
      </c>
      <c r="B39" s="14">
        <v>1989</v>
      </c>
      <c r="C39" s="14" t="s">
        <v>66</v>
      </c>
      <c r="D39" s="35" t="s">
        <v>68</v>
      </c>
      <c r="E39" s="36">
        <v>1000000</v>
      </c>
      <c r="F39" s="35" t="s">
        <v>31</v>
      </c>
      <c r="G39" s="34" t="s">
        <v>69</v>
      </c>
      <c r="H39" s="68" t="e" vm="2">
        <v>#VALUE!</v>
      </c>
      <c r="I39" s="35" t="s">
        <v>26</v>
      </c>
      <c r="J39" s="35" t="s">
        <v>19</v>
      </c>
      <c r="K39" s="14" t="s">
        <v>20</v>
      </c>
      <c r="L39" s="14" t="s">
        <v>20</v>
      </c>
      <c r="M39" s="14" t="s">
        <v>20</v>
      </c>
      <c r="N39" s="35">
        <v>10</v>
      </c>
      <c r="O39" s="1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39" s="1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39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39" s="14">
        <v>0</v>
      </c>
      <c r="S39" s="14">
        <v>0</v>
      </c>
      <c r="T39" s="35">
        <v>90</v>
      </c>
      <c r="U39" s="15">
        <v>20</v>
      </c>
      <c r="V39" s="15">
        <v>20</v>
      </c>
      <c r="W39" s="15">
        <v>20</v>
      </c>
      <c r="X39" s="14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9" s="1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-0.2238033635187581</v>
      </c>
      <c r="Z39" s="23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9" s="16">
        <v>0</v>
      </c>
      <c r="AB39" s="16">
        <v>0</v>
      </c>
      <c r="AC39" s="35">
        <v>300</v>
      </c>
      <c r="AD39" s="37">
        <v>473</v>
      </c>
      <c r="AE39" s="22" t="s">
        <v>59</v>
      </c>
      <c r="AF39" s="37">
        <v>0</v>
      </c>
      <c r="AG39" s="71">
        <v>273</v>
      </c>
      <c r="AH39" s="16">
        <f>IF(ISNUMBER(Tabella2[[#This Row],[Mean RADIAL stress  (MPa)]]), Tabella2[[#This Row],[Mean RADIAL stress  (MPa)]],"")</f>
        <v>0</v>
      </c>
      <c r="AI39" s="16">
        <f>IF(ISNUMBER(Tabella2[[#This Row],[Amplitute RADIAL stress  (MPa)]]), Tabella2[[#This Row],[Amplitute RADIAL stress  (MPa)]],"")</f>
        <v>0</v>
      </c>
      <c r="AJ39" s="16">
        <f>IF(ISNUMBER(Tabella2[[#This Row],[Mean AXIAL stress  (MPa)]]), IF(Tabella2[[#This Row],[derived from (AXIAL/BENDING) load]]="AXIAL",Tabella2[[#This Row],[Mean AXIAL stress  (MPa)]]*Tabella2[[#This Row],[Area (mm^2)]],"Null"), "")</f>
        <v>23561.944901923449</v>
      </c>
      <c r="AK39" s="16">
        <f>IF(ISNUMBER(Tabella2[[#This Row],[Amplitute AXIAL stress  (MPa)]]),    IF(Tabella2[[#This Row],[derived from (AXIAL/BENDING) load]]="AXIAL",Tabella2[[#This Row],[Amplitute AXIAL stress  (MPa)]]*Tabella2[[#This Row],[Area (mm^2)]],"Null"), "")</f>
        <v>37149.333128699305</v>
      </c>
      <c r="AL39" s="16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9" s="16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9" s="16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9" s="25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53603.424651875845</v>
      </c>
      <c r="AP39" s="28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0.57716701902748413</v>
      </c>
      <c r="AQ39" s="28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668.81686581604686</v>
      </c>
    </row>
    <row r="40" spans="1:43" ht="20.100000000000001" customHeight="1" x14ac:dyDescent="0.25">
      <c r="I40" s="57"/>
      <c r="J40" s="57"/>
      <c r="N40" s="57"/>
      <c r="O40" s="58" t="str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/>
      </c>
      <c r="P40" s="58" t="str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/>
      </c>
      <c r="Q40" s="19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/>
      </c>
      <c r="S40" s="57"/>
      <c r="T40" s="57"/>
      <c r="AC40" s="65"/>
      <c r="AD40" s="62"/>
      <c r="AF40" s="62"/>
      <c r="AG40" s="70"/>
      <c r="AH40" s="20" t="str">
        <f>IF(ISNUMBER(Tabella2[[#This Row],[Mean RADIAL stress  (MPa)]]), Tabella2[[#This Row],[Mean RADIAL stress  (MPa)]],"")</f>
        <v/>
      </c>
      <c r="AI40" s="20" t="str">
        <f>IF(ISNUMBER(Tabella2[[#This Row],[Amplitute RADIAL stress  (MPa)]]), Tabella2[[#This Row],[Amplitute RADIAL stress  (MPa)]],"")</f>
        <v/>
      </c>
      <c r="AJ40" s="20" t="str">
        <f>IF(ISNUMBER(Tabella2[[#This Row],[Mean AXIAL stress  (MPa)]]), IF(Tabella2[[#This Row],[derived from (AXIAL/BENDING) load]]="AXIAL",Tabella2[[#This Row],[Mean AXIAL stress  (MPa)]]*Tabella2[[#This Row],[Area (mm^2)]],"Null"), "")</f>
        <v/>
      </c>
      <c r="AK40" s="20" t="str">
        <f>IF(ISNUMBER(Tabella2[[#This Row],[Amplitute AXIAL stress  (MPa)]]),    IF(Tabella2[[#This Row],[derived from (AXIAL/BENDING) load]]="AXIAL",Tabella2[[#This Row],[Amplitute AXIAL stress  (MPa)]]*Tabella2[[#This Row],[Area (mm^2)]],"Null"), "")</f>
        <v/>
      </c>
      <c r="AL40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/>
      </c>
      <c r="AM40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/>
      </c>
      <c r="AN40" s="20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 xml:space="preserve"> </v>
      </c>
      <c r="AO40" s="18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/>
      </c>
      <c r="AP40" s="27"/>
    </row>
    <row r="41" spans="1:43" ht="20.100000000000001" customHeight="1" x14ac:dyDescent="0.25">
      <c r="I41" s="57"/>
      <c r="J41" s="57"/>
      <c r="N41" s="57"/>
      <c r="O41" s="58" t="str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/>
      </c>
      <c r="P41" s="58" t="str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/>
      </c>
      <c r="Q41" s="19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/>
      </c>
      <c r="S41" s="57"/>
      <c r="T41" s="57"/>
      <c r="AC41" s="65"/>
      <c r="AD41" s="62"/>
      <c r="AF41" s="62"/>
      <c r="AG41" s="70"/>
      <c r="AH41" s="20" t="str">
        <f>IF(ISNUMBER(Tabella2[[#This Row],[Mean RADIAL stress  (MPa)]]), Tabella2[[#This Row],[Mean RADIAL stress  (MPa)]],"")</f>
        <v/>
      </c>
      <c r="AI41" s="20" t="str">
        <f>IF(ISNUMBER(Tabella2[[#This Row],[Amplitute RADIAL stress  (MPa)]]), Tabella2[[#This Row],[Amplitute RADIAL stress  (MPa)]],"")</f>
        <v/>
      </c>
      <c r="AJ41" s="20" t="str">
        <f>IF(ISNUMBER(Tabella2[[#This Row],[Mean AXIAL stress  (MPa)]]), IF(Tabella2[[#This Row],[derived from (AXIAL/BENDING) load]]="AXIAL",Tabella2[[#This Row],[Mean AXIAL stress  (MPa)]]*Tabella2[[#This Row],[Area (mm^2)]],"Null"), "")</f>
        <v/>
      </c>
      <c r="AK41" s="20" t="str">
        <f>IF(ISNUMBER(Tabella2[[#This Row],[Amplitute AXIAL stress  (MPa)]]),    IF(Tabella2[[#This Row],[derived from (AXIAL/BENDING) load]]="AXIAL",Tabella2[[#This Row],[Amplitute AXIAL stress  (MPa)]]*Tabella2[[#This Row],[Area (mm^2)]],"Null"), "")</f>
        <v/>
      </c>
      <c r="AL41" s="20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/>
      </c>
      <c r="AM41" s="20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/>
      </c>
      <c r="AN41" s="20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 xml:space="preserve"> </v>
      </c>
      <c r="AO41" s="18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/>
      </c>
      <c r="AP41" s="27"/>
    </row>
    <row r="42" spans="1:43" ht="20.100000000000001" customHeight="1" x14ac:dyDescent="0.25">
      <c r="O42" s="58"/>
      <c r="P42" s="58"/>
      <c r="Q42" s="19"/>
      <c r="AG42" s="18"/>
      <c r="AP42" s="27"/>
    </row>
    <row r="43" spans="1:43" ht="20.100000000000001" customHeight="1" x14ac:dyDescent="0.25">
      <c r="O43" s="58"/>
      <c r="P43" s="58"/>
      <c r="Q43" s="19"/>
      <c r="AG43" s="18"/>
      <c r="AP43" s="27"/>
    </row>
    <row r="44" spans="1:43" ht="20.100000000000001" customHeight="1" x14ac:dyDescent="0.25">
      <c r="O44" s="58"/>
      <c r="P44" s="58"/>
      <c r="Q44" s="19"/>
      <c r="AG44" s="18"/>
      <c r="AP44" s="27"/>
    </row>
    <row r="45" spans="1:43" ht="20.100000000000001" customHeight="1" x14ac:dyDescent="0.25">
      <c r="O45" s="58"/>
      <c r="P45" s="58"/>
      <c r="Q45" s="19"/>
      <c r="AG45" s="18"/>
      <c r="AP45" s="27"/>
    </row>
    <row r="46" spans="1:43" ht="20.100000000000001" customHeight="1" x14ac:dyDescent="0.25">
      <c r="O46" s="58"/>
      <c r="P46" s="58"/>
      <c r="Q46" s="19"/>
      <c r="AG46" s="18"/>
      <c r="AP46" s="27"/>
    </row>
    <row r="47" spans="1:43" ht="20.100000000000001" customHeight="1" x14ac:dyDescent="0.25">
      <c r="O47" s="58"/>
      <c r="P47" s="58"/>
      <c r="Q47" s="19"/>
      <c r="AG47" s="18"/>
      <c r="AP47" s="27"/>
    </row>
    <row r="48" spans="1:43" ht="20.100000000000001" customHeight="1" x14ac:dyDescent="0.25">
      <c r="O48" s="58"/>
      <c r="P48" s="58"/>
      <c r="Q48" s="19"/>
      <c r="AG48" s="18"/>
      <c r="AP48" s="27"/>
    </row>
    <row r="49" spans="3:42" ht="20.100000000000001" customHeight="1" x14ac:dyDescent="0.25">
      <c r="O49" s="58"/>
      <c r="P49" s="58"/>
      <c r="Q49" s="19"/>
      <c r="AG49" s="18"/>
      <c r="AP49" s="27"/>
    </row>
    <row r="50" spans="3:42" ht="20.100000000000001" customHeight="1" x14ac:dyDescent="0.25">
      <c r="O50" s="58"/>
      <c r="P50" s="58"/>
      <c r="Q50" s="19"/>
      <c r="AG50" s="18"/>
      <c r="AP50" s="27"/>
    </row>
    <row r="51" spans="3:42" ht="20.100000000000001" customHeight="1" x14ac:dyDescent="0.25">
      <c r="O51" s="58"/>
      <c r="P51" s="58"/>
      <c r="Q51" s="19"/>
      <c r="AG51" s="18"/>
      <c r="AP51" s="27"/>
    </row>
    <row r="52" spans="3:42" ht="20.100000000000001" customHeight="1" x14ac:dyDescent="0.25">
      <c r="O52" s="58"/>
      <c r="P52" s="58"/>
      <c r="Q52" s="19"/>
      <c r="AG52" s="18"/>
      <c r="AP52" s="27"/>
    </row>
    <row r="53" spans="3:42" ht="20.100000000000001" customHeight="1" x14ac:dyDescent="0.25">
      <c r="O53" s="58"/>
      <c r="P53" s="58"/>
      <c r="Q53" s="19"/>
      <c r="AG53" s="18"/>
      <c r="AP53" s="27"/>
    </row>
    <row r="54" spans="3:42" ht="20.100000000000001" customHeight="1" x14ac:dyDescent="0.25">
      <c r="O54" s="58"/>
      <c r="P54" s="58"/>
      <c r="Q54" s="19"/>
      <c r="AG54" s="18"/>
      <c r="AP54" s="27"/>
    </row>
    <row r="55" spans="3:42" ht="20.100000000000001" customHeight="1" x14ac:dyDescent="0.25">
      <c r="O55" s="58"/>
      <c r="P55" s="58"/>
      <c r="Q55" s="19"/>
      <c r="AG55" s="18"/>
      <c r="AP55" s="27"/>
    </row>
    <row r="56" spans="3:42" ht="19.5" customHeight="1" x14ac:dyDescent="0.25">
      <c r="O56" s="58"/>
      <c r="P56" s="58"/>
      <c r="Q56" s="19"/>
      <c r="AG56" s="18"/>
      <c r="AP56" s="27"/>
    </row>
    <row r="57" spans="3:42" ht="20.100000000000001" customHeight="1" x14ac:dyDescent="0.25">
      <c r="O57" s="58"/>
      <c r="P57" s="58"/>
      <c r="Q57" s="19"/>
      <c r="AG57" s="18"/>
      <c r="AP57" s="27"/>
    </row>
    <row r="58" spans="3:42" ht="20.100000000000001" customHeight="1" x14ac:dyDescent="0.25">
      <c r="C58" s="63"/>
      <c r="O58" s="58"/>
      <c r="P58" s="58"/>
      <c r="Q58" s="19"/>
      <c r="AG58" s="18"/>
      <c r="AP58" s="27"/>
    </row>
    <row r="59" spans="3:42" ht="20.100000000000001" customHeight="1" x14ac:dyDescent="0.25">
      <c r="C59" s="64"/>
      <c r="O59" s="58"/>
      <c r="P59" s="58"/>
      <c r="Q59" s="19"/>
      <c r="AG59" s="18"/>
      <c r="AP59" s="27"/>
    </row>
    <row r="60" spans="3:42" ht="20.100000000000001" customHeight="1" x14ac:dyDescent="0.25">
      <c r="C60" s="64"/>
      <c r="O60" s="58"/>
      <c r="P60" s="58"/>
      <c r="Q60" s="19"/>
      <c r="AG60" s="18"/>
      <c r="AP60" s="27"/>
    </row>
    <row r="61" spans="3:42" ht="20.100000000000001" customHeight="1" x14ac:dyDescent="0.25">
      <c r="C61" s="64"/>
      <c r="O61" s="58"/>
      <c r="P61" s="58"/>
      <c r="Q61" s="19"/>
      <c r="AG61" s="18"/>
      <c r="AP61" s="27"/>
    </row>
    <row r="62" spans="3:42" x14ac:dyDescent="0.25">
      <c r="O62" s="58"/>
      <c r="P62" s="58"/>
      <c r="AG62" s="19"/>
    </row>
    <row r="63" spans="3:42" x14ac:dyDescent="0.25">
      <c r="O63" s="58"/>
      <c r="P63" s="58"/>
      <c r="AG63" s="19"/>
    </row>
    <row r="64" spans="3:42" x14ac:dyDescent="0.25">
      <c r="O64" s="58"/>
      <c r="P64" s="58"/>
      <c r="AG64" s="19"/>
    </row>
    <row r="65" spans="15:33" x14ac:dyDescent="0.25">
      <c r="O65" s="58"/>
      <c r="P65" s="58"/>
      <c r="AG65" s="19"/>
    </row>
    <row r="66" spans="15:33" x14ac:dyDescent="0.25">
      <c r="O66" s="58"/>
      <c r="P66" s="58"/>
      <c r="AG66" s="19"/>
    </row>
    <row r="67" spans="15:33" x14ac:dyDescent="0.25">
      <c r="O67" s="58"/>
      <c r="P67" s="58"/>
      <c r="AG67" s="19"/>
    </row>
    <row r="68" spans="15:33" ht="13.5" customHeight="1" x14ac:dyDescent="0.25">
      <c r="O68" s="58"/>
      <c r="P68" s="58"/>
      <c r="AG68" s="19"/>
    </row>
    <row r="69" spans="15:33" x14ac:dyDescent="0.25">
      <c r="O69" s="58"/>
      <c r="P69" s="58"/>
      <c r="AG69" s="19"/>
    </row>
    <row r="70" spans="15:33" x14ac:dyDescent="0.25">
      <c r="O70" s="58"/>
      <c r="P70" s="58"/>
      <c r="AG70" s="19"/>
    </row>
    <row r="71" spans="15:33" x14ac:dyDescent="0.25">
      <c r="O71" s="58"/>
      <c r="P71" s="58"/>
      <c r="AG71" s="19"/>
    </row>
    <row r="72" spans="15:33" x14ac:dyDescent="0.25">
      <c r="O72" s="58"/>
      <c r="P72" s="58"/>
      <c r="AG72" s="19"/>
    </row>
    <row r="73" spans="15:33" x14ac:dyDescent="0.25">
      <c r="O73" s="58"/>
      <c r="P73" s="58"/>
      <c r="AG73" s="19"/>
    </row>
    <row r="74" spans="15:33" x14ac:dyDescent="0.25">
      <c r="O74" s="58"/>
      <c r="P74" s="58"/>
      <c r="AG74" s="19"/>
    </row>
    <row r="75" spans="15:33" x14ac:dyDescent="0.25">
      <c r="O75" s="58"/>
      <c r="P75" s="58"/>
      <c r="AG75" s="19"/>
    </row>
    <row r="76" spans="15:33" x14ac:dyDescent="0.25">
      <c r="O76" s="58"/>
      <c r="P76" s="58"/>
      <c r="AG76" s="19"/>
    </row>
    <row r="77" spans="15:33" x14ac:dyDescent="0.25">
      <c r="O77" s="58"/>
      <c r="P77" s="58"/>
      <c r="AG77" s="19"/>
    </row>
    <row r="78" spans="15:33" x14ac:dyDescent="0.25">
      <c r="O78" s="58"/>
      <c r="P78" s="58"/>
      <c r="AG78" s="19"/>
    </row>
    <row r="79" spans="15:33" x14ac:dyDescent="0.25">
      <c r="O79" s="58"/>
      <c r="P79" s="58"/>
      <c r="AG79" s="19"/>
    </row>
    <row r="80" spans="15:33" x14ac:dyDescent="0.25">
      <c r="O80" s="58"/>
      <c r="P80" s="58"/>
      <c r="AG80" s="19"/>
    </row>
    <row r="81" spans="15:33" x14ac:dyDescent="0.25">
      <c r="O81" s="58"/>
      <c r="P81" s="58"/>
      <c r="AG81" s="19"/>
    </row>
    <row r="82" spans="15:33" x14ac:dyDescent="0.25">
      <c r="O82" s="58"/>
      <c r="P82" s="58"/>
      <c r="AG82" s="19"/>
    </row>
    <row r="83" spans="15:33" x14ac:dyDescent="0.25">
      <c r="O83" s="58"/>
      <c r="P83" s="58"/>
      <c r="AG83" s="19"/>
    </row>
    <row r="84" spans="15:33" x14ac:dyDescent="0.25">
      <c r="O84" s="58"/>
      <c r="P84" s="58"/>
      <c r="AG84" s="19"/>
    </row>
    <row r="85" spans="15:33" x14ac:dyDescent="0.25">
      <c r="O85" s="58"/>
      <c r="P85" s="58"/>
      <c r="AG85" s="19"/>
    </row>
    <row r="86" spans="15:33" x14ac:dyDescent="0.25">
      <c r="O86" s="58"/>
      <c r="P86" s="58"/>
      <c r="AG86" s="19"/>
    </row>
    <row r="87" spans="15:33" ht="17.45" customHeight="1" x14ac:dyDescent="0.25">
      <c r="O87" s="58"/>
      <c r="P87" s="58"/>
      <c r="AG87" s="19"/>
    </row>
    <row r="88" spans="15:33" x14ac:dyDescent="0.25">
      <c r="O88" s="58"/>
      <c r="P88" s="58"/>
      <c r="AG88" s="19"/>
    </row>
    <row r="89" spans="15:33" x14ac:dyDescent="0.25">
      <c r="O89" s="58"/>
      <c r="P89" s="58"/>
      <c r="AG89" s="19"/>
    </row>
    <row r="90" spans="15:33" x14ac:dyDescent="0.25">
      <c r="O90" s="58"/>
      <c r="P90" s="58"/>
      <c r="AG90" s="19"/>
    </row>
    <row r="91" spans="15:33" x14ac:dyDescent="0.25">
      <c r="O91" s="58"/>
      <c r="P91" s="58"/>
      <c r="AG91" s="19"/>
    </row>
    <row r="92" spans="15:33" x14ac:dyDescent="0.25">
      <c r="O92" s="58"/>
      <c r="P92" s="58"/>
      <c r="AG92" s="19"/>
    </row>
    <row r="93" spans="15:33" x14ac:dyDescent="0.25">
      <c r="O93" s="58"/>
      <c r="P93" s="58"/>
      <c r="AG93" s="19"/>
    </row>
    <row r="94" spans="15:33" x14ac:dyDescent="0.25">
      <c r="O94" s="58"/>
      <c r="P94" s="58"/>
      <c r="AG94" s="19"/>
    </row>
    <row r="95" spans="15:33" x14ac:dyDescent="0.25">
      <c r="O95" s="58"/>
      <c r="P95" s="58"/>
      <c r="AG95" s="19"/>
    </row>
    <row r="96" spans="15:33" ht="17.45" customHeight="1" x14ac:dyDescent="0.25">
      <c r="O96" s="58"/>
      <c r="P96" s="58"/>
      <c r="AG96" s="19"/>
    </row>
    <row r="97" spans="15:33" x14ac:dyDescent="0.25">
      <c r="O97" s="58"/>
      <c r="P97" s="58"/>
      <c r="AG97" s="19"/>
    </row>
    <row r="98" spans="15:33" x14ac:dyDescent="0.25">
      <c r="O98" s="58"/>
      <c r="P98" s="58"/>
      <c r="AG98" s="19"/>
    </row>
    <row r="99" spans="15:33" x14ac:dyDescent="0.25">
      <c r="O99" s="58"/>
      <c r="P99" s="58"/>
      <c r="AG99" s="19"/>
    </row>
    <row r="100" spans="15:33" x14ac:dyDescent="0.25">
      <c r="O100" s="58"/>
      <c r="P100" s="58"/>
      <c r="AB100" s="65"/>
      <c r="AC100" s="65"/>
      <c r="AG100" s="19"/>
    </row>
    <row r="101" spans="15:33" x14ac:dyDescent="0.25">
      <c r="O101" s="58"/>
      <c r="P101" s="58"/>
      <c r="AB101" s="65"/>
      <c r="AC101" s="65"/>
      <c r="AG101" s="19"/>
    </row>
    <row r="102" spans="15:33" x14ac:dyDescent="0.25">
      <c r="O102" s="58"/>
      <c r="P102" s="58"/>
      <c r="AB102" s="65"/>
      <c r="AC102" s="65"/>
      <c r="AG102" s="19"/>
    </row>
    <row r="103" spans="15:33" x14ac:dyDescent="0.25">
      <c r="O103" s="58"/>
      <c r="P103" s="58"/>
      <c r="AB103" s="65"/>
      <c r="AC103" s="65"/>
      <c r="AG103" s="19"/>
    </row>
    <row r="104" spans="15:33" x14ac:dyDescent="0.25">
      <c r="O104" s="58"/>
      <c r="P104" s="58"/>
      <c r="AG104" s="19"/>
    </row>
    <row r="105" spans="15:33" x14ac:dyDescent="0.25">
      <c r="O105" s="58"/>
      <c r="P105" s="58"/>
      <c r="AG105" s="19"/>
    </row>
    <row r="106" spans="15:33" x14ac:dyDescent="0.25">
      <c r="O106" s="58"/>
      <c r="P106" s="58"/>
      <c r="AG106" s="19"/>
    </row>
    <row r="107" spans="15:33" x14ac:dyDescent="0.25">
      <c r="O107" s="58"/>
      <c r="P107" s="58"/>
      <c r="AG107" s="19"/>
    </row>
    <row r="108" spans="15:33" x14ac:dyDescent="0.25">
      <c r="O108" s="58"/>
      <c r="P108" s="58"/>
      <c r="AG108" s="19"/>
    </row>
    <row r="109" spans="15:33" x14ac:dyDescent="0.25">
      <c r="O109" s="58"/>
      <c r="P109" s="58"/>
      <c r="AG109" s="19"/>
    </row>
    <row r="110" spans="15:33" x14ac:dyDescent="0.25">
      <c r="O110" s="58"/>
      <c r="P110" s="58"/>
      <c r="AG110" s="19"/>
    </row>
    <row r="111" spans="15:33" x14ac:dyDescent="0.25">
      <c r="O111" s="58"/>
      <c r="P111" s="58"/>
      <c r="AG111" s="19"/>
    </row>
    <row r="112" spans="15:33" x14ac:dyDescent="0.25">
      <c r="O112" s="58"/>
      <c r="P112" s="58"/>
      <c r="AG112" s="19"/>
    </row>
    <row r="113" spans="15:33" x14ac:dyDescent="0.25">
      <c r="O113" s="58"/>
      <c r="P113" s="58"/>
      <c r="AG113" s="19"/>
    </row>
    <row r="114" spans="15:33" x14ac:dyDescent="0.25">
      <c r="O114" s="58"/>
      <c r="P114" s="58"/>
      <c r="AG114" s="19"/>
    </row>
    <row r="115" spans="15:33" x14ac:dyDescent="0.25">
      <c r="O115" s="58"/>
      <c r="P115" s="58"/>
      <c r="AG115" s="19"/>
    </row>
    <row r="116" spans="15:33" x14ac:dyDescent="0.25">
      <c r="O116" s="58"/>
      <c r="P116" s="58"/>
      <c r="AG116" s="19"/>
    </row>
    <row r="117" spans="15:33" x14ac:dyDescent="0.25">
      <c r="O117" s="58"/>
      <c r="P117" s="58"/>
      <c r="AG117" s="19"/>
    </row>
    <row r="118" spans="15:33" x14ac:dyDescent="0.25">
      <c r="O118" s="58"/>
      <c r="P118" s="58"/>
      <c r="AG118" s="19"/>
    </row>
    <row r="119" spans="15:33" x14ac:dyDescent="0.25">
      <c r="O119" s="58"/>
      <c r="P119" s="58"/>
      <c r="AG119" s="19"/>
    </row>
    <row r="120" spans="15:33" x14ac:dyDescent="0.25">
      <c r="O120" s="58"/>
      <c r="P120" s="58"/>
      <c r="AG120" s="19"/>
    </row>
    <row r="121" spans="15:33" x14ac:dyDescent="0.25">
      <c r="O121" s="58"/>
      <c r="P121" s="58"/>
      <c r="AG121" s="19"/>
    </row>
    <row r="122" spans="15:33" x14ac:dyDescent="0.25">
      <c r="O122" s="58"/>
      <c r="P122" s="58"/>
      <c r="AG122" s="19"/>
    </row>
    <row r="123" spans="15:33" x14ac:dyDescent="0.25">
      <c r="O123" s="58"/>
      <c r="P123" s="58"/>
      <c r="AG123" s="19"/>
    </row>
    <row r="124" spans="15:33" x14ac:dyDescent="0.25">
      <c r="O124" s="58"/>
      <c r="P124" s="58"/>
      <c r="AG124" s="19"/>
    </row>
    <row r="125" spans="15:33" x14ac:dyDescent="0.25">
      <c r="O125" s="58"/>
      <c r="P125" s="58"/>
      <c r="AG125" s="19"/>
    </row>
    <row r="126" spans="15:33" x14ac:dyDescent="0.25">
      <c r="O126" s="58"/>
      <c r="P126" s="58"/>
      <c r="AG126" s="19"/>
    </row>
    <row r="127" spans="15:33" x14ac:dyDescent="0.25">
      <c r="O127" s="58"/>
      <c r="P127" s="58"/>
      <c r="AG127" s="19"/>
    </row>
    <row r="128" spans="15:33" x14ac:dyDescent="0.25">
      <c r="O128" s="58"/>
      <c r="P128" s="58"/>
      <c r="AG128" s="19"/>
    </row>
    <row r="129" spans="15:33" x14ac:dyDescent="0.25">
      <c r="O129" s="58"/>
      <c r="P129" s="58"/>
      <c r="AG129" s="19"/>
    </row>
    <row r="130" spans="15:33" x14ac:dyDescent="0.25">
      <c r="O130" s="58"/>
      <c r="P130" s="58"/>
      <c r="AG130" s="19"/>
    </row>
    <row r="131" spans="15:33" x14ac:dyDescent="0.25">
      <c r="O131" s="58"/>
      <c r="P131" s="58"/>
      <c r="AG131" s="19"/>
    </row>
    <row r="132" spans="15:33" x14ac:dyDescent="0.25">
      <c r="O132" s="58"/>
      <c r="P132" s="58"/>
      <c r="AG132" s="19"/>
    </row>
    <row r="133" spans="15:33" x14ac:dyDescent="0.25">
      <c r="O133" s="58"/>
      <c r="P133" s="58"/>
      <c r="AG133" s="19"/>
    </row>
    <row r="134" spans="15:33" x14ac:dyDescent="0.25">
      <c r="O134" s="58"/>
      <c r="P134" s="58"/>
      <c r="AG134" s="19"/>
    </row>
    <row r="135" spans="15:33" x14ac:dyDescent="0.25">
      <c r="O135" s="58"/>
      <c r="P135" s="58"/>
      <c r="AG135" s="19"/>
    </row>
    <row r="136" spans="15:33" x14ac:dyDescent="0.25">
      <c r="O136" s="58"/>
      <c r="P136" s="58"/>
      <c r="AG136" s="19"/>
    </row>
    <row r="137" spans="15:33" x14ac:dyDescent="0.25">
      <c r="O137" s="58"/>
      <c r="P137" s="58"/>
      <c r="AG137" s="19"/>
    </row>
    <row r="138" spans="15:33" x14ac:dyDescent="0.25">
      <c r="O138" s="58"/>
      <c r="P138" s="58"/>
      <c r="AG138" s="19"/>
    </row>
    <row r="139" spans="15:33" x14ac:dyDescent="0.25">
      <c r="O139" s="58"/>
      <c r="P139" s="58"/>
      <c r="AG139" s="19"/>
    </row>
    <row r="140" spans="15:33" x14ac:dyDescent="0.25">
      <c r="O140" s="58"/>
      <c r="P140" s="58"/>
      <c r="AG140" s="19"/>
    </row>
    <row r="141" spans="15:33" x14ac:dyDescent="0.25">
      <c r="O141" s="58"/>
      <c r="P141" s="58"/>
      <c r="AG141" s="19"/>
    </row>
    <row r="142" spans="15:33" x14ac:dyDescent="0.25">
      <c r="O142" s="58"/>
      <c r="P142" s="58"/>
      <c r="AG142" s="19"/>
    </row>
    <row r="143" spans="15:33" x14ac:dyDescent="0.25">
      <c r="O143" s="58"/>
      <c r="P143" s="58"/>
      <c r="AG143" s="19"/>
    </row>
    <row r="144" spans="15:33" x14ac:dyDescent="0.25">
      <c r="O144" s="58"/>
      <c r="P144" s="58"/>
      <c r="AG144" s="19"/>
    </row>
    <row r="145" spans="15:33" x14ac:dyDescent="0.25">
      <c r="O145" s="58"/>
      <c r="P145" s="58"/>
      <c r="AG145" s="19"/>
    </row>
    <row r="146" spans="15:33" x14ac:dyDescent="0.25">
      <c r="O146" s="58"/>
      <c r="P146" s="58"/>
      <c r="AG146" s="19"/>
    </row>
    <row r="147" spans="15:33" x14ac:dyDescent="0.25">
      <c r="O147" s="58"/>
      <c r="P147" s="58"/>
      <c r="AG147" s="19"/>
    </row>
    <row r="148" spans="15:33" x14ac:dyDescent="0.25">
      <c r="O148" s="58"/>
      <c r="P148" s="58"/>
      <c r="AG148" s="19"/>
    </row>
    <row r="149" spans="15:33" ht="13.15" customHeight="1" x14ac:dyDescent="0.25">
      <c r="O149" s="58"/>
      <c r="P149" s="58"/>
      <c r="AG149" s="19"/>
    </row>
    <row r="150" spans="15:33" x14ac:dyDescent="0.25">
      <c r="O150" s="58"/>
      <c r="P150" s="58"/>
      <c r="AG150" s="19"/>
    </row>
    <row r="151" spans="15:33" x14ac:dyDescent="0.25">
      <c r="O151" s="58"/>
      <c r="P151" s="58"/>
      <c r="AG151" s="19"/>
    </row>
    <row r="152" spans="15:33" x14ac:dyDescent="0.25">
      <c r="O152" s="58"/>
      <c r="P152" s="58"/>
      <c r="AG152" s="19"/>
    </row>
    <row r="153" spans="15:33" x14ac:dyDescent="0.25">
      <c r="O153" s="58"/>
      <c r="P153" s="58"/>
      <c r="AG153" s="19"/>
    </row>
    <row r="154" spans="15:33" x14ac:dyDescent="0.25">
      <c r="O154" s="58"/>
      <c r="P154" s="58"/>
      <c r="AG154" s="19"/>
    </row>
    <row r="155" spans="15:33" x14ac:dyDescent="0.25">
      <c r="O155" s="58"/>
      <c r="P155" s="58"/>
      <c r="AG155" s="19"/>
    </row>
    <row r="156" spans="15:33" x14ac:dyDescent="0.25">
      <c r="O156" s="58"/>
      <c r="P156" s="58"/>
      <c r="AG156" s="19"/>
    </row>
    <row r="157" spans="15:33" x14ac:dyDescent="0.25">
      <c r="O157" s="58"/>
      <c r="P157" s="58"/>
      <c r="AG157" s="19"/>
    </row>
    <row r="158" spans="15:33" ht="13.9" customHeight="1" x14ac:dyDescent="0.25">
      <c r="O158" s="58"/>
      <c r="P158" s="58"/>
      <c r="AG158" s="19"/>
    </row>
    <row r="159" spans="15:33" x14ac:dyDescent="0.25">
      <c r="O159" s="58"/>
      <c r="P159" s="58"/>
      <c r="AG159" s="19"/>
    </row>
    <row r="160" spans="15:33" x14ac:dyDescent="0.25">
      <c r="O160" s="58"/>
      <c r="P160" s="58"/>
      <c r="AG160" s="19"/>
    </row>
    <row r="161" spans="15:33" x14ac:dyDescent="0.25">
      <c r="O161" s="58"/>
      <c r="P161" s="58"/>
      <c r="AG161" s="19"/>
    </row>
    <row r="162" spans="15:33" x14ac:dyDescent="0.25">
      <c r="O162" s="58"/>
      <c r="P162" s="58"/>
      <c r="AG162" s="19"/>
    </row>
    <row r="163" spans="15:33" x14ac:dyDescent="0.25">
      <c r="O163" s="58"/>
      <c r="P163" s="58"/>
      <c r="AG163" s="19"/>
    </row>
    <row r="164" spans="15:33" x14ac:dyDescent="0.25">
      <c r="O164" s="58"/>
      <c r="P164" s="58"/>
      <c r="AG164" s="19"/>
    </row>
    <row r="165" spans="15:33" x14ac:dyDescent="0.25">
      <c r="O165" s="58"/>
      <c r="P165" s="58"/>
      <c r="AG165" s="19"/>
    </row>
    <row r="166" spans="15:33" x14ac:dyDescent="0.25">
      <c r="O166" s="58"/>
      <c r="P166" s="58"/>
      <c r="AG166" s="19"/>
    </row>
    <row r="167" spans="15:33" x14ac:dyDescent="0.25">
      <c r="O167" s="58"/>
      <c r="P167" s="58"/>
      <c r="AG167" s="19"/>
    </row>
    <row r="168" spans="15:33" x14ac:dyDescent="0.25">
      <c r="O168" s="58"/>
      <c r="P168" s="58"/>
      <c r="AG168" s="19"/>
    </row>
    <row r="169" spans="15:33" x14ac:dyDescent="0.25">
      <c r="O169" s="58"/>
      <c r="P169" s="58"/>
      <c r="AG169" s="19"/>
    </row>
    <row r="170" spans="15:33" x14ac:dyDescent="0.25">
      <c r="O170" s="58"/>
      <c r="P170" s="58"/>
      <c r="AG170" s="19"/>
    </row>
    <row r="171" spans="15:33" x14ac:dyDescent="0.25">
      <c r="O171" s="58"/>
      <c r="P171" s="58"/>
      <c r="AG171" s="19"/>
    </row>
    <row r="172" spans="15:33" x14ac:dyDescent="0.25">
      <c r="O172" s="58"/>
      <c r="P172" s="58"/>
      <c r="AG172" s="19"/>
    </row>
    <row r="173" spans="15:33" x14ac:dyDescent="0.25">
      <c r="O173" s="58"/>
      <c r="P173" s="58"/>
      <c r="AG173" s="19"/>
    </row>
    <row r="174" spans="15:33" x14ac:dyDescent="0.25">
      <c r="O174" s="58"/>
      <c r="P174" s="58"/>
      <c r="AG174" s="19"/>
    </row>
    <row r="175" spans="15:33" x14ac:dyDescent="0.25">
      <c r="O175" s="58"/>
      <c r="P175" s="58"/>
      <c r="AG175" s="19"/>
    </row>
    <row r="176" spans="15:33" x14ac:dyDescent="0.25">
      <c r="O176" s="58"/>
      <c r="P176" s="58"/>
      <c r="AG176" s="19"/>
    </row>
    <row r="177" spans="15:33" x14ac:dyDescent="0.25">
      <c r="O177" s="58"/>
      <c r="P177" s="58"/>
      <c r="AG177" s="19"/>
    </row>
    <row r="178" spans="15:33" x14ac:dyDescent="0.25">
      <c r="O178" s="58"/>
      <c r="P178" s="58"/>
      <c r="AG178" s="19"/>
    </row>
    <row r="179" spans="15:33" x14ac:dyDescent="0.25">
      <c r="O179" s="58"/>
      <c r="P179" s="58"/>
      <c r="AG179" s="19"/>
    </row>
    <row r="180" spans="15:33" x14ac:dyDescent="0.25">
      <c r="O180" s="58"/>
      <c r="P180" s="58"/>
      <c r="AG180" s="19"/>
    </row>
    <row r="181" spans="15:33" x14ac:dyDescent="0.25">
      <c r="O181" s="58"/>
      <c r="P181" s="58"/>
      <c r="AG181" s="19"/>
    </row>
    <row r="182" spans="15:33" x14ac:dyDescent="0.25">
      <c r="O182" s="58"/>
      <c r="P182" s="58"/>
      <c r="AG182" s="19"/>
    </row>
    <row r="183" spans="15:33" x14ac:dyDescent="0.25">
      <c r="O183" s="58"/>
      <c r="P183" s="58"/>
      <c r="AG183" s="19"/>
    </row>
    <row r="184" spans="15:33" x14ac:dyDescent="0.25">
      <c r="O184" s="58"/>
      <c r="P184" s="58"/>
      <c r="AG184" s="19"/>
    </row>
    <row r="185" spans="15:33" x14ac:dyDescent="0.25">
      <c r="O185" s="58"/>
      <c r="P185" s="58"/>
      <c r="AG185" s="19"/>
    </row>
    <row r="186" spans="15:33" x14ac:dyDescent="0.25">
      <c r="O186" s="58"/>
      <c r="P186" s="58"/>
      <c r="AG186" s="19"/>
    </row>
    <row r="187" spans="15:33" x14ac:dyDescent="0.25">
      <c r="O187" s="58"/>
      <c r="P187" s="58"/>
      <c r="AG187" s="19"/>
    </row>
    <row r="188" spans="15:33" x14ac:dyDescent="0.25">
      <c r="O188" s="58"/>
      <c r="P188" s="58"/>
      <c r="AG188" s="19"/>
    </row>
    <row r="189" spans="15:33" x14ac:dyDescent="0.25">
      <c r="O189" s="58"/>
      <c r="P189" s="58"/>
      <c r="AG189" s="19"/>
    </row>
    <row r="190" spans="15:33" x14ac:dyDescent="0.25">
      <c r="O190" s="58"/>
      <c r="P190" s="58"/>
      <c r="AG190" s="19"/>
    </row>
    <row r="191" spans="15:33" x14ac:dyDescent="0.25">
      <c r="O191" s="58"/>
      <c r="P191" s="58"/>
      <c r="AG191" s="19"/>
    </row>
    <row r="192" spans="15:33" x14ac:dyDescent="0.25">
      <c r="O192" s="58"/>
      <c r="P192" s="58"/>
      <c r="AG192" s="19"/>
    </row>
  </sheetData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Giulia Morettini</cp:lastModifiedBy>
  <dcterms:created xsi:type="dcterms:W3CDTF">2015-06-05T18:19:34Z</dcterms:created>
  <dcterms:modified xsi:type="dcterms:W3CDTF">2026-09-23T10:10:50Z</dcterms:modified>
</cp:coreProperties>
</file>