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mula\Desktop\DATA_SET\"/>
    </mc:Choice>
  </mc:AlternateContent>
  <xr:revisionPtr revIDLastSave="0" documentId="13_ncr:1_{2DABFA9C-F54F-437C-B0D9-75A53CC335B7}" xr6:coauthVersionLast="47" xr6:coauthVersionMax="47" xr10:uidLastSave="{00000000-0000-0000-0000-000000000000}"/>
  <bookViews>
    <workbookView xWindow="28680" yWindow="-120" windowWidth="29040" windowHeight="15840" tabRatio="189" activeTab="1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1" i="2" l="1"/>
  <c r="Y90" i="2"/>
  <c r="AL89" i="2"/>
  <c r="AJ88" i="2"/>
  <c r="Y83" i="2"/>
  <c r="AJ82" i="2"/>
  <c r="AL81" i="2"/>
  <c r="AJ79" i="2"/>
  <c r="AJ75" i="2"/>
  <c r="Y74" i="2"/>
  <c r="AL73" i="2"/>
  <c r="AJ72" i="2"/>
  <c r="Y67" i="2"/>
  <c r="AJ66" i="2"/>
  <c r="AL65" i="2"/>
  <c r="AJ63" i="2"/>
  <c r="AH64" i="2"/>
  <c r="AH65" i="2"/>
  <c r="AH66" i="2"/>
  <c r="AH74" i="2"/>
  <c r="AH75" i="2"/>
  <c r="AH76" i="2"/>
  <c r="AH80" i="2"/>
  <c r="AH81" i="2"/>
  <c r="AH82" i="2"/>
  <c r="AH90" i="2"/>
  <c r="AH91" i="2"/>
  <c r="AH92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2" i="2"/>
  <c r="X93" i="2"/>
  <c r="X94" i="2"/>
  <c r="Y62" i="2"/>
  <c r="Y64" i="2"/>
  <c r="Y65" i="2"/>
  <c r="Y66" i="2"/>
  <c r="Y68" i="2"/>
  <c r="Y69" i="2"/>
  <c r="Y70" i="2"/>
  <c r="Y71" i="2"/>
  <c r="Y72" i="2"/>
  <c r="Y73" i="2"/>
  <c r="Y76" i="2"/>
  <c r="Y77" i="2"/>
  <c r="Y78" i="2"/>
  <c r="Y80" i="2"/>
  <c r="Y81" i="2"/>
  <c r="Y82" i="2"/>
  <c r="Y84" i="2"/>
  <c r="Y85" i="2"/>
  <c r="Y86" i="2"/>
  <c r="Y87" i="2"/>
  <c r="Y88" i="2"/>
  <c r="Y89" i="2"/>
  <c r="Y92" i="2"/>
  <c r="Y93" i="2"/>
  <c r="Y94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AH62" i="2"/>
  <c r="AH63" i="2"/>
  <c r="AH67" i="2"/>
  <c r="AH68" i="2"/>
  <c r="AH69" i="2"/>
  <c r="AH70" i="2"/>
  <c r="AH71" i="2"/>
  <c r="AH72" i="2"/>
  <c r="AH73" i="2"/>
  <c r="AH77" i="2"/>
  <c r="AH78" i="2"/>
  <c r="AH79" i="2"/>
  <c r="AH83" i="2"/>
  <c r="AH84" i="2"/>
  <c r="AH85" i="2"/>
  <c r="AH86" i="2"/>
  <c r="AH87" i="2"/>
  <c r="AH88" i="2"/>
  <c r="AH89" i="2"/>
  <c r="AH93" i="2"/>
  <c r="AH94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J62" i="2"/>
  <c r="AJ64" i="2"/>
  <c r="AJ65" i="2"/>
  <c r="AJ68" i="2"/>
  <c r="AJ69" i="2"/>
  <c r="AJ70" i="2"/>
  <c r="AJ71" i="2"/>
  <c r="AJ73" i="2"/>
  <c r="AJ74" i="2"/>
  <c r="AJ76" i="2"/>
  <c r="AJ77" i="2"/>
  <c r="AJ78" i="2"/>
  <c r="AJ80" i="2"/>
  <c r="AJ81" i="2"/>
  <c r="AJ83" i="2"/>
  <c r="AJ84" i="2"/>
  <c r="AJ85" i="2"/>
  <c r="AJ86" i="2"/>
  <c r="AJ87" i="2"/>
  <c r="AJ89" i="2"/>
  <c r="AJ90" i="2"/>
  <c r="AJ92" i="2"/>
  <c r="AJ93" i="2"/>
  <c r="AJ94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L62" i="2"/>
  <c r="AL64" i="2"/>
  <c r="AL66" i="2"/>
  <c r="AL67" i="2"/>
  <c r="AL68" i="2"/>
  <c r="AL69" i="2"/>
  <c r="AL70" i="2"/>
  <c r="AL71" i="2"/>
  <c r="AL72" i="2"/>
  <c r="AL74" i="2"/>
  <c r="AL75" i="2"/>
  <c r="AL76" i="2"/>
  <c r="AL77" i="2"/>
  <c r="AL78" i="2"/>
  <c r="AL80" i="2"/>
  <c r="AL82" i="2"/>
  <c r="AL83" i="2"/>
  <c r="AL84" i="2"/>
  <c r="AL85" i="2"/>
  <c r="AL86" i="2"/>
  <c r="AL87" i="2"/>
  <c r="AL88" i="2"/>
  <c r="AL90" i="2"/>
  <c r="AL91" i="2"/>
  <c r="AL92" i="2"/>
  <c r="AL93" i="2"/>
  <c r="AL94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Y79" i="2" l="1"/>
  <c r="Y63" i="2"/>
  <c r="AJ67" i="2"/>
  <c r="Y91" i="2"/>
  <c r="Y75" i="2"/>
  <c r="AL79" i="2"/>
  <c r="AL63" i="2"/>
  <c r="X75" i="2"/>
  <c r="X91" i="2"/>
  <c r="AQ2" i="2" l="1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Q44" i="2"/>
  <c r="AP7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H6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O32" i="2"/>
  <c r="AJ32" i="2" s="1"/>
  <c r="O33" i="2"/>
  <c r="AK33" i="2" s="1"/>
  <c r="O34" i="2"/>
  <c r="AJ34" i="2" s="1"/>
  <c r="O35" i="2"/>
  <c r="AJ35" i="2" s="1"/>
  <c r="O36" i="2"/>
  <c r="AJ36" i="2" s="1"/>
  <c r="O37" i="2"/>
  <c r="AJ37" i="2" s="1"/>
  <c r="O38" i="2"/>
  <c r="AJ38" i="2" s="1"/>
  <c r="O39" i="2"/>
  <c r="AJ39" i="2" s="1"/>
  <c r="O40" i="2"/>
  <c r="AJ40" i="2" s="1"/>
  <c r="O41" i="2"/>
  <c r="AK41" i="2" s="1"/>
  <c r="O42" i="2"/>
  <c r="AK42" i="2" s="1"/>
  <c r="O43" i="2"/>
  <c r="AJ43" i="2" s="1"/>
  <c r="O44" i="2"/>
  <c r="AJ44" i="2" s="1"/>
  <c r="O45" i="2"/>
  <c r="AK45" i="2" s="1"/>
  <c r="O46" i="2"/>
  <c r="AJ46" i="2" s="1"/>
  <c r="O47" i="2"/>
  <c r="AJ47" i="2" s="1"/>
  <c r="O48" i="2"/>
  <c r="AJ48" i="2" s="1"/>
  <c r="O49" i="2"/>
  <c r="AK49" i="2" s="1"/>
  <c r="O50" i="2"/>
  <c r="AJ50" i="2" s="1"/>
  <c r="O51" i="2"/>
  <c r="AJ51" i="2" s="1"/>
  <c r="O52" i="2"/>
  <c r="AJ52" i="2" s="1"/>
  <c r="O53" i="2"/>
  <c r="AJ53" i="2" s="1"/>
  <c r="O54" i="2"/>
  <c r="AJ54" i="2" s="1"/>
  <c r="O55" i="2"/>
  <c r="AJ55" i="2" s="1"/>
  <c r="O56" i="2"/>
  <c r="AJ56" i="2" s="1"/>
  <c r="O57" i="2"/>
  <c r="AK57" i="2" s="1"/>
  <c r="O58" i="2"/>
  <c r="AK58" i="2" s="1"/>
  <c r="O59" i="2"/>
  <c r="AJ59" i="2" s="1"/>
  <c r="O60" i="2"/>
  <c r="AJ60" i="2" s="1"/>
  <c r="O61" i="2"/>
  <c r="AK61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2" i="2"/>
  <c r="Q2" i="2"/>
  <c r="AO2" i="2" s="1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Q32" i="2"/>
  <c r="AN32" i="2" s="1"/>
  <c r="Q33" i="2"/>
  <c r="AN33" i="2" s="1"/>
  <c r="Q34" i="2"/>
  <c r="AN34" i="2" s="1"/>
  <c r="Q35" i="2"/>
  <c r="AN35" i="2" s="1"/>
  <c r="Q36" i="2"/>
  <c r="AO36" i="2" s="1"/>
  <c r="Q37" i="2"/>
  <c r="AO37" i="2" s="1"/>
  <c r="Q38" i="2"/>
  <c r="AO38" i="2" s="1"/>
  <c r="Q39" i="2"/>
  <c r="AO39" i="2" s="1"/>
  <c r="Q40" i="2"/>
  <c r="AO40" i="2" s="1"/>
  <c r="Q41" i="2"/>
  <c r="AO41" i="2" s="1"/>
  <c r="Q42" i="2"/>
  <c r="AO42" i="2" s="1"/>
  <c r="Q43" i="2"/>
  <c r="AO43" i="2" s="1"/>
  <c r="Q44" i="2"/>
  <c r="AO44" i="2" s="1"/>
  <c r="Q45" i="2"/>
  <c r="AO45" i="2" s="1"/>
  <c r="Q46" i="2"/>
  <c r="AO46" i="2" s="1"/>
  <c r="Q47" i="2"/>
  <c r="AO47" i="2" s="1"/>
  <c r="Q48" i="2"/>
  <c r="AN48" i="2" s="1"/>
  <c r="Q49" i="2"/>
  <c r="AN49" i="2" s="1"/>
  <c r="Q50" i="2"/>
  <c r="AN50" i="2" s="1"/>
  <c r="Q51" i="2"/>
  <c r="AN51" i="2" s="1"/>
  <c r="Q52" i="2"/>
  <c r="AO52" i="2" s="1"/>
  <c r="Q53" i="2"/>
  <c r="AO53" i="2" s="1"/>
  <c r="Q54" i="2"/>
  <c r="AO54" i="2" s="1"/>
  <c r="Q55" i="2"/>
  <c r="AO55" i="2" s="1"/>
  <c r="Q56" i="2"/>
  <c r="AO56" i="2" s="1"/>
  <c r="Q57" i="2"/>
  <c r="AO57" i="2" s="1"/>
  <c r="Q58" i="2"/>
  <c r="AO58" i="2" s="1"/>
  <c r="Q59" i="2"/>
  <c r="AO59" i="2" s="1"/>
  <c r="Q60" i="2"/>
  <c r="AO60" i="2" s="1"/>
  <c r="Q61" i="2"/>
  <c r="AO61" i="2" s="1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46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AO51" i="2" l="1"/>
  <c r="AO35" i="2"/>
  <c r="AN47" i="2"/>
  <c r="AN2" i="2"/>
  <c r="AO50" i="2"/>
  <c r="AO34" i="2"/>
  <c r="AN46" i="2"/>
  <c r="AO49" i="2"/>
  <c r="AO33" i="2"/>
  <c r="AN61" i="2"/>
  <c r="AN45" i="2"/>
  <c r="AO48" i="2"/>
  <c r="AO32" i="2"/>
  <c r="AN60" i="2"/>
  <c r="AN44" i="2"/>
  <c r="AN59" i="2"/>
  <c r="AN43" i="2"/>
  <c r="AN58" i="2"/>
  <c r="AN42" i="2"/>
  <c r="AN57" i="2"/>
  <c r="AN41" i="2"/>
  <c r="AN56" i="2"/>
  <c r="AN40" i="2"/>
  <c r="AN55" i="2"/>
  <c r="AN39" i="2"/>
  <c r="AN54" i="2"/>
  <c r="AN38" i="2"/>
  <c r="AN53" i="2"/>
  <c r="AN37" i="2"/>
  <c r="AN52" i="2"/>
  <c r="AN36" i="2"/>
  <c r="AJ42" i="2"/>
  <c r="AK52" i="2"/>
  <c r="AJ41" i="2"/>
  <c r="AK36" i="2"/>
  <c r="AK53" i="2"/>
  <c r="AK44" i="2"/>
  <c r="AK43" i="2"/>
  <c r="AK37" i="2"/>
  <c r="AJ58" i="2"/>
  <c r="AJ57" i="2"/>
  <c r="AJ49" i="2"/>
  <c r="AK60" i="2"/>
  <c r="AJ33" i="2"/>
  <c r="AK59" i="2"/>
  <c r="AJ61" i="2"/>
  <c r="AJ45" i="2"/>
  <c r="AK56" i="2"/>
  <c r="AK40" i="2"/>
  <c r="AK55" i="2"/>
  <c r="AK39" i="2"/>
  <c r="AK54" i="2"/>
  <c r="AK38" i="2"/>
  <c r="AK51" i="2"/>
  <c r="AK35" i="2"/>
  <c r="AK50" i="2"/>
  <c r="AK34" i="2"/>
  <c r="AK48" i="2"/>
  <c r="AK32" i="2"/>
  <c r="AK47" i="2"/>
  <c r="AK46" i="2"/>
  <c r="AP3" i="2" l="1"/>
  <c r="AP4" i="2"/>
  <c r="AP5" i="2"/>
  <c r="AP6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2" i="2"/>
  <c r="Q4" i="2"/>
  <c r="Q3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P2" i="2"/>
  <c r="P3" i="2"/>
  <c r="AL3" i="2" s="1"/>
  <c r="P4" i="2"/>
  <c r="AL4" i="2" s="1"/>
  <c r="P5" i="2"/>
  <c r="AL5" i="2" s="1"/>
  <c r="P6" i="2"/>
  <c r="AL6" i="2" s="1"/>
  <c r="P7" i="2"/>
  <c r="AL7" i="2" s="1"/>
  <c r="P8" i="2"/>
  <c r="AL8" i="2" s="1"/>
  <c r="P9" i="2"/>
  <c r="AL9" i="2" s="1"/>
  <c r="P10" i="2"/>
  <c r="AL10" i="2" s="1"/>
  <c r="P11" i="2"/>
  <c r="AL11" i="2" s="1"/>
  <c r="P12" i="2"/>
  <c r="AL12" i="2" s="1"/>
  <c r="P13" i="2"/>
  <c r="AL13" i="2" s="1"/>
  <c r="P14" i="2"/>
  <c r="AL14" i="2" s="1"/>
  <c r="P15" i="2"/>
  <c r="AL15" i="2" s="1"/>
  <c r="P16" i="2"/>
  <c r="AL16" i="2" s="1"/>
  <c r="P17" i="2"/>
  <c r="AL17" i="2" s="1"/>
  <c r="P18" i="2"/>
  <c r="AL18" i="2" s="1"/>
  <c r="P19" i="2"/>
  <c r="AL19" i="2" s="1"/>
  <c r="P20" i="2"/>
  <c r="AL20" i="2" s="1"/>
  <c r="P21" i="2"/>
  <c r="AL21" i="2" s="1"/>
  <c r="P22" i="2"/>
  <c r="AL22" i="2" s="1"/>
  <c r="P23" i="2"/>
  <c r="AL23" i="2" s="1"/>
  <c r="P24" i="2"/>
  <c r="AL24" i="2" s="1"/>
  <c r="P25" i="2"/>
  <c r="AL25" i="2" s="1"/>
  <c r="P26" i="2"/>
  <c r="AL26" i="2" s="1"/>
  <c r="P27" i="2"/>
  <c r="AL27" i="2" s="1"/>
  <c r="P28" i="2"/>
  <c r="AL28" i="2" s="1"/>
  <c r="P29" i="2"/>
  <c r="AL29" i="2" s="1"/>
  <c r="P30" i="2"/>
  <c r="AL30" i="2" s="1"/>
  <c r="P31" i="2"/>
  <c r="AL31" i="2" s="1"/>
  <c r="M4" i="1"/>
  <c r="M3" i="1"/>
  <c r="AM2" i="2" l="1"/>
  <c r="AL2" i="2"/>
  <c r="AO20" i="2"/>
  <c r="AN20" i="2"/>
  <c r="AN3" i="2"/>
  <c r="AO3" i="2"/>
  <c r="AN17" i="2"/>
  <c r="AO17" i="2"/>
  <c r="AN16" i="2"/>
  <c r="AO16" i="2"/>
  <c r="AO15" i="2"/>
  <c r="AN15" i="2"/>
  <c r="AO14" i="2"/>
  <c r="AN14" i="2"/>
  <c r="AO29" i="2"/>
  <c r="AN29" i="2"/>
  <c r="AO13" i="2"/>
  <c r="AN13" i="2"/>
  <c r="AO28" i="2"/>
  <c r="AN28" i="2"/>
  <c r="AO12" i="2"/>
  <c r="AN12" i="2"/>
  <c r="AO5" i="2"/>
  <c r="AN5" i="2"/>
  <c r="AO27" i="2"/>
  <c r="AN27" i="2"/>
  <c r="AO11" i="2"/>
  <c r="AN11" i="2"/>
  <c r="AO30" i="2"/>
  <c r="AN30" i="2"/>
  <c r="AO26" i="2"/>
  <c r="AN26" i="2"/>
  <c r="AO10" i="2"/>
  <c r="AN10" i="2"/>
  <c r="AO4" i="2"/>
  <c r="AN4" i="2"/>
  <c r="AO25" i="2"/>
  <c r="AN25" i="2"/>
  <c r="AO9" i="2"/>
  <c r="AN9" i="2"/>
  <c r="AO21" i="2"/>
  <c r="AN21" i="2"/>
  <c r="AO24" i="2"/>
  <c r="AN24" i="2"/>
  <c r="AO8" i="2"/>
  <c r="AN8" i="2"/>
  <c r="AN18" i="2"/>
  <c r="AO18" i="2"/>
  <c r="AO23" i="2"/>
  <c r="AN23" i="2"/>
  <c r="AO7" i="2"/>
  <c r="AN7" i="2"/>
  <c r="AN19" i="2"/>
  <c r="AO19" i="2"/>
  <c r="AO31" i="2"/>
  <c r="AN31" i="2"/>
  <c r="AO22" i="2"/>
  <c r="AN22" i="2"/>
  <c r="AO6" i="2"/>
  <c r="AN6" i="2"/>
  <c r="AM26" i="2"/>
  <c r="AM10" i="2"/>
  <c r="AM21" i="2"/>
  <c r="AM5" i="2"/>
  <c r="AM20" i="2"/>
  <c r="AM4" i="2"/>
  <c r="AM11" i="2"/>
  <c r="AM3" i="2"/>
  <c r="AM17" i="2"/>
  <c r="AM16" i="2"/>
  <c r="AM15" i="2"/>
  <c r="AM30" i="2"/>
  <c r="AM19" i="2"/>
  <c r="AM18" i="2"/>
  <c r="AM31" i="2"/>
  <c r="AM14" i="2"/>
  <c r="AM29" i="2"/>
  <c r="AM13" i="2"/>
  <c r="AM28" i="2"/>
  <c r="AM12" i="2"/>
  <c r="AM25" i="2"/>
  <c r="AM24" i="2"/>
  <c r="AM23" i="2"/>
  <c r="AM27" i="2"/>
  <c r="AM9" i="2"/>
  <c r="AM8" i="2"/>
  <c r="AM7" i="2"/>
  <c r="AM22" i="2"/>
  <c r="AM6" i="2"/>
  <c r="F7" i="1" l="1"/>
  <c r="G7" i="1"/>
  <c r="H7" i="1"/>
  <c r="I7" i="1"/>
  <c r="E7" i="1"/>
  <c r="J7" i="1"/>
  <c r="D28" i="1"/>
  <c r="F6" i="1" l="1"/>
  <c r="E6" i="1" l="1"/>
  <c r="M2" i="1" l="1"/>
  <c r="G6" i="1"/>
  <c r="H6" i="1"/>
  <c r="I6" i="1"/>
  <c r="J6" i="1"/>
  <c r="M6" i="1" l="1"/>
  <c r="M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Simula</author>
    <author>Andrea Chiocca</author>
  </authors>
  <commentList>
    <comment ref="K1" authorId="0" shapeId="0" xr:uid="{6F04C3C2-FECD-4FFF-AA88-91952C0B68F1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long side</t>
        </r>
      </text>
    </comment>
    <comment ref="L1" authorId="0" shapeId="0" xr:uid="{66E3A68F-8EB9-44F9-874B-239CE193C68B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short side</t>
        </r>
      </text>
    </comment>
    <comment ref="O1" authorId="1" shapeId="0" xr:uid="{1CC4F29A-57B3-44F7-965B-DA237098AC81}">
      <text>
        <r>
          <rPr>
            <b/>
            <sz val="14"/>
            <color indexed="81"/>
            <rFont val="Tahoma"/>
            <family val="2"/>
          </rPr>
          <t>Net</t>
        </r>
        <r>
          <rPr>
            <sz val="14"/>
            <color indexed="81"/>
            <rFont val="Tahoma"/>
            <family val="2"/>
          </rPr>
          <t xml:space="preserve"> or </t>
        </r>
        <r>
          <rPr>
            <b/>
            <sz val="14"/>
            <color indexed="81"/>
            <rFont val="Tahoma"/>
            <family val="2"/>
          </rPr>
          <t>gross</t>
        </r>
        <r>
          <rPr>
            <sz val="14"/>
            <color indexed="81"/>
            <rFont val="Tahoma"/>
            <family val="2"/>
          </rPr>
          <t xml:space="preserve"> area depending on what the author used to evaluate the nominal stresses</t>
        </r>
      </text>
    </comment>
    <comment ref="P1" authorId="0" shapeId="0" xr:uid="{679AC68E-6E1E-49D7-95C8-CB4738B37734}">
      <text>
        <r>
          <rPr>
            <b/>
            <sz val="14"/>
            <color indexed="81"/>
            <rFont val="Tahoma"/>
            <family val="2"/>
          </rPr>
          <t>Simula:</t>
        </r>
        <r>
          <rPr>
            <sz val="14"/>
            <color indexed="81"/>
            <rFont val="Tahoma"/>
            <family val="2"/>
          </rPr>
          <t xml:space="preserve">
if Flat with neutral-axis bending // along the long sideo</t>
        </r>
      </text>
    </comment>
    <comment ref="AB1" authorId="0" shapeId="0" xr:uid="{F0DA867F-3D3D-465D-BB43-47CFC5DF21E7}">
      <text>
        <r>
          <rPr>
            <b/>
            <sz val="9"/>
            <color indexed="81"/>
            <rFont val="Tahoma"/>
            <family val="2"/>
          </rPr>
          <t>Simula: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It is hypothesized that the radial stress (second axial stress) can be generated solely by internal pressure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<sst xmlns="http://schemas.openxmlformats.org/spreadsheetml/2006/main" count="1192" uniqueCount="165">
  <si>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</si>
  <si>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</si>
  <si>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</si>
  <si>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</si>
  <si>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</si>
  <si>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</si>
  <si>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</si>
  <si>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</si>
  <si>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</si>
  <si>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SHEAR stress  (MPa)</t>
  </si>
  <si>
    <t>Amplitute SHEAR stress  (MPa)</t>
  </si>
  <si>
    <t>Amplitude TORQUE (Nmm)</t>
  </si>
  <si>
    <t>Mean TORQUE (Nmm)</t>
  </si>
  <si>
    <t>Lambda (tauA/sigmaA)</t>
  </si>
  <si>
    <t>Load ratio (RADIAL)</t>
  </si>
  <si>
    <t>Load ratio (TORSIONAL)</t>
  </si>
  <si>
    <t>Geometry picture</t>
  </si>
  <si>
    <t>Diameter (mm)</t>
  </si>
  <si>
    <t>Failure type (complete rupture/stiffness decrease)</t>
  </si>
  <si>
    <t>Specimen name</t>
  </si>
  <si>
    <t>No</t>
  </si>
  <si>
    <t>Null</t>
  </si>
  <si>
    <t>Young's modulus (MPa)</t>
  </si>
  <si>
    <t>Standard deviation</t>
  </si>
  <si>
    <t>Average</t>
  </si>
  <si>
    <t>Article year</t>
  </si>
  <si>
    <t>Authors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</si>
  <si>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</si>
  <si>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</si>
  <si>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</si>
  <si>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</si>
  <si>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</si>
  <si>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Yes</t>
  </si>
  <si>
    <t>Area (mm^2)</t>
  </si>
  <si>
    <t>Data count</t>
  </si>
  <si>
    <t>Mean BENDING moment (Nmm)</t>
  </si>
  <si>
    <t>Amplitude BENDING moment (Nmm)</t>
  </si>
  <si>
    <t>Number of Cycles (cycles)</t>
  </si>
  <si>
    <t>Stress ratio R</t>
  </si>
  <si>
    <t>Tensile fatigue limit (MPa)</t>
  </si>
  <si>
    <t>Torsional fatigue limit (MPa)</t>
  </si>
  <si>
    <t>A (mm)</t>
  </si>
  <si>
    <t>B (mm)</t>
  </si>
  <si>
    <t>Hole diameter (mm)</t>
  </si>
  <si>
    <t>Geometry type (flat/cylindrical/hollow cylinder)</t>
  </si>
  <si>
    <t>Phase RADIAL load (°)</t>
  </si>
  <si>
    <t>Phase AXIAL load (°)</t>
  </si>
  <si>
    <t>Phase TORSIONAL load (°)</t>
  </si>
  <si>
    <t>Freq RADIAL load [Hz]</t>
  </si>
  <si>
    <t>Freq AXIAL load[Hz]</t>
  </si>
  <si>
    <t>Freq TORSIONAL load [Hz]</t>
  </si>
  <si>
    <t>Load ratio (AXIAL)</t>
  </si>
  <si>
    <t>Mean AXIAL stress  (MPa)</t>
  </si>
  <si>
    <t>Amplitute AXIAL stress  (MPa)</t>
  </si>
  <si>
    <t>Mean internal PRESSURE  (MPa)</t>
  </si>
  <si>
    <t>Amplitute internal PRESSURE (MPa)</t>
  </si>
  <si>
    <t>derived from (AXIAL/BENDING) load</t>
  </si>
  <si>
    <t>torsional momento of inertia (mm^4)</t>
  </si>
  <si>
    <t>flessional momento of inertia (mm^4)</t>
  </si>
  <si>
    <t>Mean AXIAL load (N)</t>
  </si>
  <si>
    <t>AXIAL</t>
  </si>
  <si>
    <t>Article DOI / Reference</t>
  </si>
  <si>
    <t>Amplitude von Mises (MPa)</t>
  </si>
  <si>
    <t>Amplitute AXIAL load (N)</t>
  </si>
  <si>
    <t>10.1016/j.ijfatigue.2018.03.037</t>
  </si>
  <si>
    <t>Santus et al.</t>
  </si>
  <si>
    <t>42CrMo4_QT</t>
  </si>
  <si>
    <t>10.1016/j.ijfatigue.2022.106787</t>
  </si>
  <si>
    <t>Benedetti et al.</t>
  </si>
  <si>
    <t>Plain_axial_1</t>
  </si>
  <si>
    <t>stiffness decrease</t>
  </si>
  <si>
    <t>Plain_axial_2</t>
  </si>
  <si>
    <t>Plain_axial_3</t>
  </si>
  <si>
    <t>Plain_axial_4</t>
  </si>
  <si>
    <t>Plain_axial_5</t>
  </si>
  <si>
    <t>Plain_axial_6</t>
  </si>
  <si>
    <t>Plain_axial_7</t>
  </si>
  <si>
    <t>Plain_axial_8</t>
  </si>
  <si>
    <t>Plain_axial_9</t>
  </si>
  <si>
    <t>Plain_axial_10</t>
  </si>
  <si>
    <t>Plain_axial_11</t>
  </si>
  <si>
    <t>Plain_axial_12</t>
  </si>
  <si>
    <t>Plain_axial_13</t>
  </si>
  <si>
    <t>Plain_axial_14</t>
  </si>
  <si>
    <t>Plain_axial_15</t>
  </si>
  <si>
    <t>Plain_axial_16</t>
  </si>
  <si>
    <t>Plain_axial_17</t>
  </si>
  <si>
    <t>Plain_axial_18</t>
  </si>
  <si>
    <t>Plain_axial_19</t>
  </si>
  <si>
    <t>Plain_axial_20</t>
  </si>
  <si>
    <t>Plain_axial_21</t>
  </si>
  <si>
    <t>Plain_axial_22</t>
  </si>
  <si>
    <t>Plain_axial_23</t>
  </si>
  <si>
    <t>Plain_axial_24</t>
  </si>
  <si>
    <t>Plain_axial_25</t>
  </si>
  <si>
    <t>Plain_axial_26</t>
  </si>
  <si>
    <t>Plain_axial_27</t>
  </si>
  <si>
    <t>Plain_axial_28</t>
  </si>
  <si>
    <t>Plain_axial_29</t>
  </si>
  <si>
    <t>Plain_axial_30</t>
  </si>
  <si>
    <t>Plain_axial_31</t>
  </si>
  <si>
    <t>Plain_axial_32</t>
  </si>
  <si>
    <t>Sharp_axial_1</t>
  </si>
  <si>
    <t>Sharp_axial_2</t>
  </si>
  <si>
    <t>Sharp_axial_3</t>
  </si>
  <si>
    <t>Sharp_axial_4</t>
  </si>
  <si>
    <t>Sharp_axial_5</t>
  </si>
  <si>
    <t>Sharp_axial_6</t>
  </si>
  <si>
    <t>Sharp_axial_7</t>
  </si>
  <si>
    <t>Sharp_axial_8</t>
  </si>
  <si>
    <t>Sharp_axial_9</t>
  </si>
  <si>
    <t>Sharp_axial_10</t>
  </si>
  <si>
    <t>Sharp_axial_11</t>
  </si>
  <si>
    <t>Sharp_axial_12</t>
  </si>
  <si>
    <t>Sharp_axial_13</t>
  </si>
  <si>
    <t>Sharp_axial_14</t>
  </si>
  <si>
    <t>Sharp_axial_15</t>
  </si>
  <si>
    <t>Sharp_axial_16</t>
  </si>
  <si>
    <t>Sharp_axial_17</t>
  </si>
  <si>
    <t>Sharp_axial_18</t>
  </si>
  <si>
    <t>Sharp_axial_19</t>
  </si>
  <si>
    <t>Sharp_axial_20</t>
  </si>
  <si>
    <t>Sharp_axial_21</t>
  </si>
  <si>
    <t>Sharp_axial_22</t>
  </si>
  <si>
    <t>Sharp_axial_23</t>
  </si>
  <si>
    <t>Sharp_axial_24</t>
  </si>
  <si>
    <t>Sharp_axial_25</t>
  </si>
  <si>
    <t>Sharp_axial_26</t>
  </si>
  <si>
    <t>Sharp_axial_27</t>
  </si>
  <si>
    <t>Sharp_axial_28</t>
  </si>
  <si>
    <t>complete rupture</t>
  </si>
  <si>
    <t>Plain_torsion_1</t>
  </si>
  <si>
    <t>Plain_torsion_2</t>
  </si>
  <si>
    <t>Plain_torsion_3</t>
  </si>
  <si>
    <t>Plain_torsion_4</t>
  </si>
  <si>
    <t>Plain_torsion_5</t>
  </si>
  <si>
    <t>Plain_torsion_6</t>
  </si>
  <si>
    <t>Plain_torsion_7</t>
  </si>
  <si>
    <t>Plain_torsion_8</t>
  </si>
  <si>
    <t>Plain_torsion_9</t>
  </si>
  <si>
    <t>Plain_torsion_10</t>
  </si>
  <si>
    <t>Plain_torsion_11</t>
  </si>
  <si>
    <t>Plain_torsion_12</t>
  </si>
  <si>
    <t>Plain_torsion_13</t>
  </si>
  <si>
    <t>Plain_torsion_14</t>
  </si>
  <si>
    <t>Plain_torsion_15</t>
  </si>
  <si>
    <t>Plain_torsion_16</t>
  </si>
  <si>
    <t>Plain_torsion_17</t>
  </si>
  <si>
    <t>Plain_torsion_18</t>
  </si>
  <si>
    <t>Plain_torsion_19</t>
  </si>
  <si>
    <t>Plain_torsion_20</t>
  </si>
  <si>
    <t>Plain_torsion_21</t>
  </si>
  <si>
    <t>Plain_torsion_22</t>
  </si>
  <si>
    <t>Plain_torsion_23</t>
  </si>
  <si>
    <t>Plain_torsion_24</t>
  </si>
  <si>
    <t>Sharp_torsion_1</t>
  </si>
  <si>
    <t>Sharp_torsion_2</t>
  </si>
  <si>
    <t>Sharp_torsion_3</t>
  </si>
  <si>
    <t>Sharp_torsion_4</t>
  </si>
  <si>
    <t>Sharp_torsion_5</t>
  </si>
  <si>
    <t>Sharp_torsion_6</t>
  </si>
  <si>
    <t>Sharp_torsion_7</t>
  </si>
  <si>
    <t>Sharp_torsion_8</t>
  </si>
  <si>
    <t>Sharp_torsion_9</t>
  </si>
  <si>
    <t>15-20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</si>
</sst>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indexed="81"/>
      <name val="Tahoma"/>
      <family val="2"/>
    </font>
    <font>
      <sz val="14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2A2A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12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2" fontId="0" fillId="2" borderId="0" xfId="0" applyNumberForma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1" fontId="8" fillId="13" borderId="0" xfId="0" applyNumberFormat="1" applyFont="1" applyFill="1" applyBorder="1" applyAlignment="1">
      <alignment horizontal="center" vertical="center" wrapText="1"/>
    </xf>
    <xf numFmtId="49" fontId="8" fillId="13" borderId="0" xfId="0" applyNumberFormat="1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9" borderId="0" xfId="0" applyNumberFormat="1" applyFill="1" applyBorder="1" applyAlignment="1">
      <alignment horizontal="center" vertical="center" wrapText="1"/>
    </xf>
    <xf numFmtId="49" fontId="7" fillId="11" borderId="0" xfId="0" applyNumberFormat="1" applyFont="1" applyFill="1" applyBorder="1" applyAlignment="1">
      <alignment horizontal="center" vertical="center" wrapText="1"/>
    </xf>
    <xf numFmtId="164" fontId="7" fillId="10" borderId="0" xfId="0" applyNumberFormat="1" applyFont="1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164" fontId="7" fillId="12" borderId="0" xfId="0" applyNumberFormat="1" applyFont="1" applyFill="1" applyBorder="1" applyAlignment="1">
      <alignment horizontal="center" vertical="center" wrapText="1"/>
    </xf>
    <xf numFmtId="164" fontId="7" fillId="7" borderId="0" xfId="0" applyNumberFormat="1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7" fillId="0" borderId="0" xfId="0" applyNumberFormat="1" applyFon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2" fontId="0" fillId="9" borderId="0" xfId="0" applyNumberFormat="1" applyFill="1" applyBorder="1" applyAlignment="1">
      <alignment horizontal="center" vertical="center" wrapText="1"/>
    </xf>
    <xf numFmtId="1" fontId="0" fillId="0" borderId="0" xfId="0" applyNumberFormat="1" applyFill="1" applyBorder="1" applyAlignment="1">
      <alignment horizontal="center" vertical="center"/>
    </xf>
    <xf numFmtId="1" fontId="0" fillId="0" borderId="13" xfId="0" applyNumberFormat="1" applyFill="1" applyBorder="1" applyAlignment="1">
      <alignment horizontal="center" vertical="center"/>
    </xf>
    <xf numFmtId="164" fontId="7" fillId="12" borderId="14" xfId="0" applyNumberFormat="1" applyFont="1" applyFill="1" applyBorder="1" applyAlignment="1">
      <alignment horizontal="center" vertical="center" wrapText="1"/>
    </xf>
  </cellXfs>
  <cellStyles count="1">
    <cellStyle name="Normale" xfId="0" builtinId="0"/>
  </cellStyles>
  <dxfs count="60">
    <dxf>
      <numFmt numFmtId="164" formatCode="0.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vertical/>
      </border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5" formatCode="0.00E+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42A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Dataset!$E$2:$E$94</c:f>
              <c:numCache>
                <c:formatCode>General</c:formatCode>
                <c:ptCount val="93"/>
                <c:pt idx="0">
                  <c:v>75621.824592582299</c:v>
                </c:pt>
                <c:pt idx="1">
                  <c:v>138257.954633599</c:v>
                </c:pt>
                <c:pt idx="2">
                  <c:v>159701.09462093699</c:v>
                </c:pt>
                <c:pt idx="3">
                  <c:v>184793.617935077</c:v>
                </c:pt>
                <c:pt idx="4">
                  <c:v>197176.63296379699</c:v>
                </c:pt>
                <c:pt idx="5">
                  <c:v>228157.38028673301</c:v>
                </c:pt>
                <c:pt idx="6">
                  <c:v>258114.09915933901</c:v>
                </c:pt>
                <c:pt idx="7">
                  <c:v>345627.22485078598</c:v>
                </c:pt>
                <c:pt idx="8">
                  <c:v>401179.14207474398</c:v>
                </c:pt>
                <c:pt idx="9">
                  <c:v>527793.89347280504</c:v>
                </c:pt>
                <c:pt idx="10">
                  <c:v>478318.07501176599</c:v>
                </c:pt>
                <c:pt idx="11">
                  <c:v>645987.919165603</c:v>
                </c:pt>
                <c:pt idx="12">
                  <c:v>1025519.29114769</c:v>
                </c:pt>
                <c:pt idx="13">
                  <c:v>901940.44295126095</c:v>
                </c:pt>
                <c:pt idx="14">
                  <c:v>1576842.7796910999</c:v>
                </c:pt>
                <c:pt idx="15">
                  <c:v>2629781.5962850498</c:v>
                </c:pt>
                <c:pt idx="16">
                  <c:v>1843487.3708033101</c:v>
                </c:pt>
                <c:pt idx="17">
                  <c:v>1269406</c:v>
                </c:pt>
                <c:pt idx="18">
                  <c:v>253166</c:v>
                </c:pt>
                <c:pt idx="19">
                  <c:v>147470</c:v>
                </c:pt>
                <c:pt idx="20">
                  <c:v>212560</c:v>
                </c:pt>
                <c:pt idx="21">
                  <c:v>5000000</c:v>
                </c:pt>
                <c:pt idx="22">
                  <c:v>5000000</c:v>
                </c:pt>
                <c:pt idx="23">
                  <c:v>274825</c:v>
                </c:pt>
                <c:pt idx="24">
                  <c:v>33380</c:v>
                </c:pt>
                <c:pt idx="25">
                  <c:v>1045282</c:v>
                </c:pt>
                <c:pt idx="26">
                  <c:v>5000000</c:v>
                </c:pt>
                <c:pt idx="27">
                  <c:v>5000000</c:v>
                </c:pt>
                <c:pt idx="28">
                  <c:v>5000000</c:v>
                </c:pt>
                <c:pt idx="29">
                  <c:v>74300</c:v>
                </c:pt>
                <c:pt idx="30">
                  <c:v>3620</c:v>
                </c:pt>
                <c:pt idx="31">
                  <c:v>66300</c:v>
                </c:pt>
                <c:pt idx="32">
                  <c:v>404746.825120622</c:v>
                </c:pt>
                <c:pt idx="33" formatCode="0">
                  <c:v>508719.92174515402</c:v>
                </c:pt>
                <c:pt idx="34" formatCode="0">
                  <c:v>644644.52728365001</c:v>
                </c:pt>
                <c:pt idx="35" formatCode="0">
                  <c:v>732849.46659442398</c:v>
                </c:pt>
                <c:pt idx="36" formatCode="0">
                  <c:v>1016039.66239513</c:v>
                </c:pt>
                <c:pt idx="37" formatCode="0">
                  <c:v>1427365.2572614001</c:v>
                </c:pt>
                <c:pt idx="38">
                  <c:v>1452386.7941518</c:v>
                </c:pt>
                <c:pt idx="39">
                  <c:v>1722441.88711992</c:v>
                </c:pt>
                <c:pt idx="40">
                  <c:v>2271238.7387154</c:v>
                </c:pt>
                <c:pt idx="41">
                  <c:v>2466545.3859769301</c:v>
                </c:pt>
                <c:pt idx="42">
                  <c:v>3306323.2095004702</c:v>
                </c:pt>
                <c:pt idx="43">
                  <c:v>3583503.2049856298</c:v>
                </c:pt>
                <c:pt idx="44">
                  <c:v>3830217.7087692898</c:v>
                </c:pt>
                <c:pt idx="45">
                  <c:v>5714059.5241061598</c:v>
                </c:pt>
                <c:pt idx="46">
                  <c:v>1178000</c:v>
                </c:pt>
                <c:pt idx="47">
                  <c:v>204561</c:v>
                </c:pt>
                <c:pt idx="48">
                  <c:v>510918</c:v>
                </c:pt>
                <c:pt idx="49">
                  <c:v>162541</c:v>
                </c:pt>
                <c:pt idx="50">
                  <c:v>5000000</c:v>
                </c:pt>
                <c:pt idx="51">
                  <c:v>129589</c:v>
                </c:pt>
                <c:pt idx="52">
                  <c:v>1852540</c:v>
                </c:pt>
                <c:pt idx="53">
                  <c:v>5000000</c:v>
                </c:pt>
                <c:pt idx="54">
                  <c:v>349233</c:v>
                </c:pt>
                <c:pt idx="55">
                  <c:v>741551</c:v>
                </c:pt>
                <c:pt idx="56">
                  <c:v>286444</c:v>
                </c:pt>
                <c:pt idx="57">
                  <c:v>247409</c:v>
                </c:pt>
                <c:pt idx="58">
                  <c:v>5000000</c:v>
                </c:pt>
                <c:pt idx="59">
                  <c:v>2683213</c:v>
                </c:pt>
                <c:pt idx="60">
                  <c:v>80799</c:v>
                </c:pt>
                <c:pt idx="61">
                  <c:v>61036</c:v>
                </c:pt>
                <c:pt idx="62">
                  <c:v>5000000</c:v>
                </c:pt>
                <c:pt idx="63">
                  <c:v>2113</c:v>
                </c:pt>
                <c:pt idx="64">
                  <c:v>356338</c:v>
                </c:pt>
                <c:pt idx="65">
                  <c:v>5000000</c:v>
                </c:pt>
                <c:pt idx="66">
                  <c:v>591086</c:v>
                </c:pt>
                <c:pt idx="67">
                  <c:v>1297038</c:v>
                </c:pt>
                <c:pt idx="68">
                  <c:v>5000000</c:v>
                </c:pt>
                <c:pt idx="69">
                  <c:v>1162508</c:v>
                </c:pt>
                <c:pt idx="70">
                  <c:v>64471</c:v>
                </c:pt>
                <c:pt idx="71">
                  <c:v>5000000</c:v>
                </c:pt>
                <c:pt idx="72">
                  <c:v>2727865</c:v>
                </c:pt>
                <c:pt idx="73">
                  <c:v>5000000</c:v>
                </c:pt>
                <c:pt idx="74">
                  <c:v>144928</c:v>
                </c:pt>
                <c:pt idx="75">
                  <c:v>741986</c:v>
                </c:pt>
                <c:pt idx="76">
                  <c:v>174751</c:v>
                </c:pt>
                <c:pt idx="77">
                  <c:v>5000000</c:v>
                </c:pt>
                <c:pt idx="78">
                  <c:v>530148</c:v>
                </c:pt>
                <c:pt idx="79">
                  <c:v>637436</c:v>
                </c:pt>
                <c:pt idx="80">
                  <c:v>1292667</c:v>
                </c:pt>
                <c:pt idx="81">
                  <c:v>734753</c:v>
                </c:pt>
                <c:pt idx="82">
                  <c:v>1246068</c:v>
                </c:pt>
                <c:pt idx="83">
                  <c:v>183404</c:v>
                </c:pt>
                <c:pt idx="84">
                  <c:v>1540572</c:v>
                </c:pt>
                <c:pt idx="85">
                  <c:v>1347924</c:v>
                </c:pt>
                <c:pt idx="86">
                  <c:v>1313298</c:v>
                </c:pt>
                <c:pt idx="87">
                  <c:v>1166925</c:v>
                </c:pt>
                <c:pt idx="88">
                  <c:v>3583227</c:v>
                </c:pt>
                <c:pt idx="89">
                  <c:v>630058</c:v>
                </c:pt>
                <c:pt idx="90">
                  <c:v>628732</c:v>
                </c:pt>
                <c:pt idx="91">
                  <c:v>2797404</c:v>
                </c:pt>
                <c:pt idx="92">
                  <c:v>5000000</c:v>
                </c:pt>
              </c:numCache>
            </c:numRef>
          </c:xVal>
          <c:yVal>
            <c:numRef>
              <c:f>Dataset!$AQ$2:$AQ$94</c:f>
              <c:numCache>
                <c:formatCode>0.00</c:formatCode>
                <c:ptCount val="93"/>
                <c:pt idx="0">
                  <c:v>481.88355163050898</c:v>
                </c:pt>
                <c:pt idx="1">
                  <c:v>421.52816054749201</c:v>
                </c:pt>
                <c:pt idx="2">
                  <c:v>451.62366557506101</c:v>
                </c:pt>
                <c:pt idx="3">
                  <c:v>451.67293992397703</c:v>
                </c:pt>
                <c:pt idx="4">
                  <c:v>451.69484136022498</c:v>
                </c:pt>
                <c:pt idx="5">
                  <c:v>451.74412347476698</c:v>
                </c:pt>
                <c:pt idx="6">
                  <c:v>421.72493407561802</c:v>
                </c:pt>
                <c:pt idx="7">
                  <c:v>420.36728064972903</c:v>
                </c:pt>
                <c:pt idx="8">
                  <c:v>372.04799101680197</c:v>
                </c:pt>
                <c:pt idx="9">
                  <c:v>392.521153995193</c:v>
                </c:pt>
                <c:pt idx="10">
                  <c:v>410.45754724606701</c:v>
                </c:pt>
                <c:pt idx="11">
                  <c:v>402.15625221348802</c:v>
                </c:pt>
                <c:pt idx="12">
                  <c:v>401.603322460649</c:v>
                </c:pt>
                <c:pt idx="13">
                  <c:v>381.35385670645502</c:v>
                </c:pt>
                <c:pt idx="14">
                  <c:v>393.51926001945901</c:v>
                </c:pt>
                <c:pt idx="15">
                  <c:v>382.97527778420698</c:v>
                </c:pt>
                <c:pt idx="16">
                  <c:v>361.10841586552198</c:v>
                </c:pt>
                <c:pt idx="17">
                  <c:v>450</c:v>
                </c:pt>
                <c:pt idx="18">
                  <c:v>450</c:v>
                </c:pt>
                <c:pt idx="19">
                  <c:v>500</c:v>
                </c:pt>
                <c:pt idx="20">
                  <c:v>500</c:v>
                </c:pt>
                <c:pt idx="21">
                  <c:v>400</c:v>
                </c:pt>
                <c:pt idx="22">
                  <c:v>425</c:v>
                </c:pt>
                <c:pt idx="23">
                  <c:v>450</c:v>
                </c:pt>
                <c:pt idx="24">
                  <c:v>500</c:v>
                </c:pt>
                <c:pt idx="25">
                  <c:v>425</c:v>
                </c:pt>
                <c:pt idx="26">
                  <c:v>425</c:v>
                </c:pt>
                <c:pt idx="27">
                  <c:v>400</c:v>
                </c:pt>
                <c:pt idx="28">
                  <c:v>425</c:v>
                </c:pt>
                <c:pt idx="29">
                  <c:v>550</c:v>
                </c:pt>
                <c:pt idx="30">
                  <c:v>600</c:v>
                </c:pt>
                <c:pt idx="31">
                  <c:v>550</c:v>
                </c:pt>
                <c:pt idx="32">
                  <c:v>123.69405788867201</c:v>
                </c:pt>
                <c:pt idx="33">
                  <c:v>123.75792076544801</c:v>
                </c:pt>
                <c:pt idx="34">
                  <c:v>123.824099219077</c:v>
                </c:pt>
                <c:pt idx="35">
                  <c:v>109.902245629625</c:v>
                </c:pt>
                <c:pt idx="36">
                  <c:v>110.556552616128</c:v>
                </c:pt>
                <c:pt idx="37">
                  <c:v>95.1585761308299</c:v>
                </c:pt>
                <c:pt idx="38">
                  <c:v>100.23993486787001</c:v>
                </c:pt>
                <c:pt idx="39">
                  <c:v>95.695112020103494</c:v>
                </c:pt>
                <c:pt idx="40">
                  <c:v>90.904446999322104</c:v>
                </c:pt>
                <c:pt idx="41">
                  <c:v>94.7821709791952</c:v>
                </c:pt>
                <c:pt idx="42">
                  <c:v>90.5098240922689</c:v>
                </c:pt>
                <c:pt idx="43">
                  <c:v>85.495108692187898</c:v>
                </c:pt>
                <c:pt idx="44">
                  <c:v>91.0117596297669</c:v>
                </c:pt>
                <c:pt idx="45">
                  <c:v>90.621682407055005</c:v>
                </c:pt>
                <c:pt idx="46">
                  <c:v>100</c:v>
                </c:pt>
                <c:pt idx="47">
                  <c:v>150</c:v>
                </c:pt>
                <c:pt idx="48">
                  <c:v>100</c:v>
                </c:pt>
                <c:pt idx="49">
                  <c:v>150</c:v>
                </c:pt>
                <c:pt idx="50">
                  <c:v>80</c:v>
                </c:pt>
                <c:pt idx="51">
                  <c:v>150</c:v>
                </c:pt>
                <c:pt idx="52">
                  <c:v>80</c:v>
                </c:pt>
                <c:pt idx="53">
                  <c:v>80</c:v>
                </c:pt>
                <c:pt idx="54">
                  <c:v>125</c:v>
                </c:pt>
                <c:pt idx="55">
                  <c:v>100</c:v>
                </c:pt>
                <c:pt idx="56">
                  <c:v>125</c:v>
                </c:pt>
                <c:pt idx="57">
                  <c:v>125</c:v>
                </c:pt>
                <c:pt idx="58">
                  <c:v>75</c:v>
                </c:pt>
                <c:pt idx="59">
                  <c:v>85</c:v>
                </c:pt>
                <c:pt idx="60">
                  <c:v>692.8203230275509</c:v>
                </c:pt>
                <c:pt idx="61">
                  <c:v>692.8203230275509</c:v>
                </c:pt>
                <c:pt idx="62">
                  <c:v>554.25625842204079</c:v>
                </c:pt>
                <c:pt idx="63">
                  <c:v>831.38438763306112</c:v>
                </c:pt>
                <c:pt idx="64">
                  <c:v>623.53829072479584</c:v>
                </c:pt>
                <c:pt idx="65">
                  <c:v>588.89727457341826</c:v>
                </c:pt>
                <c:pt idx="66">
                  <c:v>623.53829072479584</c:v>
                </c:pt>
                <c:pt idx="67">
                  <c:v>588.89727457341826</c:v>
                </c:pt>
                <c:pt idx="68">
                  <c:v>588.89727457341826</c:v>
                </c:pt>
                <c:pt idx="69">
                  <c:v>623.53829072479584</c:v>
                </c:pt>
                <c:pt idx="70">
                  <c:v>692.8203230275509</c:v>
                </c:pt>
                <c:pt idx="71">
                  <c:v>571.57676649772952</c:v>
                </c:pt>
                <c:pt idx="72">
                  <c:v>571.57676649772952</c:v>
                </c:pt>
                <c:pt idx="73">
                  <c:v>433.0127018922193</c:v>
                </c:pt>
                <c:pt idx="74">
                  <c:v>519.6152422706632</c:v>
                </c:pt>
                <c:pt idx="75">
                  <c:v>484.97422611928562</c:v>
                </c:pt>
                <c:pt idx="76">
                  <c:v>519.6152422706632</c:v>
                </c:pt>
                <c:pt idx="77">
                  <c:v>450.33320996790809</c:v>
                </c:pt>
                <c:pt idx="78">
                  <c:v>484.97422611928562</c:v>
                </c:pt>
                <c:pt idx="79">
                  <c:v>484.97422611928562</c:v>
                </c:pt>
                <c:pt idx="80">
                  <c:v>467.65371804359688</c:v>
                </c:pt>
                <c:pt idx="81">
                  <c:v>467.65371804359688</c:v>
                </c:pt>
                <c:pt idx="82">
                  <c:v>467.65371804359688</c:v>
                </c:pt>
                <c:pt idx="83">
                  <c:v>519.6152422706632</c:v>
                </c:pt>
                <c:pt idx="84">
                  <c:v>389.7114317029974</c:v>
                </c:pt>
                <c:pt idx="85">
                  <c:v>389.7114317029974</c:v>
                </c:pt>
                <c:pt idx="86">
                  <c:v>433.0127018922193</c:v>
                </c:pt>
                <c:pt idx="87">
                  <c:v>433.0127018922193</c:v>
                </c:pt>
                <c:pt idx="88">
                  <c:v>303.10889132455355</c:v>
                </c:pt>
                <c:pt idx="89">
                  <c:v>519.6152422706632</c:v>
                </c:pt>
                <c:pt idx="90">
                  <c:v>519.6152422706632</c:v>
                </c:pt>
                <c:pt idx="91">
                  <c:v>346.41016151377545</c:v>
                </c:pt>
                <c:pt idx="92">
                  <c:v>303.10889132455355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8-439C-BD78-518C8A90A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ax val="2500000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ax val="300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26</xdr:row>
      <xdr:rowOff>0</xdr:rowOff>
    </xdr:from>
    <xdr:to>
      <xdr:col>2</xdr:col>
      <xdr:colOff>917865</xdr:colOff>
      <xdr:row>41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0A1232-E067-4380-A306-8D17032AE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M5" totalsRowShown="0" headerRowDxfId="57" dataDxfId="56">
  <autoFilter ref="A1:M5" xr:uid="{7EB9CA7B-F9F7-4B65-BAF9-0554C4DD3A3C}"/>
  <tableColumns count="13">
    <tableColumn id="1" xr3:uid="{8E3D1E9D-FBEE-441F-8710-5037CD4F23F4}" name="Article DOI / Reference" dataDxfId="55"/>
    <tableColumn id="11" xr3:uid="{DB748F3A-E0FD-40A7-AD76-C03A14000D6D}" name="Authors" dataDxfId="54"/>
    <tableColumn id="8" xr3:uid="{5AA73CAD-51B7-41DD-94EB-F60F774B9687}" name="Article year" dataDxfId="53"/>
    <tableColumn id="2" xr3:uid="{06FA6682-59D0-409F-9A0C-E6CD1808F355}" name="Material name" dataDxfId="52"/>
    <tableColumn id="3" xr3:uid="{576FC30A-97BD-425F-92F2-9A2823474F7C}" name="Young's modulus (MPa)" dataDxfId="51"/>
    <tableColumn id="4" xr3:uid="{63CF6BC0-ABE3-408E-84A9-EDA0B421D7E2}" name="Poisson's ratio (-)" dataDxfId="50"/>
    <tableColumn id="5" xr3:uid="{BF08D467-4D62-4CAB-A94F-0030F94E8A2E}" name="Tensile strength (MPa)" dataDxfId="49"/>
    <tableColumn id="6" xr3:uid="{CDCD2563-ECD7-4843-B859-5F7762FE830B}" name="Yield strength (MPa)" dataDxfId="48"/>
    <tableColumn id="7" xr3:uid="{7991DD6F-6040-4C6F-AEB4-2211698F999C}" name="Tensile fatigue limit (MPa)" dataDxfId="47"/>
    <tableColumn id="9" xr3:uid="{C339353B-B530-41A6-97D0-BD9E3EFB3E1B}" name="Torsional fatigue limit (MPa)" dataDxfId="46">
      <calculatedColumnFormula>845/2</calculatedColumnFormula>
    </tableColumn>
    <tableColumn id="13" xr3:uid="{61EEDB63-8EB1-4E68-8C73-6F3D35C9EEF7}" name="Number of Cycles (cycles)" dataDxfId="45"/>
    <tableColumn id="12" xr3:uid="{5EB3D6EA-60A8-471D-AB0E-73C0B9E22DD2}" name="Stress ratio R" dataDxfId="44"/>
    <tableColumn id="10" xr3:uid="{EC242BA9-DE01-42A2-8C6C-75459CDE529E}" name="K" dataDxfId="43">
      <calculatedColumnFormula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Q94" totalsRowShown="0" headerRowDxfId="59" dataDxfId="58">
  <autoFilter ref="A1:AQ94" xr:uid="{86243907-AA5D-4F4D-8699-490D77B21127}"/>
  <tableColumns count="43">
    <tableColumn id="31" xr3:uid="{05937513-BC98-44D1-A5DC-F19589B15DDF}" name="Authors" dataDxfId="42"/>
    <tableColumn id="32" xr3:uid="{DCBCBA66-A67E-429B-A752-67A81643133E}" name="Article year" dataDxfId="41"/>
    <tableColumn id="1" xr3:uid="{D75788C8-C867-4D50-A818-DADFA5044830}" name="Article DOI / Reference" dataDxfId="40"/>
    <tableColumn id="30" xr3:uid="{FA5CACDD-A594-4207-9BA7-C7F165153D5B}" name="Specimen name" dataDxfId="39"/>
    <tableColumn id="2" xr3:uid="{19DD8629-B305-4804-A689-1057FBADF71C}" name="Number of cycles to failure" dataDxfId="38"/>
    <tableColumn id="4" xr3:uid="{27575528-FAA3-4B4C-8860-7A7CFCB79DBE}" name="Run out (Yes/No)" dataDxfId="37"/>
    <tableColumn id="3" xr3:uid="{0CF78E1F-0EC3-474A-B3FD-519C01702157}" name="Failure type (complete rupture/stiffness decrease)" dataDxfId="36"/>
    <tableColumn id="26" xr3:uid="{05D9D755-9B11-40C9-8DCB-B9E39E20FA04}" name="Geometry picture" dataDxfId="35"/>
    <tableColumn id="33" xr3:uid="{936299CD-E030-4427-B1AB-D5CB204A04BE}" name="Geometry type (flat/cylindrical/hollow cylinder)" dataDxfId="34"/>
    <tableColumn id="34" xr3:uid="{09266E8F-9B14-40D4-88AB-80CC92F93BA2}" name="Notched" dataDxfId="33"/>
    <tableColumn id="39" xr3:uid="{108E1228-D670-44CE-87DA-2A1B0D22E417}" name="A (mm)" dataDxfId="32"/>
    <tableColumn id="38" xr3:uid="{D6414C63-3F42-4BCA-BB3F-506FCA7B7866}" name="B (mm)" dataDxfId="31"/>
    <tableColumn id="37" xr3:uid="{8138AA3A-CE2D-441D-907D-E35AD875EC90}" name="Hole diameter (mm)" dataDxfId="30"/>
    <tableColumn id="27" xr3:uid="{D5A8CCC0-542A-450B-8F88-B47472F29E40}" name="Diameter (mm)" dataDxfId="29"/>
    <tableColumn id="28" xr3:uid="{36725B61-E4CB-4B7E-AF40-7F3BC6BE6CB3}" name="Area (mm^2)" dataDxfId="28">
      <calculatedColumnFormula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calculatedColumnFormula>
    </tableColumn>
    <tableColumn id="45" xr3:uid="{127345D3-F57D-4266-B1E4-4F059E8B31BE}" name="flessional momento of inertia (mm^4)" dataDxfId="27">
      <calculatedColumnFormula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calculatedColumnFormula>
    </tableColumn>
    <tableColumn id="29" xr3:uid="{ADA51E38-565E-4B07-AA7F-4531D7FB559A}" name="torsional momento of inertia (mm^4)" dataDxfId="26">
      <calculatedColumnFormula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calculatedColumnFormula>
    </tableColumn>
    <tableColumn id="21" xr3:uid="{C8363B8B-B0C3-4670-AE9B-A3DF1F1D9748}" name="Phase RADIAL load (°)" dataDxfId="25"/>
    <tableColumn id="40" xr3:uid="{FF54B50E-D6C4-4EF8-BED6-8558889E32B3}" name="Phase AXIAL load (°)" dataDxfId="24"/>
    <tableColumn id="22" xr3:uid="{9A8358C3-645B-4F7B-A800-BF2013564F31}" name="Phase TORSIONAL load (°)" dataDxfId="7"/>
    <tableColumn id="43" xr3:uid="{32E76D00-2B52-4D17-881F-6CB825346CD9}" name="Freq RADIAL load [Hz]" dataDxfId="6"/>
    <tableColumn id="42" xr3:uid="{A0DFAB77-F821-4A7F-A0A1-75075998D45D}" name="Freq AXIAL load[Hz]" dataDxfId="5"/>
    <tableColumn id="41" xr3:uid="{DEC77E42-D985-463A-B500-A8E16CF67856}" name="Freq TORSIONAL load [Hz]" dataDxfId="3"/>
    <tableColumn id="23" xr3:uid="{9724DA05-688A-43E5-9AAC-5035994CD3C7}" name="Load ratio (RADIAL)" dataDxfId="4">
      <calculatedColumnFormula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calculatedColumnFormula>
    </tableColumn>
    <tableColumn id="24" xr3:uid="{5794A9BC-D825-4DEA-82F2-22B1FB825367}" name="Load ratio (AXIAL)" dataDxfId="23">
      <calculatedColumnFormula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calculatedColumnFormula>
    </tableColumn>
    <tableColumn id="25" xr3:uid="{A209A6A1-8B94-4DAE-9AD9-68A32BB08635}" name="Load ratio (TORSIONAL)" dataDxfId="22">
      <calculatedColumnFormula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calculatedColumnFormula>
    </tableColumn>
    <tableColumn id="15" xr3:uid="{79C3F669-131B-420A-8FF5-9D61125EAD7C}" name="Mean RADIAL stress  (MPa)" dataDxfId="21"/>
    <tableColumn id="6" xr3:uid="{CFA41242-20EF-4D5D-9025-FC3F232CBE04}" name="Amplitute RADIAL stress  (MPa)" dataDxfId="11"/>
    <tableColumn id="16" xr3:uid="{F37D511D-F078-4171-84FD-3AE13D4078DC}" name="Mean AXIAL stress  (MPa)" dataDxfId="10"/>
    <tableColumn id="8" xr3:uid="{933ACC34-FA80-47BE-87CF-5D7D742564A2}" name="Amplitute AXIAL stress  (MPa)" dataDxfId="8"/>
    <tableColumn id="44" xr3:uid="{460C3648-EA91-4BC9-8C0D-58B3E19E1ED3}" name="derived from (AXIAL/BENDING) load" dataDxfId="9"/>
    <tableColumn id="19" xr3:uid="{06584471-CEAD-405D-A12E-5A2E79E8CA33}" name="Mean SHEAR stress  (MPa)" dataDxfId="2"/>
    <tableColumn id="10" xr3:uid="{2FCDB52E-3BD8-4D04-8689-303C003D64AE}" name="Amplitute SHEAR stress  (MPa)" dataDxfId="1"/>
    <tableColumn id="36" xr3:uid="{EF2440ED-01F8-493F-BD7F-BDBCFC67F43F}" name="Mean internal PRESSURE  (MPa)" dataDxfId="0">
      <calculatedColumnFormula>IF(ISNUMBER(Tabella2[[#This Row],[Mean RADIAL stress  (MPa)]]), Tabella2[[#This Row],[Mean RADIAL stress  (MPa)]],"")</calculatedColumnFormula>
    </tableColumn>
    <tableColumn id="12" xr3:uid="{A3A206A7-7207-472E-A9D8-013B3CFCAFCB}" name="Amplitute internal PRESSURE (MPa)" dataDxfId="20">
      <calculatedColumnFormula>IF(ISNUMBER(Tabella2[[#This Row],[Amplitute RADIAL stress  (MPa)]]), Tabella2[[#This Row],[Amplitute RADIAL stress  (MPa)]],"")</calculatedColumnFormula>
    </tableColumn>
    <tableColumn id="47" xr3:uid="{2D0E8715-4DDF-44E6-8D9C-9880A8CC9001}" name="Mean AXIAL load (N)" dataDxfId="19">
      <calculatedColumnFormula>IF(ISNUMBER(Tabella2[[#This Row],[Mean AXIAL stress  (MPa)]]), IF(Tabella2[[#This Row],[derived from (AXIAL/BENDING) load]]="AXIAL",Tabella2[[#This Row],[Mean AXIAL stress  (MPa)]]*Tabella2[[#This Row],[Area (mm^2)]],"Null"), "")</calculatedColumnFormula>
    </tableColumn>
    <tableColumn id="46" xr3:uid="{74D06968-9F0E-4F66-B0FC-A6FDF325A23C}" name="Amplitute AXIAL load (N)" dataDxfId="18">
      <calculatedColumnFormula>IF(ISNUMBER(Tabella2[[#This Row],[Amplitute AXIAL stress  (MPa)]]),    IF(Tabella2[[#This Row],[derived from (AXIAL/BENDING) load]]="AXIAL",Tabella2[[#This Row],[Amplitute AXIAL stress  (MPa)]]*Tabella2[[#This Row],[Area (mm^2)]],"Null"), "")</calculatedColumnFormula>
    </tableColumn>
    <tableColumn id="14" xr3:uid="{B1691BE1-3E2F-4716-9F3A-1870C13BFA59}" name="Mean BENDING moment (Nmm)" dataDxfId="17">
      <calculatedColumnFormula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calculatedColumnFormula>
    </tableColumn>
    <tableColumn id="48" xr3:uid="{879D775B-56C1-4C8B-B0F2-AB881BBC76CB}" name="Amplitude BENDING moment (Nmm)" dataDxfId="16">
      <calculatedColumnFormula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calculatedColumnFormula>
    </tableColumn>
    <tableColumn id="17" xr3:uid="{B9FCDDAE-82CF-4FB8-907C-A1558D43EF84}" name="Mean TORQUE (Nmm)" dataDxfId="15">
      <calculatedColumnFormula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calculatedColumnFormula>
    </tableColumn>
    <tableColumn id="18" xr3:uid="{C66D42EC-66DD-4028-A153-9A90E5649F9D}" name="Amplitude TORQUE (Nmm)" dataDxfId="14">
      <calculatedColumnFormula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calculatedColumnFormula>
    </tableColumn>
    <tableColumn id="20" xr3:uid="{D27EA8AC-AA88-4708-8985-FCB1FE48E26F}" name="Lambda (tauA/sigmaA)" dataDxfId="13">
      <calculatedColumnFormula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  <tableColumn id="13" xr3:uid="{202EB95B-F464-428F-A067-490417EBEC52}" name="Amplitude von Mises (MPa)" dataDxfId="12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opLeftCell="A12" zoomScaleNormal="100" workbookViewId="0">
      <selection activeCell="E21" sqref="E21"/>
    </sheetView>
  </sheetViews>
  <sheetFormatPr defaultRowHeight="15" x14ac:dyDescent="0.25"/>
  <cols>
    <col min="1" max="1" width="29.140625" bestFit="1" customWidth="1"/>
    <col min="2" max="2" width="68.42578125" customWidth="1"/>
    <col min="3" max="3" width="42.28515625" bestFit="1" customWidth="1"/>
    <col min="4" max="4" width="31.7109375" customWidth="1"/>
    <col min="5" max="5" width="41.85546875" customWidth="1"/>
    <col min="6" max="6" width="31.140625" customWidth="1"/>
    <col min="7" max="7" width="35" customWidth="1"/>
    <col min="8" max="8" width="33.140625" customWidth="1"/>
    <col min="9" max="9" width="38" customWidth="1"/>
    <col min="10" max="10" width="40.85546875" customWidth="1"/>
    <col min="11" max="11" width="41.140625" customWidth="1"/>
    <col min="12" max="12" width="30.7109375" customWidth="1"/>
    <col min="13" max="13" width="9.5703125" bestFit="1" customWidth="1"/>
  </cols>
  <sheetData>
    <row r="1" spans="1:13" ht="20.100000000000001" customHeight="1" x14ac:dyDescent="0.25">
      <c r="A1" s="2" t="s">
        <v>61</v>
      </c>
      <c r="B1" s="2" t="s">
        <v>26</v>
      </c>
      <c r="C1" s="2" t="s">
        <v>25</v>
      </c>
      <c r="D1" s="2" t="s">
        <v>0</v>
      </c>
      <c r="E1" s="2" t="s">
        <v>22</v>
      </c>
      <c r="F1" s="2" t="s">
        <v>1</v>
      </c>
      <c r="G1" s="2" t="s">
        <v>2</v>
      </c>
      <c r="H1" s="2" t="s">
        <v>3</v>
      </c>
      <c r="I1" s="2" t="s">
        <v>39</v>
      </c>
      <c r="J1" s="2" t="s">
        <v>40</v>
      </c>
      <c r="K1" s="2" t="s">
        <v>37</v>
      </c>
      <c r="L1" s="2" t="s">
        <v>38</v>
      </c>
      <c r="M1" s="1" t="s">
        <v>4</v>
      </c>
    </row>
    <row r="2" spans="1:13" ht="20.100000000000001" customHeight="1" x14ac:dyDescent="0.25">
      <c r="A2" s="1" t="s">
        <v>64</v>
      </c>
      <c r="B2" s="1" t="s">
        <v>65</v>
      </c>
      <c r="C2" s="1">
        <v>2018</v>
      </c>
      <c r="D2" s="1" t="s">
        <v>66</v>
      </c>
      <c r="E2" s="1">
        <v>206000</v>
      </c>
      <c r="F2" s="1">
        <v>0.33</v>
      </c>
      <c r="G2" s="1">
        <v>875</v>
      </c>
      <c r="H2" s="1">
        <v>727</v>
      </c>
      <c r="I2" s="1" t="s">
        <v>21</v>
      </c>
      <c r="J2" s="1" t="s">
        <v>21</v>
      </c>
      <c r="K2" s="10" t="s">
        <v>21</v>
      </c>
      <c r="L2" s="1" t="s">
        <v>21</v>
      </c>
      <c r="M2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3" spans="1:13" ht="20.100000000000001" customHeight="1" x14ac:dyDescent="0.25">
      <c r="A3" s="1" t="s">
        <v>67</v>
      </c>
      <c r="B3" s="1" t="s">
        <v>68</v>
      </c>
      <c r="C3" s="1">
        <v>2022</v>
      </c>
      <c r="D3" s="1" t="s">
        <v>66</v>
      </c>
      <c r="E3" s="1" t="s">
        <v>21</v>
      </c>
      <c r="F3" s="1" t="s">
        <v>21</v>
      </c>
      <c r="G3" s="1" t="s">
        <v>21</v>
      </c>
      <c r="H3" s="1" t="s">
        <v>21</v>
      </c>
      <c r="I3" s="1">
        <v>433</v>
      </c>
      <c r="J3" s="1">
        <v>344</v>
      </c>
      <c r="K3" s="10">
        <v>2000000</v>
      </c>
      <c r="L3" s="21">
        <v>-1</v>
      </c>
      <c r="M3" s="14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1.2587209302325582</v>
      </c>
    </row>
    <row r="4" spans="1:13" ht="20.100000000000001" customHeight="1" x14ac:dyDescent="0.25">
      <c r="A4" s="13"/>
      <c r="B4" s="1"/>
      <c r="C4" s="1"/>
      <c r="D4" s="1"/>
      <c r="E4" s="1"/>
      <c r="F4" s="1"/>
      <c r="G4" s="1"/>
      <c r="H4" s="1"/>
      <c r="I4" s="1"/>
      <c r="J4" s="1"/>
      <c r="K4" s="10"/>
      <c r="L4" s="1"/>
      <c r="M4" s="14" t="str">
        <f>IF(COUNTIF(Tabella1[[#This Row],[Tensile fatigue limit (MPa)]:[Torsional fatigue limit (MPa)]],"Null")&gt;0, "Null", IF(COUNT(Tabella1[[#This Row],[Tensile fatigue limit (MPa)]:[Torsional fatigue limit (MPa)]])=0, "Null", Tabella1[[#This Row],[Tensile fatigue limit (MPa)]]/Tabella1[[#This Row],[Torsional fatigue limit (MPa)]]))</f>
        <v>Null</v>
      </c>
    </row>
    <row r="5" spans="1:13" ht="20.100000000000001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"/>
      <c r="M5" s="14"/>
    </row>
    <row r="6" spans="1:13" ht="20.100000000000001" customHeight="1" x14ac:dyDescent="0.25">
      <c r="A6" s="25" t="s">
        <v>24</v>
      </c>
      <c r="B6" s="26"/>
      <c r="C6" s="26"/>
      <c r="D6" s="27"/>
      <c r="E6" s="3">
        <f>IF(COUNT(Tabella1[Young''s modulus (MPa)])=0, "Null", AVERAGE(Tabella1[Young''s modulus (MPa)]))</f>
        <v>206000</v>
      </c>
      <c r="F6" s="3">
        <f>IF(COUNT(Tabella1[Poisson''s ratio (-)])=0, "Null", AVERAGE(Tabella1[Poisson''s ratio (-)]))</f>
        <v>0.33</v>
      </c>
      <c r="G6" s="3">
        <f>IF(COUNT(Tabella1[Tensile strength (MPa)])=0, "Null", AVERAGE(Tabella1[Tensile strength (MPa)]))</f>
        <v>875</v>
      </c>
      <c r="H6" s="3">
        <f>IF(COUNT(Tabella1[Yield strength (MPa)])=0, "Null", AVERAGE(Tabella1[Yield strength (MPa)]))</f>
        <v>727</v>
      </c>
      <c r="I6" s="3">
        <f>IF(COUNT(Tabella1[Tensile fatigue limit (MPa)])=0, "Null", AVERAGE(Tabella1[Tensile fatigue limit (MPa)]))</f>
        <v>433</v>
      </c>
      <c r="J6" s="3">
        <f>IF(COUNT(Tabella1[Torsional fatigue limit (MPa)])=0, "Null", AVERAGE(Tabella1[Torsional fatigue limit (MPa)]))</f>
        <v>344</v>
      </c>
      <c r="K6" s="11"/>
      <c r="L6" s="9"/>
      <c r="M6" s="15">
        <f>IF(COUNT(Tabella1[K])=0, "Null", AVERAGE(Tabella1[K]))</f>
        <v>1.2587209302325582</v>
      </c>
    </row>
    <row r="7" spans="1:13" ht="20.100000000000001" customHeight="1" thickBot="1" x14ac:dyDescent="0.3">
      <c r="A7" s="28" t="s">
        <v>23</v>
      </c>
      <c r="B7" s="29"/>
      <c r="C7" s="29"/>
      <c r="D7" s="30"/>
      <c r="E7" s="4">
        <f>IF(COUNT(Tabella1[Young''s modulus (MPa)])=0, "Null", _xlfn.STDEV.P(Tabella1[Young''s modulus (MPa)]))</f>
        <v>0</v>
      </c>
      <c r="F7" s="4">
        <f>IF(COUNT(Tabella1[Poisson''s ratio (-)])=0, "Null", _xlfn.STDEV.P(Tabella1[Poisson''s ratio (-)]))</f>
        <v>0</v>
      </c>
      <c r="G7" s="4">
        <f>IF(COUNT(Tabella1[Tensile strength (MPa)])=0, "Null", _xlfn.STDEV.P(Tabella1[Tensile strength (MPa)]))</f>
        <v>0</v>
      </c>
      <c r="H7" s="4">
        <f>IF(COUNT(Tabella1[Yield strength (MPa)])=0, "Null", _xlfn.STDEV.P(Tabella1[Yield strength (MPa)]))</f>
        <v>0</v>
      </c>
      <c r="I7" s="4">
        <f>IF(COUNT(Tabella1[Tensile fatigue limit (MPa)])=0, "Null", _xlfn.STDEV.P(Tabella1[Tensile fatigue limit (MPa)]))</f>
        <v>0</v>
      </c>
      <c r="J7" s="4">
        <f>IF(COUNT(Tabella1[Torsional fatigue limit (MPa)])=0, "Null", _xlfn.STDEV.P(Tabella1[Torsional fatigue limit (MPa)]))</f>
        <v>0</v>
      </c>
      <c r="K7" s="12"/>
      <c r="L7" s="4"/>
      <c r="M7" s="16">
        <f>IF(COUNT(Tabella1[K])=0, "Null", _xlfn.STDEV.P(Tabella1[K]))</f>
        <v>0</v>
      </c>
    </row>
    <row r="8" spans="1:13" ht="20.100000000000001" customHeight="1" x14ac:dyDescent="0.25"/>
    <row r="9" spans="1:13" ht="20.100000000000001" customHeight="1" x14ac:dyDescent="0.25"/>
    <row r="10" spans="1:13" ht="20.100000000000001" customHeight="1" x14ac:dyDescent="0.25"/>
    <row r="11" spans="1:13" ht="20.100000000000001" customHeight="1" x14ac:dyDescent="0.25"/>
    <row r="12" spans="1:13" ht="20.100000000000001" customHeight="1" thickBot="1" x14ac:dyDescent="0.3"/>
    <row r="13" spans="1:13" ht="20.100000000000001" customHeight="1" x14ac:dyDescent="0.25">
      <c r="A13" s="31" t="s">
        <v>29</v>
      </c>
      <c r="B13" s="5" t="s">
        <v>30</v>
      </c>
    </row>
    <row r="14" spans="1:13" ht="20.100000000000001" customHeight="1" thickBot="1" x14ac:dyDescent="0.3">
      <c r="A14" s="32"/>
      <c r="B14" s="6" t="s">
        <v>31</v>
      </c>
    </row>
    <row r="27" spans="4:4" x14ac:dyDescent="0.25">
      <c r="D27" s="7" t="s">
        <v>34</v>
      </c>
    </row>
    <row r="28" spans="4:4" x14ac:dyDescent="0.25">
      <c r="D28" s="8">
        <f>COUNTA(Tabella2[Authors])</f>
        <v>93</v>
      </c>
    </row>
  </sheetData>
  <mergeCells count="3">
    <mergeCell ref="A6:D6"/>
    <mergeCell ref="A7:D7"/>
    <mergeCell ref="A13:A14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Q192"/>
  <sheetViews>
    <sheetView tabSelected="1" zoomScale="70" zoomScaleNormal="70" workbookViewId="0">
      <pane ySplit="1" topLeftCell="A2" activePane="bottomLeft" state="frozen"/>
      <selection activeCell="B1" sqref="B1"/>
      <selection pane="bottomLeft" activeCell="AC107" sqref="AC107"/>
    </sheetView>
  </sheetViews>
  <sheetFormatPr defaultColWidth="52.7109375" defaultRowHeight="20.100000000000001" customHeight="1" x14ac:dyDescent="0.25"/>
  <cols>
    <col min="1" max="1" width="32.42578125" style="33" customWidth="1"/>
    <col min="2" max="2" width="25.5703125" style="33" customWidth="1"/>
    <col min="3" max="3" width="40.42578125" style="33" customWidth="1"/>
    <col min="4" max="4" width="54" style="33" customWidth="1"/>
    <col min="5" max="5" width="32.85546875" style="34" customWidth="1"/>
    <col min="6" max="6" width="24.5703125" style="33" customWidth="1"/>
    <col min="7" max="7" width="49.140625" style="33" customWidth="1"/>
    <col min="8" max="8" width="28.7109375" style="33" customWidth="1"/>
    <col min="9" max="9" width="63.5703125" style="33" customWidth="1"/>
    <col min="10" max="10" width="31.28515625" style="33" customWidth="1"/>
    <col min="11" max="11" width="26.5703125" style="33" customWidth="1"/>
    <col min="12" max="12" width="28" style="33" customWidth="1"/>
    <col min="13" max="13" width="35" style="33" customWidth="1"/>
    <col min="14" max="14" width="31.85546875" style="33" customWidth="1"/>
    <col min="15" max="15" width="35" style="33" customWidth="1"/>
    <col min="16" max="16" width="49.42578125" style="33" customWidth="1"/>
    <col min="17" max="17" width="53.140625" style="33" customWidth="1"/>
    <col min="18" max="18" width="42.140625" style="33" customWidth="1"/>
    <col min="19" max="19" width="33.5703125" style="33" customWidth="1"/>
    <col min="20" max="20" width="38.42578125" style="33" customWidth="1"/>
    <col min="21" max="21" width="37.140625" style="35" customWidth="1"/>
    <col min="22" max="22" width="40.7109375" style="36" customWidth="1"/>
    <col min="23" max="23" width="40" style="36" customWidth="1"/>
    <col min="24" max="24" width="35.140625" style="33" customWidth="1"/>
    <col min="25" max="25" width="34.28515625" style="33" customWidth="1"/>
    <col min="26" max="26" width="41.42578125" style="33" customWidth="1"/>
    <col min="27" max="27" width="28.7109375" style="38" customWidth="1"/>
    <col min="28" max="28" width="29.5703125" style="38" customWidth="1"/>
    <col min="29" max="29" width="27.42578125" style="38" customWidth="1"/>
    <col min="30" max="30" width="30.140625" style="34" customWidth="1"/>
    <col min="31" max="31" width="30.85546875" style="36" customWidth="1"/>
    <col min="32" max="32" width="25" style="38" customWidth="1"/>
    <col min="33" max="33" width="30.28515625" style="33" customWidth="1"/>
    <col min="34" max="34" width="28.5703125" style="23" customWidth="1"/>
    <col min="35" max="35" width="29.28515625" style="38" customWidth="1"/>
    <col min="36" max="36" width="20.140625" style="38" customWidth="1"/>
    <col min="37" max="37" width="23.140625" style="38" customWidth="1"/>
    <col min="38" max="38" width="23.28515625" style="38" customWidth="1"/>
    <col min="39" max="39" width="25.85546875" style="38" customWidth="1"/>
    <col min="40" max="40" width="23.85546875" style="38" customWidth="1"/>
    <col min="41" max="41" width="24" style="38" customWidth="1"/>
    <col min="42" max="42" width="34" style="33" customWidth="1"/>
    <col min="43" max="43" width="52.7109375" style="34"/>
    <col min="44" max="16384" width="52.7109375" style="33"/>
  </cols>
  <sheetData>
    <row r="1" spans="1:43" s="56" customFormat="1" ht="39" customHeight="1" x14ac:dyDescent="0.25">
      <c r="A1" s="39" t="s">
        <v>26</v>
      </c>
      <c r="B1" s="39" t="s">
        <v>25</v>
      </c>
      <c r="C1" s="39" t="s">
        <v>61</v>
      </c>
      <c r="D1" s="39" t="s">
        <v>19</v>
      </c>
      <c r="E1" s="40" t="s">
        <v>5</v>
      </c>
      <c r="F1" s="39" t="s">
        <v>6</v>
      </c>
      <c r="G1" s="39" t="s">
        <v>18</v>
      </c>
      <c r="H1" s="41" t="s">
        <v>16</v>
      </c>
      <c r="I1" s="41" t="s">
        <v>44</v>
      </c>
      <c r="J1" s="41" t="s">
        <v>28</v>
      </c>
      <c r="K1" s="42" t="s">
        <v>41</v>
      </c>
      <c r="L1" s="42" t="s">
        <v>42</v>
      </c>
      <c r="M1" s="42" t="s">
        <v>43</v>
      </c>
      <c r="N1" s="41" t="s">
        <v>17</v>
      </c>
      <c r="O1" s="43" t="s">
        <v>33</v>
      </c>
      <c r="P1" s="43" t="s">
        <v>58</v>
      </c>
      <c r="Q1" s="43" t="s">
        <v>57</v>
      </c>
      <c r="R1" s="44" t="s">
        <v>45</v>
      </c>
      <c r="S1" s="44" t="s">
        <v>46</v>
      </c>
      <c r="T1" s="44" t="s">
        <v>47</v>
      </c>
      <c r="U1" s="45" t="s">
        <v>48</v>
      </c>
      <c r="V1" s="46" t="s">
        <v>49</v>
      </c>
      <c r="W1" s="46" t="s">
        <v>50</v>
      </c>
      <c r="X1" s="47" t="s">
        <v>14</v>
      </c>
      <c r="Y1" s="47" t="s">
        <v>51</v>
      </c>
      <c r="Z1" s="47" t="s">
        <v>15</v>
      </c>
      <c r="AA1" s="48" t="s">
        <v>7</v>
      </c>
      <c r="AB1" s="49" t="s">
        <v>8</v>
      </c>
      <c r="AC1" s="49" t="s">
        <v>52</v>
      </c>
      <c r="AD1" s="59" t="s">
        <v>53</v>
      </c>
      <c r="AE1" s="50" t="s">
        <v>56</v>
      </c>
      <c r="AF1" s="51" t="s">
        <v>9</v>
      </c>
      <c r="AG1" s="52" t="s">
        <v>10</v>
      </c>
      <c r="AH1" s="62" t="s">
        <v>54</v>
      </c>
      <c r="AI1" s="54" t="s">
        <v>55</v>
      </c>
      <c r="AJ1" s="53" t="s">
        <v>59</v>
      </c>
      <c r="AK1" s="54" t="s">
        <v>63</v>
      </c>
      <c r="AL1" s="53" t="s">
        <v>35</v>
      </c>
      <c r="AM1" s="54" t="s">
        <v>36</v>
      </c>
      <c r="AN1" s="53" t="s">
        <v>12</v>
      </c>
      <c r="AO1" s="54" t="s">
        <v>11</v>
      </c>
      <c r="AP1" s="41" t="s">
        <v>13</v>
      </c>
      <c r="AQ1" s="55" t="s">
        <v>62</v>
      </c>
    </row>
    <row r="2" spans="1:43" ht="20.100000000000001" customHeight="1" x14ac:dyDescent="0.25">
      <c r="A2" s="33" t="s">
        <v>65</v>
      </c>
      <c r="B2" s="33">
        <v>2018</v>
      </c>
      <c r="C2" s="33" t="s">
        <v>64</v>
      </c>
      <c r="D2" s="33" t="s">
        <v>69</v>
      </c>
      <c r="E2" s="33">
        <v>75621.824592582299</v>
      </c>
      <c r="F2" s="33" t="s">
        <v>20</v>
      </c>
      <c r="G2" s="33" t="s">
        <v>70</v>
      </c>
      <c r="H2" s="33" t="e" vm="1">
        <v>#VALUE!</v>
      </c>
      <c r="I2" s="33" t="s">
        <v>27</v>
      </c>
      <c r="J2" s="33" t="s">
        <v>20</v>
      </c>
      <c r="K2" s="33" t="s">
        <v>21</v>
      </c>
      <c r="L2" s="33" t="s">
        <v>21</v>
      </c>
      <c r="M2" s="33">
        <v>0</v>
      </c>
      <c r="N2" s="33">
        <v>5</v>
      </c>
      <c r="O2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2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2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2" s="33">
        <v>0</v>
      </c>
      <c r="S2" s="33">
        <v>0</v>
      </c>
      <c r="T2" s="33">
        <v>0</v>
      </c>
      <c r="U2" s="60">
        <v>150</v>
      </c>
      <c r="V2" s="60">
        <v>150</v>
      </c>
      <c r="W2" s="60">
        <v>150</v>
      </c>
      <c r="X2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" s="38">
        <v>0</v>
      </c>
      <c r="AB2" s="38">
        <v>0</v>
      </c>
      <c r="AC2" s="21">
        <v>0</v>
      </c>
      <c r="AD2" s="14">
        <v>481.88355163050898</v>
      </c>
      <c r="AE2" s="36" t="s">
        <v>60</v>
      </c>
      <c r="AF2" s="38">
        <v>0</v>
      </c>
      <c r="AG2" s="38">
        <v>0</v>
      </c>
      <c r="AH2" s="23">
        <f>IF(ISNUMBER(Tabella2[[#This Row],[Mean RADIAL stress  (MPa)]]), Tabella2[[#This Row],[Mean RADIAL stress  (MPa)]],"")</f>
        <v>0</v>
      </c>
      <c r="AI2" s="38">
        <f>IF(ISNUMBER(Tabella2[[#This Row],[Amplitute RADIAL stress  (MPa)]]), Tabella2[[#This Row],[Amplitute RADIAL stress  (MPa)]],"")</f>
        <v>0</v>
      </c>
      <c r="AJ2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" s="38">
        <f>IF(ISNUMBER(Tabella2[[#This Row],[Amplitute AXIAL stress  (MPa)]]),    IF(Tabella2[[#This Row],[derived from (AXIAL/BENDING) load]]="AXIAL",Tabella2[[#This Row],[Amplitute AXIAL stress  (MPa)]]*Tabella2[[#This Row],[Area (mm^2)]],"Null"), "")</f>
        <v>9461.7614105510311</v>
      </c>
      <c r="AL2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481.88355163050898</v>
      </c>
    </row>
    <row r="3" spans="1:43" ht="20.100000000000001" customHeight="1" x14ac:dyDescent="0.25">
      <c r="A3" s="33" t="s">
        <v>65</v>
      </c>
      <c r="B3" s="33">
        <v>2018</v>
      </c>
      <c r="C3" s="33" t="s">
        <v>64</v>
      </c>
      <c r="D3" s="33" t="s">
        <v>71</v>
      </c>
      <c r="E3" s="33">
        <v>138257.954633599</v>
      </c>
      <c r="F3" s="33" t="s">
        <v>20</v>
      </c>
      <c r="G3" s="33" t="s">
        <v>70</v>
      </c>
      <c r="H3" s="33" t="e" vm="1">
        <v>#VALUE!</v>
      </c>
      <c r="I3" s="33" t="s">
        <v>27</v>
      </c>
      <c r="J3" s="33" t="s">
        <v>20</v>
      </c>
      <c r="K3" s="33" t="s">
        <v>21</v>
      </c>
      <c r="L3" s="33" t="s">
        <v>21</v>
      </c>
      <c r="M3" s="33">
        <v>0</v>
      </c>
      <c r="N3" s="33">
        <v>5</v>
      </c>
      <c r="O3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3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3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3" s="33">
        <v>0</v>
      </c>
      <c r="S3" s="33">
        <v>0</v>
      </c>
      <c r="T3" s="33">
        <v>0</v>
      </c>
      <c r="U3" s="60">
        <v>150</v>
      </c>
      <c r="V3" s="60">
        <v>150</v>
      </c>
      <c r="W3" s="60">
        <v>150</v>
      </c>
      <c r="X3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" s="38">
        <v>0</v>
      </c>
      <c r="AB3" s="38">
        <v>0</v>
      </c>
      <c r="AC3" s="21">
        <v>0</v>
      </c>
      <c r="AD3" s="14">
        <v>421.52816054749201</v>
      </c>
      <c r="AE3" s="36" t="s">
        <v>60</v>
      </c>
      <c r="AF3" s="38">
        <v>0</v>
      </c>
      <c r="AG3" s="38">
        <v>0</v>
      </c>
      <c r="AH3" s="23">
        <f>IF(ISNUMBER(Tabella2[[#This Row],[Mean RADIAL stress  (MPa)]]), Tabella2[[#This Row],[Mean RADIAL stress  (MPa)]],"")</f>
        <v>0</v>
      </c>
      <c r="AI3" s="38">
        <f>IF(ISNUMBER(Tabella2[[#This Row],[Amplitute RADIAL stress  (MPa)]]), Tabella2[[#This Row],[Amplitute RADIAL stress  (MPa)]],"")</f>
        <v>0</v>
      </c>
      <c r="AJ3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8276.6860778576247</v>
      </c>
      <c r="AL3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421.52816054749201</v>
      </c>
    </row>
    <row r="4" spans="1:43" ht="20.100000000000001" customHeight="1" x14ac:dyDescent="0.25">
      <c r="A4" s="33" t="s">
        <v>65</v>
      </c>
      <c r="B4" s="33">
        <v>2018</v>
      </c>
      <c r="C4" s="33" t="s">
        <v>64</v>
      </c>
      <c r="D4" s="33" t="s">
        <v>72</v>
      </c>
      <c r="E4" s="33">
        <v>159701.09462093699</v>
      </c>
      <c r="F4" s="33" t="s">
        <v>20</v>
      </c>
      <c r="G4" s="33" t="s">
        <v>70</v>
      </c>
      <c r="H4" s="33" t="e" vm="1">
        <v>#VALUE!</v>
      </c>
      <c r="I4" s="33" t="s">
        <v>27</v>
      </c>
      <c r="J4" s="33" t="s">
        <v>20</v>
      </c>
      <c r="K4" s="33" t="s">
        <v>21</v>
      </c>
      <c r="L4" s="33" t="s">
        <v>21</v>
      </c>
      <c r="M4" s="33">
        <v>0</v>
      </c>
      <c r="N4" s="33">
        <v>5</v>
      </c>
      <c r="O4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4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4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4" s="33">
        <v>0</v>
      </c>
      <c r="S4" s="33">
        <v>0</v>
      </c>
      <c r="T4" s="33">
        <v>0</v>
      </c>
      <c r="U4" s="60">
        <v>150</v>
      </c>
      <c r="V4" s="60">
        <v>150</v>
      </c>
      <c r="W4" s="60">
        <v>150</v>
      </c>
      <c r="X4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" s="38">
        <v>0</v>
      </c>
      <c r="AB4" s="38">
        <v>0</v>
      </c>
      <c r="AC4" s="21">
        <v>0</v>
      </c>
      <c r="AD4" s="14">
        <v>451.62366557506101</v>
      </c>
      <c r="AE4" s="36" t="s">
        <v>60</v>
      </c>
      <c r="AF4" s="38">
        <v>0</v>
      </c>
      <c r="AG4" s="38">
        <v>0</v>
      </c>
      <c r="AH4" s="23">
        <f>IF(ISNUMBER(Tabella2[[#This Row],[Mean RADIAL stress  (MPa)]]), Tabella2[[#This Row],[Mean RADIAL stress  (MPa)]],"")</f>
        <v>0</v>
      </c>
      <c r="AI4" s="38">
        <f>IF(ISNUMBER(Tabella2[[#This Row],[Amplitute RADIAL stress  (MPa)]]), Tabella2[[#This Row],[Amplitute RADIAL stress  (MPa)]],"")</f>
        <v>0</v>
      </c>
      <c r="AJ4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8867.6099372369081</v>
      </c>
      <c r="AL4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451.62366557506101</v>
      </c>
    </row>
    <row r="5" spans="1:43" ht="20.100000000000001" customHeight="1" x14ac:dyDescent="0.25">
      <c r="A5" s="33" t="s">
        <v>65</v>
      </c>
      <c r="B5" s="33">
        <v>2018</v>
      </c>
      <c r="C5" s="33" t="s">
        <v>64</v>
      </c>
      <c r="D5" s="33" t="s">
        <v>73</v>
      </c>
      <c r="E5" s="33">
        <v>184793.617935077</v>
      </c>
      <c r="F5" s="33" t="s">
        <v>20</v>
      </c>
      <c r="G5" s="33" t="s">
        <v>70</v>
      </c>
      <c r="H5" s="33" t="e" vm="1">
        <v>#VALUE!</v>
      </c>
      <c r="I5" s="33" t="s">
        <v>27</v>
      </c>
      <c r="J5" s="33" t="s">
        <v>20</v>
      </c>
      <c r="K5" s="33" t="s">
        <v>21</v>
      </c>
      <c r="L5" s="33" t="s">
        <v>21</v>
      </c>
      <c r="M5" s="33">
        <v>0</v>
      </c>
      <c r="N5" s="33">
        <v>5</v>
      </c>
      <c r="O5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5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5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5" s="33">
        <v>0</v>
      </c>
      <c r="S5" s="33">
        <v>0</v>
      </c>
      <c r="T5" s="33">
        <v>0</v>
      </c>
      <c r="U5" s="60">
        <v>150</v>
      </c>
      <c r="V5" s="60">
        <v>150</v>
      </c>
      <c r="W5" s="60">
        <v>150</v>
      </c>
      <c r="X5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" s="38">
        <v>0</v>
      </c>
      <c r="AB5" s="38">
        <v>0</v>
      </c>
      <c r="AC5" s="21">
        <v>0</v>
      </c>
      <c r="AD5" s="14">
        <v>451.67293992397703</v>
      </c>
      <c r="AE5" s="36" t="s">
        <v>60</v>
      </c>
      <c r="AF5" s="38">
        <v>0</v>
      </c>
      <c r="AG5" s="38">
        <v>0</v>
      </c>
      <c r="AH5" s="23">
        <f>IF(ISNUMBER(Tabella2[[#This Row],[Mean RADIAL stress  (MPa)]]), Tabella2[[#This Row],[Mean RADIAL stress  (MPa)]],"")</f>
        <v>0</v>
      </c>
      <c r="AI5" s="38">
        <f>IF(ISNUMBER(Tabella2[[#This Row],[Amplitute RADIAL stress  (MPa)]]), Tabella2[[#This Row],[Amplitute RADIAL stress  (MPa)]],"")</f>
        <v>0</v>
      </c>
      <c r="AJ5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8868.5774368154398</v>
      </c>
      <c r="AL5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451.67293992397703</v>
      </c>
    </row>
    <row r="6" spans="1:43" ht="20.100000000000001" customHeight="1" x14ac:dyDescent="0.25">
      <c r="A6" s="33" t="s">
        <v>65</v>
      </c>
      <c r="B6" s="33">
        <v>2018</v>
      </c>
      <c r="C6" s="33" t="s">
        <v>64</v>
      </c>
      <c r="D6" s="33" t="s">
        <v>74</v>
      </c>
      <c r="E6" s="33">
        <v>197176.63296379699</v>
      </c>
      <c r="F6" s="33" t="s">
        <v>20</v>
      </c>
      <c r="G6" s="33" t="s">
        <v>70</v>
      </c>
      <c r="H6" s="33" t="e" vm="1">
        <v>#VALUE!</v>
      </c>
      <c r="I6" s="33" t="s">
        <v>27</v>
      </c>
      <c r="J6" s="33" t="s">
        <v>20</v>
      </c>
      <c r="K6" s="33" t="s">
        <v>21</v>
      </c>
      <c r="L6" s="33" t="s">
        <v>21</v>
      </c>
      <c r="M6" s="33">
        <v>0</v>
      </c>
      <c r="N6" s="33">
        <v>5</v>
      </c>
      <c r="O6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6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6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6" s="33">
        <v>0</v>
      </c>
      <c r="S6" s="33">
        <v>0</v>
      </c>
      <c r="T6" s="33">
        <v>0</v>
      </c>
      <c r="U6" s="60">
        <v>150</v>
      </c>
      <c r="V6" s="60">
        <v>150</v>
      </c>
      <c r="W6" s="60">
        <v>150</v>
      </c>
      <c r="X6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" s="38">
        <v>0</v>
      </c>
      <c r="AB6" s="38">
        <v>0</v>
      </c>
      <c r="AC6" s="21">
        <v>0</v>
      </c>
      <c r="AD6" s="14">
        <v>451.69484136022498</v>
      </c>
      <c r="AE6" s="36" t="s">
        <v>60</v>
      </c>
      <c r="AF6" s="38">
        <v>0</v>
      </c>
      <c r="AG6" s="38">
        <v>0</v>
      </c>
      <c r="AH6" s="23">
        <f>IF(ISNUMBER(Tabella2[[#This Row],[Mean RADIAL stress  (MPa)]]), Tabella2[[#This Row],[Mean RADIAL stress  (MPa)]],"")</f>
        <v>0</v>
      </c>
      <c r="AI6" s="38">
        <f>IF(ISNUMBER(Tabella2[[#This Row],[Amplitute RADIAL stress  (MPa)]]), Tabella2[[#This Row],[Amplitute RADIAL stress  (MPa)]],"")</f>
        <v>0</v>
      </c>
      <c r="AJ6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8869.0074705105617</v>
      </c>
      <c r="AL6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6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451.69484136022498</v>
      </c>
    </row>
    <row r="7" spans="1:43" ht="20.100000000000001" customHeight="1" x14ac:dyDescent="0.25">
      <c r="A7" s="33" t="s">
        <v>65</v>
      </c>
      <c r="B7" s="33">
        <v>2018</v>
      </c>
      <c r="C7" s="33" t="s">
        <v>64</v>
      </c>
      <c r="D7" s="33" t="s">
        <v>75</v>
      </c>
      <c r="E7" s="33">
        <v>228157.38028673301</v>
      </c>
      <c r="F7" s="33" t="s">
        <v>20</v>
      </c>
      <c r="G7" s="33" t="s">
        <v>70</v>
      </c>
      <c r="H7" s="33" t="e" vm="1">
        <v>#VALUE!</v>
      </c>
      <c r="I7" s="33" t="s">
        <v>27</v>
      </c>
      <c r="J7" s="33" t="s">
        <v>20</v>
      </c>
      <c r="K7" s="33" t="s">
        <v>21</v>
      </c>
      <c r="L7" s="33" t="s">
        <v>21</v>
      </c>
      <c r="M7" s="33">
        <v>0</v>
      </c>
      <c r="N7" s="33">
        <v>5</v>
      </c>
      <c r="O7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7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7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7" s="33">
        <v>0</v>
      </c>
      <c r="S7" s="33">
        <v>0</v>
      </c>
      <c r="T7" s="33">
        <v>0</v>
      </c>
      <c r="U7" s="60">
        <v>150</v>
      </c>
      <c r="V7" s="60">
        <v>150</v>
      </c>
      <c r="W7" s="60">
        <v>150</v>
      </c>
      <c r="X7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7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7" s="38">
        <v>0</v>
      </c>
      <c r="AB7" s="38">
        <v>0</v>
      </c>
      <c r="AC7" s="21">
        <v>0</v>
      </c>
      <c r="AD7" s="14">
        <v>451.74412347476698</v>
      </c>
      <c r="AE7" s="36" t="s">
        <v>60</v>
      </c>
      <c r="AF7" s="38">
        <v>0</v>
      </c>
      <c r="AG7" s="38">
        <v>0</v>
      </c>
      <c r="AH7" s="23">
        <f>IF(ISNUMBER(Tabella2[[#This Row],[Mean RADIAL stress  (MPa)]]), Tabella2[[#This Row],[Mean RADIAL stress  (MPa)]],"")</f>
        <v>0</v>
      </c>
      <c r="AI7" s="38">
        <f>IF(ISNUMBER(Tabella2[[#This Row],[Amplitute RADIAL stress  (MPa)]]), Tabella2[[#This Row],[Amplitute RADIAL stress  (MPa)]],"")</f>
        <v>0</v>
      </c>
      <c r="AJ7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8869.9751225668024</v>
      </c>
      <c r="AL7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7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7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451.74412347476698</v>
      </c>
    </row>
    <row r="8" spans="1:43" ht="20.100000000000001" customHeight="1" x14ac:dyDescent="0.25">
      <c r="A8" s="33" t="s">
        <v>65</v>
      </c>
      <c r="B8" s="33">
        <v>2018</v>
      </c>
      <c r="C8" s="33" t="s">
        <v>64</v>
      </c>
      <c r="D8" s="33" t="s">
        <v>76</v>
      </c>
      <c r="E8" s="33">
        <v>258114.09915933901</v>
      </c>
      <c r="F8" s="33" t="s">
        <v>20</v>
      </c>
      <c r="G8" s="33" t="s">
        <v>70</v>
      </c>
      <c r="H8" s="33" t="e" vm="1">
        <v>#VALUE!</v>
      </c>
      <c r="I8" s="33" t="s">
        <v>27</v>
      </c>
      <c r="J8" s="33" t="s">
        <v>20</v>
      </c>
      <c r="K8" s="33" t="s">
        <v>21</v>
      </c>
      <c r="L8" s="33" t="s">
        <v>21</v>
      </c>
      <c r="M8" s="33">
        <v>0</v>
      </c>
      <c r="N8" s="33">
        <v>5</v>
      </c>
      <c r="O8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8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8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8" s="33">
        <v>0</v>
      </c>
      <c r="S8" s="33">
        <v>0</v>
      </c>
      <c r="T8" s="33">
        <v>0</v>
      </c>
      <c r="U8" s="60">
        <v>150</v>
      </c>
      <c r="V8" s="60">
        <v>150</v>
      </c>
      <c r="W8" s="60">
        <v>150</v>
      </c>
      <c r="X8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8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8" s="38">
        <v>0</v>
      </c>
      <c r="AB8" s="38">
        <v>0</v>
      </c>
      <c r="AC8" s="21">
        <v>0</v>
      </c>
      <c r="AD8" s="14">
        <v>421.72493407561802</v>
      </c>
      <c r="AE8" s="36" t="s">
        <v>60</v>
      </c>
      <c r="AF8" s="38">
        <v>0</v>
      </c>
      <c r="AG8" s="38">
        <v>0</v>
      </c>
      <c r="AH8" s="23">
        <f>IF(ISNUMBER(Tabella2[[#This Row],[Mean RADIAL stress  (MPa)]]), Tabella2[[#This Row],[Mean RADIAL stress  (MPa)]],"")</f>
        <v>0</v>
      </c>
      <c r="AI8" s="38">
        <f>IF(ISNUMBER(Tabella2[[#This Row],[Amplitute RADIAL stress  (MPa)]]), Tabella2[[#This Row],[Amplitute RADIAL stress  (MPa)]],"")</f>
        <v>0</v>
      </c>
      <c r="AJ8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8280.5497170475082</v>
      </c>
      <c r="AL8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8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8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421.72493407561802</v>
      </c>
    </row>
    <row r="9" spans="1:43" ht="20.100000000000001" customHeight="1" x14ac:dyDescent="0.25">
      <c r="A9" s="33" t="s">
        <v>65</v>
      </c>
      <c r="B9" s="33">
        <v>2018</v>
      </c>
      <c r="C9" s="33" t="s">
        <v>64</v>
      </c>
      <c r="D9" s="33" t="s">
        <v>77</v>
      </c>
      <c r="E9" s="33">
        <v>345627.22485078598</v>
      </c>
      <c r="F9" s="33" t="s">
        <v>20</v>
      </c>
      <c r="G9" s="33" t="s">
        <v>70</v>
      </c>
      <c r="H9" s="33" t="e" vm="1">
        <v>#VALUE!</v>
      </c>
      <c r="I9" s="33" t="s">
        <v>27</v>
      </c>
      <c r="J9" s="33" t="s">
        <v>20</v>
      </c>
      <c r="K9" s="33" t="s">
        <v>21</v>
      </c>
      <c r="L9" s="33" t="s">
        <v>21</v>
      </c>
      <c r="M9" s="33">
        <v>0</v>
      </c>
      <c r="N9" s="33">
        <v>5</v>
      </c>
      <c r="O9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9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9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9" s="33">
        <v>0</v>
      </c>
      <c r="S9" s="33">
        <v>0</v>
      </c>
      <c r="T9" s="33">
        <v>0</v>
      </c>
      <c r="U9" s="60">
        <v>150</v>
      </c>
      <c r="V9" s="60">
        <v>150</v>
      </c>
      <c r="W9" s="60">
        <v>150</v>
      </c>
      <c r="X9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9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9" s="38">
        <v>0</v>
      </c>
      <c r="AB9" s="38">
        <v>0</v>
      </c>
      <c r="AC9" s="21">
        <v>0</v>
      </c>
      <c r="AD9" s="14">
        <v>420.36728064972903</v>
      </c>
      <c r="AE9" s="36" t="s">
        <v>60</v>
      </c>
      <c r="AF9" s="38">
        <v>0</v>
      </c>
      <c r="AG9" s="38">
        <v>0</v>
      </c>
      <c r="AH9" s="23">
        <f>IF(ISNUMBER(Tabella2[[#This Row],[Mean RADIAL stress  (MPa)]]), Tabella2[[#This Row],[Mean RADIAL stress  (MPa)]],"")</f>
        <v>0</v>
      </c>
      <c r="AI9" s="38">
        <f>IF(ISNUMBER(Tabella2[[#This Row],[Amplitute RADIAL stress  (MPa)]]), Tabella2[[#This Row],[Amplitute RADIAL stress  (MPa)]],"")</f>
        <v>0</v>
      </c>
      <c r="AJ9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8253.8922543669214</v>
      </c>
      <c r="AL9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9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9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420.36728064972903</v>
      </c>
    </row>
    <row r="10" spans="1:43" ht="20.100000000000001" customHeight="1" x14ac:dyDescent="0.25">
      <c r="A10" s="33" t="s">
        <v>65</v>
      </c>
      <c r="B10" s="33">
        <v>2018</v>
      </c>
      <c r="C10" s="33" t="s">
        <v>64</v>
      </c>
      <c r="D10" s="33" t="s">
        <v>78</v>
      </c>
      <c r="E10" s="33">
        <v>401179.14207474398</v>
      </c>
      <c r="F10" s="33" t="s">
        <v>20</v>
      </c>
      <c r="G10" s="33" t="s">
        <v>70</v>
      </c>
      <c r="H10" s="33" t="e" vm="1">
        <v>#VALUE!</v>
      </c>
      <c r="I10" s="33" t="s">
        <v>27</v>
      </c>
      <c r="J10" s="33" t="s">
        <v>20</v>
      </c>
      <c r="K10" s="33" t="s">
        <v>21</v>
      </c>
      <c r="L10" s="33" t="s">
        <v>21</v>
      </c>
      <c r="M10" s="33">
        <v>0</v>
      </c>
      <c r="N10" s="33">
        <v>5</v>
      </c>
      <c r="O10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0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0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0" s="33">
        <v>0</v>
      </c>
      <c r="S10" s="33">
        <v>0</v>
      </c>
      <c r="T10" s="33">
        <v>0</v>
      </c>
      <c r="U10" s="60">
        <v>150</v>
      </c>
      <c r="V10" s="60">
        <v>150</v>
      </c>
      <c r="W10" s="60">
        <v>150</v>
      </c>
      <c r="X10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0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0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0" s="38">
        <v>0</v>
      </c>
      <c r="AB10" s="38">
        <v>0</v>
      </c>
      <c r="AC10" s="21">
        <v>0</v>
      </c>
      <c r="AD10" s="14">
        <v>372.04799101680197</v>
      </c>
      <c r="AE10" s="36" t="s">
        <v>60</v>
      </c>
      <c r="AF10" s="38">
        <v>0</v>
      </c>
      <c r="AG10" s="38">
        <v>0</v>
      </c>
      <c r="AH10" s="23">
        <f>IF(ISNUMBER(Tabella2[[#This Row],[Mean RADIAL stress  (MPa)]]), Tabella2[[#This Row],[Mean RADIAL stress  (MPa)]],"")</f>
        <v>0</v>
      </c>
      <c r="AI10" s="38">
        <f>IF(ISNUMBER(Tabella2[[#This Row],[Amplitute RADIAL stress  (MPa)]]), Tabella2[[#This Row],[Amplitute RADIAL stress  (MPa)]],"")</f>
        <v>0</v>
      </c>
      <c r="AJ10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0" s="38">
        <f>IF(ISNUMBER(Tabella2[[#This Row],[Amplitute AXIAL stress  (MPa)]]),    IF(Tabella2[[#This Row],[derived from (AXIAL/BENDING) load]]="AXIAL",Tabella2[[#This Row],[Amplitute AXIAL stress  (MPa)]]*Tabella2[[#This Row],[Area (mm^2)]],"Null"), "")</f>
        <v>7305.1452210076659</v>
      </c>
      <c r="AL10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0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0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0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0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0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372.04799101680197</v>
      </c>
    </row>
    <row r="11" spans="1:43" ht="20.100000000000001" customHeight="1" x14ac:dyDescent="0.25">
      <c r="A11" s="33" t="s">
        <v>65</v>
      </c>
      <c r="B11" s="33">
        <v>2018</v>
      </c>
      <c r="C11" s="33" t="s">
        <v>64</v>
      </c>
      <c r="D11" s="33" t="s">
        <v>79</v>
      </c>
      <c r="E11" s="33">
        <v>527793.89347280504</v>
      </c>
      <c r="F11" s="33" t="s">
        <v>20</v>
      </c>
      <c r="G11" s="33" t="s">
        <v>70</v>
      </c>
      <c r="H11" s="33" t="e" vm="1">
        <v>#VALUE!</v>
      </c>
      <c r="I11" s="33" t="s">
        <v>27</v>
      </c>
      <c r="J11" s="33" t="s">
        <v>20</v>
      </c>
      <c r="K11" s="33" t="s">
        <v>21</v>
      </c>
      <c r="L11" s="33" t="s">
        <v>21</v>
      </c>
      <c r="M11" s="33">
        <v>0</v>
      </c>
      <c r="N11" s="33">
        <v>5</v>
      </c>
      <c r="O11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1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1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1" s="33">
        <v>0</v>
      </c>
      <c r="S11" s="33">
        <v>0</v>
      </c>
      <c r="T11" s="33">
        <v>0</v>
      </c>
      <c r="U11" s="60">
        <v>150</v>
      </c>
      <c r="V11" s="60">
        <v>150</v>
      </c>
      <c r="W11" s="60">
        <v>150</v>
      </c>
      <c r="X11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1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1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1" s="38">
        <v>0</v>
      </c>
      <c r="AB11" s="38">
        <v>0</v>
      </c>
      <c r="AC11" s="21">
        <v>0</v>
      </c>
      <c r="AD11" s="14">
        <v>392.521153995193</v>
      </c>
      <c r="AE11" s="36" t="s">
        <v>60</v>
      </c>
      <c r="AF11" s="38">
        <v>0</v>
      </c>
      <c r="AG11" s="38">
        <v>0</v>
      </c>
      <c r="AH11" s="23">
        <f>IF(ISNUMBER(Tabella2[[#This Row],[Mean RADIAL stress  (MPa)]]), Tabella2[[#This Row],[Mean RADIAL stress  (MPa)]],"")</f>
        <v>0</v>
      </c>
      <c r="AI11" s="38">
        <f>IF(ISNUMBER(Tabella2[[#This Row],[Amplitute RADIAL stress  (MPa)]]), Tabella2[[#This Row],[Amplitute RADIAL stress  (MPa)]],"")</f>
        <v>0</v>
      </c>
      <c r="AJ11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1" s="38">
        <f>IF(ISNUMBER(Tabella2[[#This Row],[Amplitute AXIAL stress  (MPa)]]),    IF(Tabella2[[#This Row],[derived from (AXIAL/BENDING) load]]="AXIAL",Tabella2[[#This Row],[Amplitute AXIAL stress  (MPa)]]*Tabella2[[#This Row],[Area (mm^2)]],"Null"), "")</f>
        <v>7707.1348360617894</v>
      </c>
      <c r="AL11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1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1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1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1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1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392.521153995193</v>
      </c>
    </row>
    <row r="12" spans="1:43" ht="20.100000000000001" customHeight="1" x14ac:dyDescent="0.25">
      <c r="A12" s="33" t="s">
        <v>65</v>
      </c>
      <c r="B12" s="33">
        <v>2018</v>
      </c>
      <c r="C12" s="33" t="s">
        <v>64</v>
      </c>
      <c r="D12" s="33" t="s">
        <v>80</v>
      </c>
      <c r="E12" s="33">
        <v>478318.07501176599</v>
      </c>
      <c r="F12" s="33" t="s">
        <v>20</v>
      </c>
      <c r="G12" s="33" t="s">
        <v>70</v>
      </c>
      <c r="H12" s="33" t="e" vm="1">
        <v>#VALUE!</v>
      </c>
      <c r="I12" s="33" t="s">
        <v>27</v>
      </c>
      <c r="J12" s="33" t="s">
        <v>20</v>
      </c>
      <c r="K12" s="33" t="s">
        <v>21</v>
      </c>
      <c r="L12" s="33" t="s">
        <v>21</v>
      </c>
      <c r="M12" s="33">
        <v>0</v>
      </c>
      <c r="N12" s="33">
        <v>5</v>
      </c>
      <c r="O12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2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2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2" s="33">
        <v>0</v>
      </c>
      <c r="S12" s="33">
        <v>0</v>
      </c>
      <c r="T12" s="33">
        <v>0</v>
      </c>
      <c r="U12" s="60">
        <v>150</v>
      </c>
      <c r="V12" s="60">
        <v>150</v>
      </c>
      <c r="W12" s="60">
        <v>150</v>
      </c>
      <c r="X12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2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2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2" s="38">
        <v>0</v>
      </c>
      <c r="AB12" s="38">
        <v>0</v>
      </c>
      <c r="AC12" s="21">
        <v>0</v>
      </c>
      <c r="AD12" s="14">
        <v>410.45754724606701</v>
      </c>
      <c r="AE12" s="36" t="s">
        <v>60</v>
      </c>
      <c r="AF12" s="38">
        <v>0</v>
      </c>
      <c r="AG12" s="38">
        <v>0</v>
      </c>
      <c r="AH12" s="23">
        <f>IF(ISNUMBER(Tabella2[[#This Row],[Mean RADIAL stress  (MPa)]]), Tabella2[[#This Row],[Mean RADIAL stress  (MPa)]],"")</f>
        <v>0</v>
      </c>
      <c r="AI12" s="38">
        <f>IF(ISNUMBER(Tabella2[[#This Row],[Amplitute RADIAL stress  (MPa)]]), Tabella2[[#This Row],[Amplitute RADIAL stress  (MPa)]],"")</f>
        <v>0</v>
      </c>
      <c r="AJ12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2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8059.3150939920597</v>
      </c>
      <c r="AL12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2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2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2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2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2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410.45754724606701</v>
      </c>
    </row>
    <row r="13" spans="1:43" ht="20.100000000000001" customHeight="1" x14ac:dyDescent="0.25">
      <c r="A13" s="33" t="s">
        <v>65</v>
      </c>
      <c r="B13" s="33">
        <v>2018</v>
      </c>
      <c r="C13" s="33" t="s">
        <v>64</v>
      </c>
      <c r="D13" s="33" t="s">
        <v>81</v>
      </c>
      <c r="E13" s="33">
        <v>645987.919165603</v>
      </c>
      <c r="F13" s="33" t="s">
        <v>20</v>
      </c>
      <c r="G13" s="33" t="s">
        <v>70</v>
      </c>
      <c r="H13" s="33" t="e" vm="1">
        <v>#VALUE!</v>
      </c>
      <c r="I13" s="33" t="s">
        <v>27</v>
      </c>
      <c r="J13" s="33" t="s">
        <v>20</v>
      </c>
      <c r="K13" s="33" t="s">
        <v>21</v>
      </c>
      <c r="L13" s="33" t="s">
        <v>21</v>
      </c>
      <c r="M13" s="33">
        <v>0</v>
      </c>
      <c r="N13" s="33">
        <v>5</v>
      </c>
      <c r="O13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3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3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3" s="33">
        <v>0</v>
      </c>
      <c r="S13" s="33">
        <v>0</v>
      </c>
      <c r="T13" s="33">
        <v>0</v>
      </c>
      <c r="U13" s="60">
        <v>150</v>
      </c>
      <c r="V13" s="60">
        <v>150</v>
      </c>
      <c r="W13" s="60">
        <v>150</v>
      </c>
      <c r="X13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3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3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3" s="38">
        <v>0</v>
      </c>
      <c r="AB13" s="38">
        <v>0</v>
      </c>
      <c r="AC13" s="21">
        <v>0</v>
      </c>
      <c r="AD13" s="14">
        <v>402.15625221348802</v>
      </c>
      <c r="AE13" s="36" t="s">
        <v>60</v>
      </c>
      <c r="AF13" s="38">
        <v>0</v>
      </c>
      <c r="AG13" s="38">
        <v>0</v>
      </c>
      <c r="AH13" s="23">
        <f>IF(ISNUMBER(Tabella2[[#This Row],[Mean RADIAL stress  (MPa)]]), Tabella2[[#This Row],[Mean RADIAL stress  (MPa)]],"")</f>
        <v>0</v>
      </c>
      <c r="AI13" s="38">
        <f>IF(ISNUMBER(Tabella2[[#This Row],[Amplitute RADIAL stress  (MPa)]]), Tabella2[[#This Row],[Amplitute RADIAL stress  (MPa)]],"")</f>
        <v>0</v>
      </c>
      <c r="AJ13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3" s="38">
        <f>IF(ISNUMBER(Tabella2[[#This Row],[Amplitute AXIAL stress  (MPa)]]),    IF(Tabella2[[#This Row],[derived from (AXIAL/BENDING) load]]="AXIAL",Tabella2[[#This Row],[Amplitute AXIAL stress  (MPa)]]*Tabella2[[#This Row],[Area (mm^2)]],"Null"), "")</f>
        <v>7896.3195471818626</v>
      </c>
      <c r="AL13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3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3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3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3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3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402.15625221348802</v>
      </c>
    </row>
    <row r="14" spans="1:43" ht="20.100000000000001" customHeight="1" x14ac:dyDescent="0.25">
      <c r="A14" s="33" t="s">
        <v>65</v>
      </c>
      <c r="B14" s="33">
        <v>2018</v>
      </c>
      <c r="C14" s="33" t="s">
        <v>64</v>
      </c>
      <c r="D14" s="33" t="s">
        <v>82</v>
      </c>
      <c r="E14" s="33">
        <v>1025519.29114769</v>
      </c>
      <c r="F14" s="33" t="s">
        <v>20</v>
      </c>
      <c r="G14" s="33" t="s">
        <v>70</v>
      </c>
      <c r="H14" s="33" t="e" vm="1">
        <v>#VALUE!</v>
      </c>
      <c r="I14" s="33" t="s">
        <v>27</v>
      </c>
      <c r="J14" s="33" t="s">
        <v>20</v>
      </c>
      <c r="K14" s="33" t="s">
        <v>21</v>
      </c>
      <c r="L14" s="33" t="s">
        <v>21</v>
      </c>
      <c r="M14" s="33">
        <v>0</v>
      </c>
      <c r="N14" s="33">
        <v>5</v>
      </c>
      <c r="O14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4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4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4" s="33">
        <v>0</v>
      </c>
      <c r="S14" s="33">
        <v>0</v>
      </c>
      <c r="T14" s="33">
        <v>0</v>
      </c>
      <c r="U14" s="60">
        <v>150</v>
      </c>
      <c r="V14" s="60">
        <v>150</v>
      </c>
      <c r="W14" s="60">
        <v>150</v>
      </c>
      <c r="X14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4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4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4" s="38">
        <v>0</v>
      </c>
      <c r="AB14" s="38">
        <v>0</v>
      </c>
      <c r="AC14" s="21">
        <v>0</v>
      </c>
      <c r="AD14" s="14">
        <v>401.603322460649</v>
      </c>
      <c r="AE14" s="36" t="s">
        <v>60</v>
      </c>
      <c r="AF14" s="38">
        <v>0</v>
      </c>
      <c r="AG14" s="38">
        <v>0</v>
      </c>
      <c r="AH14" s="23">
        <f>IF(ISNUMBER(Tabella2[[#This Row],[Mean RADIAL stress  (MPa)]]), Tabella2[[#This Row],[Mean RADIAL stress  (MPa)]],"")</f>
        <v>0</v>
      </c>
      <c r="AI14" s="38">
        <f>IF(ISNUMBER(Tabella2[[#This Row],[Amplitute RADIAL stress  (MPa)]]), Tabella2[[#This Row],[Amplitute RADIAL stress  (MPa)]],"")</f>
        <v>0</v>
      </c>
      <c r="AJ14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4" s="38">
        <f>IF(ISNUMBER(Tabella2[[#This Row],[Amplitute AXIAL stress  (MPa)]]),    IF(Tabella2[[#This Row],[derived from (AXIAL/BENDING) load]]="AXIAL",Tabella2[[#This Row],[Amplitute AXIAL stress  (MPa)]]*Tabella2[[#This Row],[Area (mm^2)]],"Null"), "")</f>
        <v>7885.4627968726727</v>
      </c>
      <c r="AL14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4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4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4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4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4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401.603322460649</v>
      </c>
    </row>
    <row r="15" spans="1:43" ht="20.100000000000001" customHeight="1" x14ac:dyDescent="0.25">
      <c r="A15" s="33" t="s">
        <v>65</v>
      </c>
      <c r="B15" s="33">
        <v>2018</v>
      </c>
      <c r="C15" s="33" t="s">
        <v>64</v>
      </c>
      <c r="D15" s="33" t="s">
        <v>83</v>
      </c>
      <c r="E15" s="33">
        <v>901940.44295126095</v>
      </c>
      <c r="F15" s="33" t="s">
        <v>20</v>
      </c>
      <c r="G15" s="33" t="s">
        <v>70</v>
      </c>
      <c r="H15" s="33" t="e" vm="1">
        <v>#VALUE!</v>
      </c>
      <c r="I15" s="33" t="s">
        <v>27</v>
      </c>
      <c r="J15" s="33" t="s">
        <v>20</v>
      </c>
      <c r="K15" s="33" t="s">
        <v>21</v>
      </c>
      <c r="L15" s="33" t="s">
        <v>21</v>
      </c>
      <c r="M15" s="33">
        <v>0</v>
      </c>
      <c r="N15" s="33">
        <v>5</v>
      </c>
      <c r="O15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5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5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5" s="33">
        <v>0</v>
      </c>
      <c r="S15" s="33">
        <v>0</v>
      </c>
      <c r="T15" s="33">
        <v>0</v>
      </c>
      <c r="U15" s="60">
        <v>150</v>
      </c>
      <c r="V15" s="60">
        <v>150</v>
      </c>
      <c r="W15" s="60">
        <v>150</v>
      </c>
      <c r="X15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5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5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5" s="38">
        <v>0</v>
      </c>
      <c r="AB15" s="38">
        <v>0</v>
      </c>
      <c r="AC15" s="21">
        <v>0</v>
      </c>
      <c r="AD15" s="14">
        <v>381.35385670645502</v>
      </c>
      <c r="AE15" s="36" t="s">
        <v>60</v>
      </c>
      <c r="AF15" s="38">
        <v>0</v>
      </c>
      <c r="AG15" s="38">
        <v>0</v>
      </c>
      <c r="AH15" s="23">
        <f>IF(ISNUMBER(Tabella2[[#This Row],[Mean RADIAL stress  (MPa)]]), Tabella2[[#This Row],[Mean RADIAL stress  (MPa)]],"")</f>
        <v>0</v>
      </c>
      <c r="AI15" s="38">
        <f>IF(ISNUMBER(Tabella2[[#This Row],[Amplitute RADIAL stress  (MPa)]]), Tabella2[[#This Row],[Amplitute RADIAL stress  (MPa)]],"")</f>
        <v>0</v>
      </c>
      <c r="AJ15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5" s="38">
        <f>IF(ISNUMBER(Tabella2[[#This Row],[Amplitute AXIAL stress  (MPa)]]),    IF(Tabella2[[#This Row],[derived from (AXIAL/BENDING) load]]="AXIAL",Tabella2[[#This Row],[Amplitute AXIAL stress  (MPa)]]*Tabella2[[#This Row],[Area (mm^2)]],"Null"), "")</f>
        <v>7487.8654665445865</v>
      </c>
      <c r="AL15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5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5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5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5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5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381.35385670645502</v>
      </c>
    </row>
    <row r="16" spans="1:43" ht="20.100000000000001" customHeight="1" x14ac:dyDescent="0.25">
      <c r="A16" s="33" t="s">
        <v>65</v>
      </c>
      <c r="B16" s="33">
        <v>2018</v>
      </c>
      <c r="C16" s="33" t="s">
        <v>64</v>
      </c>
      <c r="D16" s="33" t="s">
        <v>84</v>
      </c>
      <c r="E16" s="33">
        <v>1576842.7796910999</v>
      </c>
      <c r="F16" s="33" t="s">
        <v>20</v>
      </c>
      <c r="G16" s="33" t="s">
        <v>70</v>
      </c>
      <c r="H16" s="33" t="e" vm="1">
        <v>#VALUE!</v>
      </c>
      <c r="I16" s="33" t="s">
        <v>27</v>
      </c>
      <c r="J16" s="33" t="s">
        <v>20</v>
      </c>
      <c r="K16" s="33" t="s">
        <v>21</v>
      </c>
      <c r="L16" s="33" t="s">
        <v>21</v>
      </c>
      <c r="M16" s="33">
        <v>0</v>
      </c>
      <c r="N16" s="33">
        <v>5</v>
      </c>
      <c r="O16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6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6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6" s="33">
        <v>0</v>
      </c>
      <c r="S16" s="33">
        <v>0</v>
      </c>
      <c r="T16" s="33">
        <v>0</v>
      </c>
      <c r="U16" s="60">
        <v>150</v>
      </c>
      <c r="V16" s="60">
        <v>150</v>
      </c>
      <c r="W16" s="60">
        <v>150</v>
      </c>
      <c r="X16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6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6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6" s="38">
        <v>0</v>
      </c>
      <c r="AB16" s="38">
        <v>0</v>
      </c>
      <c r="AC16" s="21">
        <v>0</v>
      </c>
      <c r="AD16" s="14">
        <v>393.51926001945901</v>
      </c>
      <c r="AE16" s="36" t="s">
        <v>60</v>
      </c>
      <c r="AF16" s="38">
        <v>0</v>
      </c>
      <c r="AG16" s="38">
        <v>0</v>
      </c>
      <c r="AH16" s="23">
        <f>IF(ISNUMBER(Tabella2[[#This Row],[Mean RADIAL stress  (MPa)]]), Tabella2[[#This Row],[Mean RADIAL stress  (MPa)]],"")</f>
        <v>0</v>
      </c>
      <c r="AI16" s="38">
        <f>IF(ISNUMBER(Tabella2[[#This Row],[Amplitute RADIAL stress  (MPa)]]), Tabella2[[#This Row],[Amplitute RADIAL stress  (MPa)]],"")</f>
        <v>0</v>
      </c>
      <c r="AJ16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6" s="38">
        <f>IF(ISNUMBER(Tabella2[[#This Row],[Amplitute AXIAL stress  (MPa)]]),    IF(Tabella2[[#This Row],[derived from (AXIAL/BENDING) load]]="AXIAL",Tabella2[[#This Row],[Amplitute AXIAL stress  (MPa)]]*Tabella2[[#This Row],[Area (mm^2)]],"Null"), "")</f>
        <v>7726.7326020201508</v>
      </c>
      <c r="AL16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6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6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6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6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6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393.51926001945901</v>
      </c>
    </row>
    <row r="17" spans="1:43" ht="20.100000000000001" customHeight="1" x14ac:dyDescent="0.25">
      <c r="A17" s="33" t="s">
        <v>65</v>
      </c>
      <c r="B17" s="33">
        <v>2018</v>
      </c>
      <c r="C17" s="33" t="s">
        <v>64</v>
      </c>
      <c r="D17" s="33" t="s">
        <v>85</v>
      </c>
      <c r="E17" s="33">
        <v>2629781.5962850498</v>
      </c>
      <c r="F17" s="33" t="s">
        <v>20</v>
      </c>
      <c r="G17" s="33" t="s">
        <v>70</v>
      </c>
      <c r="H17" s="33" t="e" vm="1">
        <v>#VALUE!</v>
      </c>
      <c r="I17" s="33" t="s">
        <v>27</v>
      </c>
      <c r="J17" s="33" t="s">
        <v>20</v>
      </c>
      <c r="K17" s="33" t="s">
        <v>21</v>
      </c>
      <c r="L17" s="33" t="s">
        <v>21</v>
      </c>
      <c r="M17" s="33">
        <v>0</v>
      </c>
      <c r="N17" s="33">
        <v>5</v>
      </c>
      <c r="O17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7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7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7" s="33">
        <v>0</v>
      </c>
      <c r="S17" s="33">
        <v>0</v>
      </c>
      <c r="T17" s="33">
        <v>0</v>
      </c>
      <c r="U17" s="60">
        <v>150</v>
      </c>
      <c r="V17" s="60">
        <v>150</v>
      </c>
      <c r="W17" s="60">
        <v>150</v>
      </c>
      <c r="X17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7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7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7" s="38">
        <v>0</v>
      </c>
      <c r="AB17" s="38">
        <v>0</v>
      </c>
      <c r="AC17" s="21">
        <v>0</v>
      </c>
      <c r="AD17" s="14">
        <v>382.97527778420698</v>
      </c>
      <c r="AE17" s="36" t="s">
        <v>60</v>
      </c>
      <c r="AF17" s="38">
        <v>0</v>
      </c>
      <c r="AG17" s="38">
        <v>0</v>
      </c>
      <c r="AH17" s="23">
        <f>IF(ISNUMBER(Tabella2[[#This Row],[Mean RADIAL stress  (MPa)]]), Tabella2[[#This Row],[Mean RADIAL stress  (MPa)]],"")</f>
        <v>0</v>
      </c>
      <c r="AI17" s="38">
        <f>IF(ISNUMBER(Tabella2[[#This Row],[Amplitute RADIAL stress  (MPa)]]), Tabella2[[#This Row],[Amplitute RADIAL stress  (MPa)]],"")</f>
        <v>0</v>
      </c>
      <c r="AJ17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7" s="38">
        <f>IF(ISNUMBER(Tabella2[[#This Row],[Amplitute AXIAL stress  (MPa)]]),    IF(Tabella2[[#This Row],[derived from (AXIAL/BENDING) load]]="AXIAL",Tabella2[[#This Row],[Amplitute AXIAL stress  (MPa)]]*Tabella2[[#This Row],[Area (mm^2)]],"Null"), "")</f>
        <v>7519.7019949585938</v>
      </c>
      <c r="AL17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7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7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7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7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7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382.97527778420698</v>
      </c>
    </row>
    <row r="18" spans="1:43" s="17" customFormat="1" ht="20.100000000000001" customHeight="1" thickBot="1" x14ac:dyDescent="0.3">
      <c r="A18" s="17" t="s">
        <v>65</v>
      </c>
      <c r="B18" s="17">
        <v>2018</v>
      </c>
      <c r="C18" s="17" t="s">
        <v>64</v>
      </c>
      <c r="D18" s="17" t="s">
        <v>86</v>
      </c>
      <c r="E18" s="17">
        <v>1843487.3708033101</v>
      </c>
      <c r="F18" s="17" t="s">
        <v>20</v>
      </c>
      <c r="G18" s="17" t="s">
        <v>70</v>
      </c>
      <c r="H18" s="17" t="e" vm="1">
        <v>#VALUE!</v>
      </c>
      <c r="I18" s="17" t="s">
        <v>27</v>
      </c>
      <c r="J18" s="17" t="s">
        <v>20</v>
      </c>
      <c r="K18" s="17" t="s">
        <v>21</v>
      </c>
      <c r="L18" s="17" t="s">
        <v>21</v>
      </c>
      <c r="M18" s="17">
        <v>0</v>
      </c>
      <c r="N18" s="17">
        <v>5</v>
      </c>
      <c r="O18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8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8" s="18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8" s="17">
        <v>0</v>
      </c>
      <c r="S18" s="17">
        <v>0</v>
      </c>
      <c r="T18" s="17">
        <v>0</v>
      </c>
      <c r="U18" s="61">
        <v>150</v>
      </c>
      <c r="V18" s="61">
        <v>150</v>
      </c>
      <c r="W18" s="61">
        <v>150</v>
      </c>
      <c r="X18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8" s="1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8" s="17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8" s="19">
        <v>0</v>
      </c>
      <c r="AB18" s="19">
        <v>0</v>
      </c>
      <c r="AC18" s="19">
        <v>0</v>
      </c>
      <c r="AD18" s="20">
        <v>361.10841586552198</v>
      </c>
      <c r="AE18" s="22" t="s">
        <v>60</v>
      </c>
      <c r="AF18" s="19">
        <v>0</v>
      </c>
      <c r="AG18" s="19">
        <v>0</v>
      </c>
      <c r="AH18" s="24">
        <f>IF(ISNUMBER(Tabella2[[#This Row],[Mean RADIAL stress  (MPa)]]), Tabella2[[#This Row],[Mean RADIAL stress  (MPa)]],"")</f>
        <v>0</v>
      </c>
      <c r="AI18" s="19">
        <f>IF(ISNUMBER(Tabella2[[#This Row],[Amplitute RADIAL stress  (MPa)]]), Tabella2[[#This Row],[Amplitute RADIAL stress  (MPa)]],"")</f>
        <v>0</v>
      </c>
      <c r="AJ18" s="1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8" s="19">
        <f>IF(ISNUMBER(Tabella2[[#This Row],[Amplitute AXIAL stress  (MPa)]]),    IF(Tabella2[[#This Row],[derived from (AXIAL/BENDING) load]]="AXIAL",Tabella2[[#This Row],[Amplitute AXIAL stress  (MPa)]]*Tabella2[[#This Row],[Area (mm^2)]],"Null"), "")</f>
        <v>7090.3471652035732</v>
      </c>
      <c r="AL18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8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8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8" s="19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8" s="2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8" s="2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361.10841586552198</v>
      </c>
    </row>
    <row r="19" spans="1:43" ht="20.100000000000001" customHeight="1" x14ac:dyDescent="0.25">
      <c r="A19" s="33" t="s">
        <v>68</v>
      </c>
      <c r="B19" s="33">
        <v>2022</v>
      </c>
      <c r="C19" s="33" t="s">
        <v>67</v>
      </c>
      <c r="D19" s="33" t="s">
        <v>87</v>
      </c>
      <c r="E19" s="33">
        <v>1269406</v>
      </c>
      <c r="F19" s="33" t="s">
        <v>20</v>
      </c>
      <c r="G19" s="33" t="s">
        <v>70</v>
      </c>
      <c r="H19" s="33" t="e" vm="2">
        <v>#VALUE!</v>
      </c>
      <c r="I19" s="33" t="s">
        <v>27</v>
      </c>
      <c r="J19" s="33" t="s">
        <v>20</v>
      </c>
      <c r="K19" s="33" t="s">
        <v>21</v>
      </c>
      <c r="L19" s="33" t="s">
        <v>21</v>
      </c>
      <c r="M19" s="33">
        <v>0</v>
      </c>
      <c r="N19" s="33">
        <v>5</v>
      </c>
      <c r="O19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19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19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19" s="33">
        <v>0</v>
      </c>
      <c r="S19" s="33">
        <v>0</v>
      </c>
      <c r="T19" s="33">
        <v>0</v>
      </c>
      <c r="U19" s="60" t="s">
        <v>164</v>
      </c>
      <c r="V19" s="60" t="s">
        <v>164</v>
      </c>
      <c r="W19" s="60" t="s">
        <v>164</v>
      </c>
      <c r="X19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19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19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19" s="38">
        <v>0</v>
      </c>
      <c r="AB19" s="38">
        <v>0</v>
      </c>
      <c r="AC19" s="21">
        <v>0</v>
      </c>
      <c r="AD19" s="14">
        <v>450</v>
      </c>
      <c r="AE19" s="36" t="s">
        <v>60</v>
      </c>
      <c r="AF19" s="38">
        <v>0</v>
      </c>
      <c r="AG19" s="38">
        <v>0</v>
      </c>
      <c r="AH19" s="23">
        <f>IF(ISNUMBER(Tabella2[[#This Row],[Mean RADIAL stress  (MPa)]]), Tabella2[[#This Row],[Mean RADIAL stress  (MPa)]],"")</f>
        <v>0</v>
      </c>
      <c r="AI19" s="38">
        <f>IF(ISNUMBER(Tabella2[[#This Row],[Amplitute RADIAL stress  (MPa)]]), Tabella2[[#This Row],[Amplitute RADIAL stress  (MPa)]],"")</f>
        <v>0</v>
      </c>
      <c r="AJ19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19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8835.7293382212938</v>
      </c>
      <c r="AL19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19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19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19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19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19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</v>
      </c>
    </row>
    <row r="20" spans="1:43" ht="20.100000000000001" customHeight="1" x14ac:dyDescent="0.25">
      <c r="A20" s="33" t="s">
        <v>68</v>
      </c>
      <c r="B20" s="33">
        <v>2022</v>
      </c>
      <c r="C20" s="33" t="s">
        <v>67</v>
      </c>
      <c r="D20" s="33" t="s">
        <v>88</v>
      </c>
      <c r="E20" s="33">
        <v>253166</v>
      </c>
      <c r="F20" s="33" t="s">
        <v>20</v>
      </c>
      <c r="G20" s="33" t="s">
        <v>70</v>
      </c>
      <c r="H20" s="33" t="e" vm="1">
        <v>#VALUE!</v>
      </c>
      <c r="I20" s="33" t="s">
        <v>27</v>
      </c>
      <c r="J20" s="33" t="s">
        <v>20</v>
      </c>
      <c r="K20" s="33" t="s">
        <v>21</v>
      </c>
      <c r="L20" s="33" t="s">
        <v>21</v>
      </c>
      <c r="M20" s="33">
        <v>0</v>
      </c>
      <c r="N20" s="33">
        <v>5</v>
      </c>
      <c r="O20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20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20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20" s="33">
        <v>0</v>
      </c>
      <c r="S20" s="33">
        <v>0</v>
      </c>
      <c r="T20" s="33">
        <v>0</v>
      </c>
      <c r="U20" s="60" t="s">
        <v>164</v>
      </c>
      <c r="V20" s="60" t="s">
        <v>164</v>
      </c>
      <c r="W20" s="60" t="s">
        <v>164</v>
      </c>
      <c r="X20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0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0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0" s="38">
        <v>0</v>
      </c>
      <c r="AB20" s="38">
        <v>0</v>
      </c>
      <c r="AC20" s="21">
        <v>0</v>
      </c>
      <c r="AD20" s="14">
        <v>450</v>
      </c>
      <c r="AE20" s="36" t="s">
        <v>60</v>
      </c>
      <c r="AF20" s="38">
        <v>0</v>
      </c>
      <c r="AG20" s="38">
        <v>0</v>
      </c>
      <c r="AH20" s="23">
        <f>IF(ISNUMBER(Tabella2[[#This Row],[Mean RADIAL stress  (MPa)]]), Tabella2[[#This Row],[Mean RADIAL stress  (MPa)]],"")</f>
        <v>0</v>
      </c>
      <c r="AI20" s="38">
        <f>IF(ISNUMBER(Tabella2[[#This Row],[Amplitute RADIAL stress  (MPa)]]), Tabella2[[#This Row],[Amplitute RADIAL stress  (MPa)]],"")</f>
        <v>0</v>
      </c>
      <c r="AJ20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0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8835.7293382212938</v>
      </c>
      <c r="AL20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0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0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0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0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0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</v>
      </c>
    </row>
    <row r="21" spans="1:43" ht="20.100000000000001" customHeight="1" x14ac:dyDescent="0.25">
      <c r="A21" s="33" t="s">
        <v>68</v>
      </c>
      <c r="B21" s="33">
        <v>2022</v>
      </c>
      <c r="C21" s="33" t="s">
        <v>67</v>
      </c>
      <c r="D21" s="33" t="s">
        <v>89</v>
      </c>
      <c r="E21" s="33">
        <v>147470</v>
      </c>
      <c r="F21" s="33" t="s">
        <v>20</v>
      </c>
      <c r="G21" s="33" t="s">
        <v>70</v>
      </c>
      <c r="H21" s="33" t="e" vm="1">
        <v>#VALUE!</v>
      </c>
      <c r="I21" s="33" t="s">
        <v>27</v>
      </c>
      <c r="J21" s="33" t="s">
        <v>20</v>
      </c>
      <c r="K21" s="33" t="s">
        <v>21</v>
      </c>
      <c r="L21" s="33" t="s">
        <v>21</v>
      </c>
      <c r="M21" s="33">
        <v>0</v>
      </c>
      <c r="N21" s="33">
        <v>5</v>
      </c>
      <c r="O21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21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21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21" s="33">
        <v>0</v>
      </c>
      <c r="S21" s="33">
        <v>0</v>
      </c>
      <c r="T21" s="33">
        <v>0</v>
      </c>
      <c r="U21" s="60" t="s">
        <v>164</v>
      </c>
      <c r="V21" s="60" t="s">
        <v>164</v>
      </c>
      <c r="W21" s="60" t="s">
        <v>164</v>
      </c>
      <c r="X21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1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1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1" s="38">
        <v>0</v>
      </c>
      <c r="AB21" s="38">
        <v>0</v>
      </c>
      <c r="AC21" s="21">
        <v>0</v>
      </c>
      <c r="AD21" s="14">
        <v>500</v>
      </c>
      <c r="AE21" s="36" t="s">
        <v>60</v>
      </c>
      <c r="AF21" s="38">
        <v>0</v>
      </c>
      <c r="AG21" s="38">
        <v>0</v>
      </c>
      <c r="AH21" s="23">
        <f>IF(ISNUMBER(Tabella2[[#This Row],[Mean RADIAL stress  (MPa)]]), Tabella2[[#This Row],[Mean RADIAL stress  (MPa)]],"")</f>
        <v>0</v>
      </c>
      <c r="AI21" s="38">
        <f>IF(ISNUMBER(Tabella2[[#This Row],[Amplitute RADIAL stress  (MPa)]]), Tabella2[[#This Row],[Amplitute RADIAL stress  (MPa)]],"")</f>
        <v>0</v>
      </c>
      <c r="AJ21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1" s="38">
        <f>IF(ISNUMBER(Tabella2[[#This Row],[Amplitute AXIAL stress  (MPa)]]),    IF(Tabella2[[#This Row],[derived from (AXIAL/BENDING) load]]="AXIAL",Tabella2[[#This Row],[Amplitute AXIAL stress  (MPa)]]*Tabella2[[#This Row],[Area (mm^2)]],"Null"), "")</f>
        <v>9817.4770424681046</v>
      </c>
      <c r="AL21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1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1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1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1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1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500</v>
      </c>
    </row>
    <row r="22" spans="1:43" ht="20.100000000000001" customHeight="1" x14ac:dyDescent="0.25">
      <c r="A22" s="33" t="s">
        <v>68</v>
      </c>
      <c r="B22" s="33">
        <v>2022</v>
      </c>
      <c r="C22" s="33" t="s">
        <v>67</v>
      </c>
      <c r="D22" s="33" t="s">
        <v>90</v>
      </c>
      <c r="E22" s="33">
        <v>212560</v>
      </c>
      <c r="F22" s="33" t="s">
        <v>20</v>
      </c>
      <c r="G22" s="33" t="s">
        <v>70</v>
      </c>
      <c r="H22" s="33" t="e" vm="1">
        <v>#VALUE!</v>
      </c>
      <c r="I22" s="33" t="s">
        <v>27</v>
      </c>
      <c r="J22" s="33" t="s">
        <v>20</v>
      </c>
      <c r="K22" s="33" t="s">
        <v>21</v>
      </c>
      <c r="L22" s="33" t="s">
        <v>21</v>
      </c>
      <c r="M22" s="33">
        <v>0</v>
      </c>
      <c r="N22" s="33">
        <v>5</v>
      </c>
      <c r="O22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22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22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22" s="33">
        <v>0</v>
      </c>
      <c r="S22" s="33">
        <v>0</v>
      </c>
      <c r="T22" s="33">
        <v>0</v>
      </c>
      <c r="U22" s="60" t="s">
        <v>164</v>
      </c>
      <c r="V22" s="60" t="s">
        <v>164</v>
      </c>
      <c r="W22" s="60" t="s">
        <v>164</v>
      </c>
      <c r="X22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2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2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2" s="38">
        <v>0</v>
      </c>
      <c r="AB22" s="38">
        <v>0</v>
      </c>
      <c r="AC22" s="21">
        <v>0</v>
      </c>
      <c r="AD22" s="14">
        <v>500</v>
      </c>
      <c r="AE22" s="36" t="s">
        <v>60</v>
      </c>
      <c r="AF22" s="38">
        <v>0</v>
      </c>
      <c r="AG22" s="38">
        <v>0</v>
      </c>
      <c r="AH22" s="23">
        <f>IF(ISNUMBER(Tabella2[[#This Row],[Mean RADIAL stress  (MPa)]]), Tabella2[[#This Row],[Mean RADIAL stress  (MPa)]],"")</f>
        <v>0</v>
      </c>
      <c r="AI22" s="38">
        <f>IF(ISNUMBER(Tabella2[[#This Row],[Amplitute RADIAL stress  (MPa)]]), Tabella2[[#This Row],[Amplitute RADIAL stress  (MPa)]],"")</f>
        <v>0</v>
      </c>
      <c r="AJ22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2" s="38">
        <f>IF(ISNUMBER(Tabella2[[#This Row],[Amplitute AXIAL stress  (MPa)]]),    IF(Tabella2[[#This Row],[derived from (AXIAL/BENDING) load]]="AXIAL",Tabella2[[#This Row],[Amplitute AXIAL stress  (MPa)]]*Tabella2[[#This Row],[Area (mm^2)]],"Null"), "")</f>
        <v>9817.4770424681046</v>
      </c>
      <c r="AL22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2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2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2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2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2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500</v>
      </c>
    </row>
    <row r="23" spans="1:43" ht="20.100000000000001" customHeight="1" x14ac:dyDescent="0.25">
      <c r="A23" s="33" t="s">
        <v>68</v>
      </c>
      <c r="B23" s="33">
        <v>2022</v>
      </c>
      <c r="C23" s="33" t="s">
        <v>67</v>
      </c>
      <c r="D23" s="33" t="s">
        <v>91</v>
      </c>
      <c r="E23" s="33">
        <v>5000000</v>
      </c>
      <c r="F23" s="33" t="s">
        <v>32</v>
      </c>
      <c r="G23" s="33" t="s">
        <v>70</v>
      </c>
      <c r="H23" s="33" t="e" vm="1">
        <v>#VALUE!</v>
      </c>
      <c r="I23" s="33" t="s">
        <v>27</v>
      </c>
      <c r="J23" s="33" t="s">
        <v>20</v>
      </c>
      <c r="K23" s="33" t="s">
        <v>21</v>
      </c>
      <c r="L23" s="33" t="s">
        <v>21</v>
      </c>
      <c r="M23" s="33">
        <v>0</v>
      </c>
      <c r="N23" s="33">
        <v>5</v>
      </c>
      <c r="O23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23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23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23" s="33">
        <v>0</v>
      </c>
      <c r="S23" s="33">
        <v>0</v>
      </c>
      <c r="T23" s="33">
        <v>0</v>
      </c>
      <c r="U23" s="60" t="s">
        <v>164</v>
      </c>
      <c r="V23" s="60" t="s">
        <v>164</v>
      </c>
      <c r="W23" s="60" t="s">
        <v>164</v>
      </c>
      <c r="X23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3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3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3" s="38">
        <v>0</v>
      </c>
      <c r="AB23" s="38">
        <v>0</v>
      </c>
      <c r="AC23" s="21">
        <v>0</v>
      </c>
      <c r="AD23" s="14">
        <v>400</v>
      </c>
      <c r="AE23" s="36" t="s">
        <v>60</v>
      </c>
      <c r="AF23" s="38">
        <v>0</v>
      </c>
      <c r="AG23" s="38">
        <v>0</v>
      </c>
      <c r="AH23" s="23">
        <f>IF(ISNUMBER(Tabella2[[#This Row],[Mean RADIAL stress  (MPa)]]), Tabella2[[#This Row],[Mean RADIAL stress  (MPa)]],"")</f>
        <v>0</v>
      </c>
      <c r="AI23" s="38">
        <f>IF(ISNUMBER(Tabella2[[#This Row],[Amplitute RADIAL stress  (MPa)]]), Tabella2[[#This Row],[Amplitute RADIAL stress  (MPa)]],"")</f>
        <v>0</v>
      </c>
      <c r="AJ23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3" s="38">
        <f>IF(ISNUMBER(Tabella2[[#This Row],[Amplitute AXIAL stress  (MPa)]]),    IF(Tabella2[[#This Row],[derived from (AXIAL/BENDING) load]]="AXIAL",Tabella2[[#This Row],[Amplitute AXIAL stress  (MPa)]]*Tabella2[[#This Row],[Area (mm^2)]],"Null"), "")</f>
        <v>7853.981633974483</v>
      </c>
      <c r="AL23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3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3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3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3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3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400</v>
      </c>
    </row>
    <row r="24" spans="1:43" ht="20.100000000000001" customHeight="1" x14ac:dyDescent="0.25">
      <c r="A24" s="33" t="s">
        <v>68</v>
      </c>
      <c r="B24" s="33">
        <v>2022</v>
      </c>
      <c r="C24" s="33" t="s">
        <v>67</v>
      </c>
      <c r="D24" s="33" t="s">
        <v>92</v>
      </c>
      <c r="E24" s="33">
        <v>5000000</v>
      </c>
      <c r="F24" s="33" t="s">
        <v>32</v>
      </c>
      <c r="G24" s="33" t="s">
        <v>70</v>
      </c>
      <c r="H24" s="33" t="e" vm="1">
        <v>#VALUE!</v>
      </c>
      <c r="I24" s="33" t="s">
        <v>27</v>
      </c>
      <c r="J24" s="33" t="s">
        <v>20</v>
      </c>
      <c r="K24" s="33" t="s">
        <v>21</v>
      </c>
      <c r="L24" s="33" t="s">
        <v>21</v>
      </c>
      <c r="M24" s="33">
        <v>0</v>
      </c>
      <c r="N24" s="33">
        <v>5</v>
      </c>
      <c r="O24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24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24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24" s="33">
        <v>0</v>
      </c>
      <c r="S24" s="33">
        <v>0</v>
      </c>
      <c r="T24" s="33">
        <v>0</v>
      </c>
      <c r="U24" s="60" t="s">
        <v>164</v>
      </c>
      <c r="V24" s="60" t="s">
        <v>164</v>
      </c>
      <c r="W24" s="60" t="s">
        <v>164</v>
      </c>
      <c r="X24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4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4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4" s="38">
        <v>0</v>
      </c>
      <c r="AB24" s="38">
        <v>0</v>
      </c>
      <c r="AC24" s="21">
        <v>0</v>
      </c>
      <c r="AD24" s="14">
        <v>425</v>
      </c>
      <c r="AE24" s="36" t="s">
        <v>60</v>
      </c>
      <c r="AF24" s="38">
        <v>0</v>
      </c>
      <c r="AG24" s="38">
        <v>0</v>
      </c>
      <c r="AH24" s="23">
        <f>IF(ISNUMBER(Tabella2[[#This Row],[Mean RADIAL stress  (MPa)]]), Tabella2[[#This Row],[Mean RADIAL stress  (MPa)]],"")</f>
        <v>0</v>
      </c>
      <c r="AI24" s="38">
        <f>IF(ISNUMBER(Tabella2[[#This Row],[Amplitute RADIAL stress  (MPa)]]), Tabella2[[#This Row],[Amplitute RADIAL stress  (MPa)]],"")</f>
        <v>0</v>
      </c>
      <c r="AJ24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4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8344.8554860978875</v>
      </c>
      <c r="AL24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4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4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4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4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4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</row>
    <row r="25" spans="1:43" ht="20.100000000000001" customHeight="1" x14ac:dyDescent="0.25">
      <c r="A25" s="33" t="s">
        <v>68</v>
      </c>
      <c r="B25" s="33">
        <v>2022</v>
      </c>
      <c r="C25" s="33" t="s">
        <v>67</v>
      </c>
      <c r="D25" s="33" t="s">
        <v>93</v>
      </c>
      <c r="E25" s="33">
        <v>274825</v>
      </c>
      <c r="F25" s="33" t="s">
        <v>20</v>
      </c>
      <c r="G25" s="33" t="s">
        <v>70</v>
      </c>
      <c r="H25" s="33" t="e" vm="1">
        <v>#VALUE!</v>
      </c>
      <c r="I25" s="33" t="s">
        <v>27</v>
      </c>
      <c r="J25" s="33" t="s">
        <v>20</v>
      </c>
      <c r="K25" s="33" t="s">
        <v>21</v>
      </c>
      <c r="L25" s="33" t="s">
        <v>21</v>
      </c>
      <c r="M25" s="33">
        <v>0</v>
      </c>
      <c r="N25" s="33">
        <v>5</v>
      </c>
      <c r="O25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25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25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25" s="33">
        <v>0</v>
      </c>
      <c r="S25" s="33">
        <v>0</v>
      </c>
      <c r="T25" s="33">
        <v>0</v>
      </c>
      <c r="U25" s="60" t="s">
        <v>164</v>
      </c>
      <c r="V25" s="60" t="s">
        <v>164</v>
      </c>
      <c r="W25" s="60" t="s">
        <v>164</v>
      </c>
      <c r="X25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5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5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5" s="38">
        <v>0</v>
      </c>
      <c r="AB25" s="38">
        <v>0</v>
      </c>
      <c r="AC25" s="21">
        <v>0</v>
      </c>
      <c r="AD25" s="14">
        <v>450</v>
      </c>
      <c r="AE25" s="36" t="s">
        <v>60</v>
      </c>
      <c r="AF25" s="38">
        <v>0</v>
      </c>
      <c r="AG25" s="38">
        <v>0</v>
      </c>
      <c r="AH25" s="23">
        <f>IF(ISNUMBER(Tabella2[[#This Row],[Mean RADIAL stress  (MPa)]]), Tabella2[[#This Row],[Mean RADIAL stress  (MPa)]],"")</f>
        <v>0</v>
      </c>
      <c r="AI25" s="38">
        <f>IF(ISNUMBER(Tabella2[[#This Row],[Amplitute RADIAL stress  (MPa)]]), Tabella2[[#This Row],[Amplitute RADIAL stress  (MPa)]],"")</f>
        <v>0</v>
      </c>
      <c r="AJ25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5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8835.7293382212938</v>
      </c>
      <c r="AL25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5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5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5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5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5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</v>
      </c>
    </row>
    <row r="26" spans="1:43" ht="20.100000000000001" customHeight="1" x14ac:dyDescent="0.25">
      <c r="A26" s="33" t="s">
        <v>68</v>
      </c>
      <c r="B26" s="33">
        <v>2022</v>
      </c>
      <c r="C26" s="33" t="s">
        <v>67</v>
      </c>
      <c r="D26" s="33" t="s">
        <v>94</v>
      </c>
      <c r="E26" s="33">
        <v>33380</v>
      </c>
      <c r="F26" s="33" t="s">
        <v>20</v>
      </c>
      <c r="G26" s="33" t="s">
        <v>70</v>
      </c>
      <c r="H26" s="33" t="e" vm="1">
        <v>#VALUE!</v>
      </c>
      <c r="I26" s="33" t="s">
        <v>27</v>
      </c>
      <c r="J26" s="33" t="s">
        <v>20</v>
      </c>
      <c r="K26" s="33" t="s">
        <v>21</v>
      </c>
      <c r="L26" s="33" t="s">
        <v>21</v>
      </c>
      <c r="M26" s="33">
        <v>0</v>
      </c>
      <c r="N26" s="33">
        <v>5</v>
      </c>
      <c r="O26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26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26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26" s="33">
        <v>0</v>
      </c>
      <c r="S26" s="33">
        <v>0</v>
      </c>
      <c r="T26" s="33">
        <v>0</v>
      </c>
      <c r="U26" s="60" t="s">
        <v>164</v>
      </c>
      <c r="V26" s="60" t="s">
        <v>164</v>
      </c>
      <c r="W26" s="60" t="s">
        <v>164</v>
      </c>
      <c r="X26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6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6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6" s="38">
        <v>0</v>
      </c>
      <c r="AB26" s="38">
        <v>0</v>
      </c>
      <c r="AC26" s="21">
        <v>0</v>
      </c>
      <c r="AD26" s="14">
        <v>500</v>
      </c>
      <c r="AE26" s="36" t="s">
        <v>60</v>
      </c>
      <c r="AF26" s="38">
        <v>0</v>
      </c>
      <c r="AG26" s="38">
        <v>0</v>
      </c>
      <c r="AH26" s="23">
        <f>IF(ISNUMBER(Tabella2[[#This Row],[Mean RADIAL stress  (MPa)]]), Tabella2[[#This Row],[Mean RADIAL stress  (MPa)]],"")</f>
        <v>0</v>
      </c>
      <c r="AI26" s="38">
        <f>IF(ISNUMBER(Tabella2[[#This Row],[Amplitute RADIAL stress  (MPa)]]), Tabella2[[#This Row],[Amplitute RADIAL stress  (MPa)]],"")</f>
        <v>0</v>
      </c>
      <c r="AJ26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6" s="38">
        <f>IF(ISNUMBER(Tabella2[[#This Row],[Amplitute AXIAL stress  (MPa)]]),    IF(Tabella2[[#This Row],[derived from (AXIAL/BENDING) load]]="AXIAL",Tabella2[[#This Row],[Amplitute AXIAL stress  (MPa)]]*Tabella2[[#This Row],[Area (mm^2)]],"Null"), "")</f>
        <v>9817.4770424681046</v>
      </c>
      <c r="AL26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6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6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6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6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6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500</v>
      </c>
    </row>
    <row r="27" spans="1:43" ht="20.100000000000001" customHeight="1" x14ac:dyDescent="0.25">
      <c r="A27" s="33" t="s">
        <v>68</v>
      </c>
      <c r="B27" s="33">
        <v>2022</v>
      </c>
      <c r="C27" s="33" t="s">
        <v>67</v>
      </c>
      <c r="D27" s="33" t="s">
        <v>95</v>
      </c>
      <c r="E27" s="33">
        <v>1045282</v>
      </c>
      <c r="F27" s="33" t="s">
        <v>20</v>
      </c>
      <c r="G27" s="33" t="s">
        <v>70</v>
      </c>
      <c r="H27" s="33" t="e" vm="1">
        <v>#VALUE!</v>
      </c>
      <c r="I27" s="33" t="s">
        <v>27</v>
      </c>
      <c r="J27" s="33" t="s">
        <v>20</v>
      </c>
      <c r="K27" s="33" t="s">
        <v>21</v>
      </c>
      <c r="L27" s="33" t="s">
        <v>21</v>
      </c>
      <c r="M27" s="33">
        <v>0</v>
      </c>
      <c r="N27" s="33">
        <v>5</v>
      </c>
      <c r="O27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27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27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27" s="33">
        <v>0</v>
      </c>
      <c r="S27" s="33">
        <v>0</v>
      </c>
      <c r="T27" s="33">
        <v>0</v>
      </c>
      <c r="U27" s="60" t="s">
        <v>164</v>
      </c>
      <c r="V27" s="60" t="s">
        <v>164</v>
      </c>
      <c r="W27" s="60" t="s">
        <v>164</v>
      </c>
      <c r="X27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7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7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7" s="38">
        <v>0</v>
      </c>
      <c r="AB27" s="38">
        <v>0</v>
      </c>
      <c r="AC27" s="21">
        <v>0</v>
      </c>
      <c r="AD27" s="14">
        <v>425</v>
      </c>
      <c r="AE27" s="36" t="s">
        <v>60</v>
      </c>
      <c r="AF27" s="38">
        <v>0</v>
      </c>
      <c r="AG27" s="38">
        <v>0</v>
      </c>
      <c r="AH27" s="23">
        <f>IF(ISNUMBER(Tabella2[[#This Row],[Mean RADIAL stress  (MPa)]]), Tabella2[[#This Row],[Mean RADIAL stress  (MPa)]],"")</f>
        <v>0</v>
      </c>
      <c r="AI27" s="38">
        <f>IF(ISNUMBER(Tabella2[[#This Row],[Amplitute RADIAL stress  (MPa)]]), Tabella2[[#This Row],[Amplitute RADIAL stress  (MPa)]],"")</f>
        <v>0</v>
      </c>
      <c r="AJ27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7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8344.8554860978875</v>
      </c>
      <c r="AL27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7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7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7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7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7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</row>
    <row r="28" spans="1:43" ht="20.100000000000001" customHeight="1" x14ac:dyDescent="0.25">
      <c r="A28" s="33" t="s">
        <v>68</v>
      </c>
      <c r="B28" s="33">
        <v>2022</v>
      </c>
      <c r="C28" s="33" t="s">
        <v>67</v>
      </c>
      <c r="D28" s="33" t="s">
        <v>96</v>
      </c>
      <c r="E28" s="33">
        <v>5000000</v>
      </c>
      <c r="F28" s="33" t="s">
        <v>32</v>
      </c>
      <c r="G28" s="33" t="s">
        <v>70</v>
      </c>
      <c r="H28" s="33" t="e" vm="1">
        <v>#VALUE!</v>
      </c>
      <c r="I28" s="33" t="s">
        <v>27</v>
      </c>
      <c r="J28" s="33" t="s">
        <v>20</v>
      </c>
      <c r="K28" s="33" t="s">
        <v>21</v>
      </c>
      <c r="L28" s="33" t="s">
        <v>21</v>
      </c>
      <c r="M28" s="33">
        <v>0</v>
      </c>
      <c r="N28" s="33">
        <v>5</v>
      </c>
      <c r="O28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28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28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28" s="33">
        <v>0</v>
      </c>
      <c r="S28" s="33">
        <v>0</v>
      </c>
      <c r="T28" s="33">
        <v>0</v>
      </c>
      <c r="U28" s="60" t="s">
        <v>164</v>
      </c>
      <c r="V28" s="60" t="s">
        <v>164</v>
      </c>
      <c r="W28" s="60" t="s">
        <v>164</v>
      </c>
      <c r="X28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8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8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8" s="38">
        <v>0</v>
      </c>
      <c r="AB28" s="38">
        <v>0</v>
      </c>
      <c r="AC28" s="21">
        <v>0</v>
      </c>
      <c r="AD28" s="14">
        <v>425</v>
      </c>
      <c r="AE28" s="36" t="s">
        <v>60</v>
      </c>
      <c r="AF28" s="38">
        <v>0</v>
      </c>
      <c r="AG28" s="38">
        <v>0</v>
      </c>
      <c r="AH28" s="23">
        <f>IF(ISNUMBER(Tabella2[[#This Row],[Mean RADIAL stress  (MPa)]]), Tabella2[[#This Row],[Mean RADIAL stress  (MPa)]],"")</f>
        <v>0</v>
      </c>
      <c r="AI28" s="38">
        <f>IF(ISNUMBER(Tabella2[[#This Row],[Amplitute RADIAL stress  (MPa)]]), Tabella2[[#This Row],[Amplitute RADIAL stress  (MPa)]],"")</f>
        <v>0</v>
      </c>
      <c r="AJ28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8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8344.8554860978875</v>
      </c>
      <c r="AL28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8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8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8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8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8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</row>
    <row r="29" spans="1:43" ht="20.100000000000001" customHeight="1" x14ac:dyDescent="0.25">
      <c r="A29" s="33" t="s">
        <v>68</v>
      </c>
      <c r="B29" s="33">
        <v>2022</v>
      </c>
      <c r="C29" s="33" t="s">
        <v>67</v>
      </c>
      <c r="D29" s="33" t="s">
        <v>97</v>
      </c>
      <c r="E29" s="33">
        <v>5000000</v>
      </c>
      <c r="F29" s="33" t="s">
        <v>32</v>
      </c>
      <c r="G29" s="33" t="s">
        <v>70</v>
      </c>
      <c r="H29" s="33" t="e" vm="1">
        <v>#VALUE!</v>
      </c>
      <c r="I29" s="33" t="s">
        <v>27</v>
      </c>
      <c r="J29" s="33" t="s">
        <v>20</v>
      </c>
      <c r="K29" s="33" t="s">
        <v>21</v>
      </c>
      <c r="L29" s="33" t="s">
        <v>21</v>
      </c>
      <c r="M29" s="33">
        <v>0</v>
      </c>
      <c r="N29" s="33">
        <v>5</v>
      </c>
      <c r="O29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29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29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29" s="33">
        <v>0</v>
      </c>
      <c r="S29" s="33">
        <v>0</v>
      </c>
      <c r="T29" s="33">
        <v>0</v>
      </c>
      <c r="U29" s="60" t="s">
        <v>164</v>
      </c>
      <c r="V29" s="60" t="s">
        <v>164</v>
      </c>
      <c r="W29" s="60" t="s">
        <v>164</v>
      </c>
      <c r="X29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29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29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29" s="38">
        <v>0</v>
      </c>
      <c r="AB29" s="38">
        <v>0</v>
      </c>
      <c r="AC29" s="21">
        <v>0</v>
      </c>
      <c r="AD29" s="14">
        <v>400</v>
      </c>
      <c r="AE29" s="36" t="s">
        <v>60</v>
      </c>
      <c r="AF29" s="38">
        <v>0</v>
      </c>
      <c r="AG29" s="38">
        <v>0</v>
      </c>
      <c r="AH29" s="23">
        <f>IF(ISNUMBER(Tabella2[[#This Row],[Mean RADIAL stress  (MPa)]]), Tabella2[[#This Row],[Mean RADIAL stress  (MPa)]],"")</f>
        <v>0</v>
      </c>
      <c r="AI29" s="38">
        <f>IF(ISNUMBER(Tabella2[[#This Row],[Amplitute RADIAL stress  (MPa)]]), Tabella2[[#This Row],[Amplitute RADIAL stress  (MPa)]],"")</f>
        <v>0</v>
      </c>
      <c r="AJ29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29" s="38">
        <f>IF(ISNUMBER(Tabella2[[#This Row],[Amplitute AXIAL stress  (MPa)]]),    IF(Tabella2[[#This Row],[derived from (AXIAL/BENDING) load]]="AXIAL",Tabella2[[#This Row],[Amplitute AXIAL stress  (MPa)]]*Tabella2[[#This Row],[Area (mm^2)]],"Null"), "")</f>
        <v>7853.981633974483</v>
      </c>
      <c r="AL29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29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29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29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29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29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400</v>
      </c>
    </row>
    <row r="30" spans="1:43" ht="20.100000000000001" customHeight="1" x14ac:dyDescent="0.25">
      <c r="A30" s="33" t="s">
        <v>68</v>
      </c>
      <c r="B30" s="33">
        <v>2022</v>
      </c>
      <c r="C30" s="33" t="s">
        <v>67</v>
      </c>
      <c r="D30" s="33" t="s">
        <v>98</v>
      </c>
      <c r="E30" s="33">
        <v>5000000</v>
      </c>
      <c r="F30" s="33" t="s">
        <v>32</v>
      </c>
      <c r="G30" s="33" t="s">
        <v>70</v>
      </c>
      <c r="H30" s="33" t="e" vm="1">
        <v>#VALUE!</v>
      </c>
      <c r="I30" s="33" t="s">
        <v>27</v>
      </c>
      <c r="J30" s="33" t="s">
        <v>20</v>
      </c>
      <c r="K30" s="33" t="s">
        <v>21</v>
      </c>
      <c r="L30" s="33" t="s">
        <v>21</v>
      </c>
      <c r="M30" s="33">
        <v>0</v>
      </c>
      <c r="N30" s="33">
        <v>5</v>
      </c>
      <c r="O30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30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30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30" s="33">
        <v>0</v>
      </c>
      <c r="S30" s="33">
        <v>0</v>
      </c>
      <c r="T30" s="33">
        <v>0</v>
      </c>
      <c r="U30" s="60" t="s">
        <v>164</v>
      </c>
      <c r="V30" s="60" t="s">
        <v>164</v>
      </c>
      <c r="W30" s="60" t="s">
        <v>164</v>
      </c>
      <c r="X30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0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0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0" s="38">
        <v>0</v>
      </c>
      <c r="AB30" s="38">
        <v>0</v>
      </c>
      <c r="AC30" s="21">
        <v>0</v>
      </c>
      <c r="AD30" s="14">
        <v>425</v>
      </c>
      <c r="AE30" s="36" t="s">
        <v>60</v>
      </c>
      <c r="AF30" s="38">
        <v>0</v>
      </c>
      <c r="AG30" s="38">
        <v>0</v>
      </c>
      <c r="AH30" s="23">
        <f>IF(ISNUMBER(Tabella2[[#This Row],[Mean RADIAL stress  (MPa)]]), Tabella2[[#This Row],[Mean RADIAL stress  (MPa)]],"")</f>
        <v>0</v>
      </c>
      <c r="AI30" s="38">
        <f>IF(ISNUMBER(Tabella2[[#This Row],[Amplitute RADIAL stress  (MPa)]]), Tabella2[[#This Row],[Amplitute RADIAL stress  (MPa)]],"")</f>
        <v>0</v>
      </c>
      <c r="AJ30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0" s="38">
        <f>IF(ISNUMBER(Tabella2[[#This Row],[Amplitute AXIAL stress  (MPa)]]),    IF(Tabella2[[#This Row],[derived from (AXIAL/BENDING) load]]="AXIAL",Tabella2[[#This Row],[Amplitute AXIAL stress  (MPa)]]*Tabella2[[#This Row],[Area (mm^2)]],"Null"), "")</f>
        <v>8344.8554860978875</v>
      </c>
      <c r="AL30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0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0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0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0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0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</row>
    <row r="31" spans="1:43" ht="20.100000000000001" customHeight="1" x14ac:dyDescent="0.25">
      <c r="A31" s="33" t="s">
        <v>68</v>
      </c>
      <c r="B31" s="33">
        <v>2022</v>
      </c>
      <c r="C31" s="33" t="s">
        <v>67</v>
      </c>
      <c r="D31" s="33" t="s">
        <v>99</v>
      </c>
      <c r="E31" s="33">
        <v>74300</v>
      </c>
      <c r="F31" s="33" t="s">
        <v>20</v>
      </c>
      <c r="G31" s="33" t="s">
        <v>70</v>
      </c>
      <c r="H31" s="33" t="e" vm="1">
        <v>#VALUE!</v>
      </c>
      <c r="I31" s="33" t="s">
        <v>27</v>
      </c>
      <c r="J31" s="33" t="s">
        <v>20</v>
      </c>
      <c r="K31" s="33" t="s">
        <v>21</v>
      </c>
      <c r="L31" s="33" t="s">
        <v>21</v>
      </c>
      <c r="M31" s="33">
        <v>0</v>
      </c>
      <c r="N31" s="33">
        <v>5</v>
      </c>
      <c r="O31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31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31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31" s="33">
        <v>0</v>
      </c>
      <c r="S31" s="33">
        <v>0</v>
      </c>
      <c r="T31" s="33">
        <v>0</v>
      </c>
      <c r="U31" s="60" t="s">
        <v>164</v>
      </c>
      <c r="V31" s="60" t="s">
        <v>164</v>
      </c>
      <c r="W31" s="60" t="s">
        <v>164</v>
      </c>
      <c r="X31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1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1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1" s="38">
        <v>0</v>
      </c>
      <c r="AB31" s="38">
        <v>0</v>
      </c>
      <c r="AC31" s="21">
        <v>0</v>
      </c>
      <c r="AD31" s="14">
        <v>550</v>
      </c>
      <c r="AE31" s="36" t="s">
        <v>60</v>
      </c>
      <c r="AF31" s="38">
        <v>0</v>
      </c>
      <c r="AG31" s="38">
        <v>0</v>
      </c>
      <c r="AH31" s="23">
        <f>IF(ISNUMBER(Tabella2[[#This Row],[Mean RADIAL stress  (MPa)]]), Tabella2[[#This Row],[Mean RADIAL stress  (MPa)]],"")</f>
        <v>0</v>
      </c>
      <c r="AI31" s="38">
        <f>IF(ISNUMBER(Tabella2[[#This Row],[Amplitute RADIAL stress  (MPa)]]), Tabella2[[#This Row],[Amplitute RADIAL stress  (MPa)]],"")</f>
        <v>0</v>
      </c>
      <c r="AJ31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1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10799.224746714914</v>
      </c>
      <c r="AL31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1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1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1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1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1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</v>
      </c>
    </row>
    <row r="32" spans="1:43" ht="20.100000000000001" customHeight="1" x14ac:dyDescent="0.25">
      <c r="A32" s="33" t="s">
        <v>68</v>
      </c>
      <c r="B32" s="33">
        <v>2022</v>
      </c>
      <c r="C32" s="33" t="s">
        <v>67</v>
      </c>
      <c r="D32" s="33" t="s">
        <v>100</v>
      </c>
      <c r="E32" s="33">
        <v>3620</v>
      </c>
      <c r="F32" s="33" t="s">
        <v>20</v>
      </c>
      <c r="G32" s="33" t="s">
        <v>70</v>
      </c>
      <c r="H32" s="33" t="e" vm="1">
        <v>#VALUE!</v>
      </c>
      <c r="I32" s="33" t="s">
        <v>27</v>
      </c>
      <c r="J32" s="33" t="s">
        <v>20</v>
      </c>
      <c r="K32" s="33" t="s">
        <v>21</v>
      </c>
      <c r="L32" s="33" t="s">
        <v>21</v>
      </c>
      <c r="M32" s="33">
        <v>0</v>
      </c>
      <c r="N32" s="33">
        <v>5</v>
      </c>
      <c r="O32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32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32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32" s="33">
        <v>0</v>
      </c>
      <c r="S32" s="33">
        <v>0</v>
      </c>
      <c r="T32" s="33">
        <v>0</v>
      </c>
      <c r="U32" s="60" t="s">
        <v>164</v>
      </c>
      <c r="V32" s="60" t="s">
        <v>164</v>
      </c>
      <c r="W32" s="60" t="s">
        <v>164</v>
      </c>
      <c r="X32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2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2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2" s="38">
        <v>0</v>
      </c>
      <c r="AB32" s="38">
        <v>0</v>
      </c>
      <c r="AC32" s="21">
        <v>0</v>
      </c>
      <c r="AD32" s="14">
        <v>600</v>
      </c>
      <c r="AE32" s="36" t="s">
        <v>60</v>
      </c>
      <c r="AF32" s="38">
        <v>0</v>
      </c>
      <c r="AG32" s="38">
        <v>0</v>
      </c>
      <c r="AH32" s="23">
        <f>IF(ISNUMBER(Tabella2[[#This Row],[Mean RADIAL stress  (MPa)]]), Tabella2[[#This Row],[Mean RADIAL stress  (MPa)]],"")</f>
        <v>0</v>
      </c>
      <c r="AI32" s="38">
        <f>IF(ISNUMBER(Tabella2[[#This Row],[Amplitute RADIAL stress  (MPa)]]), Tabella2[[#This Row],[Amplitute RADIAL stress  (MPa)]],"")</f>
        <v>0</v>
      </c>
      <c r="AJ32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2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11780.972450961724</v>
      </c>
      <c r="AL32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2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2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2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2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2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600</v>
      </c>
    </row>
    <row r="33" spans="1:43" s="17" customFormat="1" ht="20.100000000000001" customHeight="1" thickBot="1" x14ac:dyDescent="0.3">
      <c r="A33" s="17" t="s">
        <v>68</v>
      </c>
      <c r="B33" s="17">
        <v>2022</v>
      </c>
      <c r="C33" s="17" t="s">
        <v>67</v>
      </c>
      <c r="D33" s="17" t="s">
        <v>101</v>
      </c>
      <c r="E33" s="17">
        <v>66300</v>
      </c>
      <c r="F33" s="17" t="s">
        <v>20</v>
      </c>
      <c r="G33" s="17" t="s">
        <v>70</v>
      </c>
      <c r="H33" s="17" t="e" vm="1">
        <v>#VALUE!</v>
      </c>
      <c r="I33" s="17" t="s">
        <v>27</v>
      </c>
      <c r="J33" s="17" t="s">
        <v>20</v>
      </c>
      <c r="K33" s="17" t="s">
        <v>21</v>
      </c>
      <c r="L33" s="17" t="s">
        <v>21</v>
      </c>
      <c r="M33" s="17">
        <v>0</v>
      </c>
      <c r="N33" s="17">
        <v>5</v>
      </c>
      <c r="O33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19.634954084936208</v>
      </c>
      <c r="P33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30.679615757712824</v>
      </c>
      <c r="Q33" s="18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61.359231515425648</v>
      </c>
      <c r="R33" s="17">
        <v>0</v>
      </c>
      <c r="S33" s="17">
        <v>0</v>
      </c>
      <c r="T33" s="17">
        <v>0</v>
      </c>
      <c r="U33" s="61" t="s">
        <v>164</v>
      </c>
      <c r="V33" s="61" t="s">
        <v>164</v>
      </c>
      <c r="W33" s="61" t="s">
        <v>164</v>
      </c>
      <c r="X33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3" s="1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3" s="17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3" s="19">
        <v>0</v>
      </c>
      <c r="AB33" s="19">
        <v>0</v>
      </c>
      <c r="AC33" s="19">
        <v>0</v>
      </c>
      <c r="AD33" s="20">
        <v>550</v>
      </c>
      <c r="AE33" s="22" t="s">
        <v>60</v>
      </c>
      <c r="AF33" s="19">
        <v>0</v>
      </c>
      <c r="AG33" s="19">
        <v>0</v>
      </c>
      <c r="AH33" s="24">
        <f>IF(ISNUMBER(Tabella2[[#This Row],[Mean RADIAL stress  (MPa)]]), Tabella2[[#This Row],[Mean RADIAL stress  (MPa)]],"")</f>
        <v>0</v>
      </c>
      <c r="AI33" s="19">
        <f>IF(ISNUMBER(Tabella2[[#This Row],[Amplitute RADIAL stress  (MPa)]]), Tabella2[[#This Row],[Amplitute RADIAL stress  (MPa)]],"")</f>
        <v>0</v>
      </c>
      <c r="AJ33" s="1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3" s="19">
        <f>IF(ISNUMBER(Tabella2[[#This Row],[Amplitute AXIAL stress  (MPa)]]),    IF(Tabella2[[#This Row],[derived from (AXIAL/BENDING) load]]="AXIAL",Tabella2[[#This Row],[Amplitute AXIAL stress  (MPa)]]*Tabella2[[#This Row],[Area (mm^2)]],"Null"), "")</f>
        <v>10799.224746714914</v>
      </c>
      <c r="AL33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3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3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3" s="19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3" s="2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3" s="2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</v>
      </c>
    </row>
    <row r="34" spans="1:43" ht="20.100000000000001" customHeight="1" x14ac:dyDescent="0.25">
      <c r="A34" s="33" t="s">
        <v>65</v>
      </c>
      <c r="B34" s="33">
        <v>2018</v>
      </c>
      <c r="C34" s="33" t="s">
        <v>64</v>
      </c>
      <c r="D34" s="33" t="s">
        <v>102</v>
      </c>
      <c r="E34" s="33">
        <v>404746.825120622</v>
      </c>
      <c r="F34" s="33" t="s">
        <v>20</v>
      </c>
      <c r="G34" s="33" t="s">
        <v>70</v>
      </c>
      <c r="H34" s="33" t="e" vm="3">
        <v>#VALUE!</v>
      </c>
      <c r="I34" s="33" t="s">
        <v>27</v>
      </c>
      <c r="J34" s="33" t="s">
        <v>32</v>
      </c>
      <c r="K34" s="33" t="s">
        <v>21</v>
      </c>
      <c r="L34" s="33" t="s">
        <v>21</v>
      </c>
      <c r="M34" s="33">
        <v>0</v>
      </c>
      <c r="N34" s="33">
        <v>14</v>
      </c>
      <c r="O34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4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4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4" s="33">
        <v>0</v>
      </c>
      <c r="S34" s="33">
        <v>0</v>
      </c>
      <c r="T34" s="33">
        <v>0</v>
      </c>
      <c r="U34" s="60">
        <v>150</v>
      </c>
      <c r="V34" s="60">
        <v>150</v>
      </c>
      <c r="W34" s="60">
        <v>150</v>
      </c>
      <c r="X34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4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4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4" s="38">
        <v>0</v>
      </c>
      <c r="AB34" s="38">
        <v>0</v>
      </c>
      <c r="AC34" s="21">
        <v>0</v>
      </c>
      <c r="AD34" s="14">
        <v>123.69405788867201</v>
      </c>
      <c r="AE34" s="36" t="s">
        <v>60</v>
      </c>
      <c r="AF34" s="38">
        <v>0</v>
      </c>
      <c r="AG34" s="38">
        <v>0</v>
      </c>
      <c r="AH34" s="23">
        <f>IF(ISNUMBER(Tabella2[[#This Row],[Mean RADIAL stress  (MPa)]]), Tabella2[[#This Row],[Mean RADIAL stress  (MPa)]],"")</f>
        <v>0</v>
      </c>
      <c r="AI34" s="38">
        <f>IF(ISNUMBER(Tabella2[[#This Row],[Amplitute RADIAL stress  (MPa)]]), Tabella2[[#This Row],[Amplitute RADIAL stress  (MPa)]],"")</f>
        <v>0</v>
      </c>
      <c r="AJ34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4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19041.220834232365</v>
      </c>
      <c r="AL34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4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4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4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4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4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123.69405788867201</v>
      </c>
    </row>
    <row r="35" spans="1:43" ht="20.100000000000001" customHeight="1" x14ac:dyDescent="0.25">
      <c r="A35" s="33" t="s">
        <v>65</v>
      </c>
      <c r="B35" s="33">
        <v>2018</v>
      </c>
      <c r="C35" s="33" t="s">
        <v>64</v>
      </c>
      <c r="D35" s="33" t="s">
        <v>103</v>
      </c>
      <c r="E35" s="35">
        <v>508719.92174515402</v>
      </c>
      <c r="F35" s="33" t="s">
        <v>20</v>
      </c>
      <c r="G35" s="33" t="s">
        <v>70</v>
      </c>
      <c r="H35" s="33" t="e" vm="3">
        <v>#VALUE!</v>
      </c>
      <c r="I35" s="33" t="s">
        <v>27</v>
      </c>
      <c r="J35" s="33" t="s">
        <v>32</v>
      </c>
      <c r="K35" s="33" t="s">
        <v>21</v>
      </c>
      <c r="L35" s="33" t="s">
        <v>21</v>
      </c>
      <c r="M35" s="33">
        <v>0</v>
      </c>
      <c r="N35" s="33">
        <v>14</v>
      </c>
      <c r="O35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5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5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5" s="33">
        <v>0</v>
      </c>
      <c r="S35" s="33">
        <v>0</v>
      </c>
      <c r="T35" s="33">
        <v>0</v>
      </c>
      <c r="U35" s="60">
        <v>150</v>
      </c>
      <c r="V35" s="60">
        <v>150</v>
      </c>
      <c r="W35" s="60">
        <v>150</v>
      </c>
      <c r="X35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5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5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5" s="38">
        <v>0</v>
      </c>
      <c r="AB35" s="38">
        <v>0</v>
      </c>
      <c r="AC35" s="21">
        <v>0</v>
      </c>
      <c r="AD35" s="14">
        <v>123.75792076544801</v>
      </c>
      <c r="AE35" s="36" t="s">
        <v>60</v>
      </c>
      <c r="AF35" s="38">
        <v>0</v>
      </c>
      <c r="AG35" s="38">
        <v>0</v>
      </c>
      <c r="AH35" s="23">
        <f>IF(ISNUMBER(Tabella2[[#This Row],[Mean RADIAL stress  (MPa)]]), Tabella2[[#This Row],[Mean RADIAL stress  (MPa)]],"")</f>
        <v>0</v>
      </c>
      <c r="AI35" s="38">
        <f>IF(ISNUMBER(Tabella2[[#This Row],[Amplitute RADIAL stress  (MPa)]]), Tabella2[[#This Row],[Amplitute RADIAL stress  (MPa)]],"")</f>
        <v>0</v>
      </c>
      <c r="AJ35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5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19051.051760313676</v>
      </c>
      <c r="AL35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5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5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5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5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5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123.75792076544801</v>
      </c>
    </row>
    <row r="36" spans="1:43" ht="20.100000000000001" customHeight="1" x14ac:dyDescent="0.25">
      <c r="A36" s="33" t="s">
        <v>65</v>
      </c>
      <c r="B36" s="33">
        <v>2018</v>
      </c>
      <c r="C36" s="33" t="s">
        <v>64</v>
      </c>
      <c r="D36" s="33" t="s">
        <v>104</v>
      </c>
      <c r="E36" s="35">
        <v>644644.52728365001</v>
      </c>
      <c r="F36" s="33" t="s">
        <v>20</v>
      </c>
      <c r="G36" s="33" t="s">
        <v>70</v>
      </c>
      <c r="H36" s="33" t="e" vm="3">
        <v>#VALUE!</v>
      </c>
      <c r="I36" s="33" t="s">
        <v>27</v>
      </c>
      <c r="J36" s="33" t="s">
        <v>32</v>
      </c>
      <c r="K36" s="33" t="s">
        <v>21</v>
      </c>
      <c r="L36" s="33" t="s">
        <v>21</v>
      </c>
      <c r="M36" s="33">
        <v>0</v>
      </c>
      <c r="N36" s="33">
        <v>14</v>
      </c>
      <c r="O36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6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6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6" s="33">
        <v>0</v>
      </c>
      <c r="S36" s="33">
        <v>0</v>
      </c>
      <c r="T36" s="33">
        <v>0</v>
      </c>
      <c r="U36" s="60">
        <v>150</v>
      </c>
      <c r="V36" s="60">
        <v>150</v>
      </c>
      <c r="W36" s="60">
        <v>150</v>
      </c>
      <c r="X36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6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6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6" s="38">
        <v>0</v>
      </c>
      <c r="AB36" s="38">
        <v>0</v>
      </c>
      <c r="AC36" s="21">
        <v>0</v>
      </c>
      <c r="AD36" s="14">
        <v>123.824099219077</v>
      </c>
      <c r="AE36" s="36" t="s">
        <v>60</v>
      </c>
      <c r="AF36" s="38">
        <v>0</v>
      </c>
      <c r="AG36" s="38">
        <v>0</v>
      </c>
      <c r="AH36" s="23">
        <f>IF(ISNUMBER(Tabella2[[#This Row],[Mean RADIAL stress  (MPa)]]), Tabella2[[#This Row],[Mean RADIAL stress  (MPa)]],"")</f>
        <v>0</v>
      </c>
      <c r="AI36" s="38">
        <f>IF(ISNUMBER(Tabella2[[#This Row],[Amplitute RADIAL stress  (MPa)]]), Tabella2[[#This Row],[Amplitute RADIAL stress  (MPa)]],"")</f>
        <v>0</v>
      </c>
      <c r="AJ36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6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19061.239141757269</v>
      </c>
      <c r="AL36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6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6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6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6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6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123.824099219077</v>
      </c>
    </row>
    <row r="37" spans="1:43" ht="20.100000000000001" customHeight="1" x14ac:dyDescent="0.25">
      <c r="A37" s="33" t="s">
        <v>65</v>
      </c>
      <c r="B37" s="33">
        <v>2018</v>
      </c>
      <c r="C37" s="33" t="s">
        <v>64</v>
      </c>
      <c r="D37" s="33" t="s">
        <v>105</v>
      </c>
      <c r="E37" s="35">
        <v>732849.46659442398</v>
      </c>
      <c r="F37" s="33" t="s">
        <v>20</v>
      </c>
      <c r="G37" s="33" t="s">
        <v>70</v>
      </c>
      <c r="H37" s="33" t="e" vm="3">
        <v>#VALUE!</v>
      </c>
      <c r="I37" s="33" t="s">
        <v>27</v>
      </c>
      <c r="J37" s="33" t="s">
        <v>32</v>
      </c>
      <c r="K37" s="33" t="s">
        <v>21</v>
      </c>
      <c r="L37" s="33" t="s">
        <v>21</v>
      </c>
      <c r="M37" s="33">
        <v>0</v>
      </c>
      <c r="N37" s="33">
        <v>14</v>
      </c>
      <c r="O37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7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7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7" s="33">
        <v>0</v>
      </c>
      <c r="S37" s="33">
        <v>0</v>
      </c>
      <c r="T37" s="33">
        <v>0</v>
      </c>
      <c r="U37" s="60">
        <v>150</v>
      </c>
      <c r="V37" s="60">
        <v>150</v>
      </c>
      <c r="W37" s="60">
        <v>150</v>
      </c>
      <c r="X37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7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7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7" s="38">
        <v>0</v>
      </c>
      <c r="AB37" s="38">
        <v>0</v>
      </c>
      <c r="AC37" s="21">
        <v>0</v>
      </c>
      <c r="AD37" s="14">
        <v>109.902245629625</v>
      </c>
      <c r="AE37" s="36" t="s">
        <v>60</v>
      </c>
      <c r="AF37" s="38">
        <v>0</v>
      </c>
      <c r="AG37" s="38">
        <v>0</v>
      </c>
      <c r="AH37" s="23">
        <f>IF(ISNUMBER(Tabella2[[#This Row],[Mean RADIAL stress  (MPa)]]), Tabella2[[#This Row],[Mean RADIAL stress  (MPa)]],"")</f>
        <v>0</v>
      </c>
      <c r="AI37" s="38">
        <f>IF(ISNUMBER(Tabella2[[#This Row],[Amplitute RADIAL stress  (MPa)]]), Tabella2[[#This Row],[Amplitute RADIAL stress  (MPa)]],"")</f>
        <v>0</v>
      </c>
      <c r="AJ37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7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16918.136286669491</v>
      </c>
      <c r="AL37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7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7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7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7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7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109.902245629625</v>
      </c>
    </row>
    <row r="38" spans="1:43" ht="20.100000000000001" customHeight="1" x14ac:dyDescent="0.25">
      <c r="A38" s="33" t="s">
        <v>65</v>
      </c>
      <c r="B38" s="33">
        <v>2018</v>
      </c>
      <c r="C38" s="33" t="s">
        <v>64</v>
      </c>
      <c r="D38" s="33" t="s">
        <v>106</v>
      </c>
      <c r="E38" s="35">
        <v>1016039.66239513</v>
      </c>
      <c r="F38" s="33" t="s">
        <v>20</v>
      </c>
      <c r="G38" s="33" t="s">
        <v>70</v>
      </c>
      <c r="H38" s="33" t="e" vm="3">
        <v>#VALUE!</v>
      </c>
      <c r="I38" s="33" t="s">
        <v>27</v>
      </c>
      <c r="J38" s="33" t="s">
        <v>32</v>
      </c>
      <c r="K38" s="33" t="s">
        <v>21</v>
      </c>
      <c r="L38" s="33" t="s">
        <v>21</v>
      </c>
      <c r="M38" s="33">
        <v>0</v>
      </c>
      <c r="N38" s="33">
        <v>14</v>
      </c>
      <c r="O38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8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8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8" s="33">
        <v>0</v>
      </c>
      <c r="S38" s="33">
        <v>0</v>
      </c>
      <c r="T38" s="33">
        <v>0</v>
      </c>
      <c r="U38" s="60">
        <v>150</v>
      </c>
      <c r="V38" s="60">
        <v>150</v>
      </c>
      <c r="W38" s="60">
        <v>150</v>
      </c>
      <c r="X38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8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8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8" s="38">
        <v>0</v>
      </c>
      <c r="AB38" s="38">
        <v>0</v>
      </c>
      <c r="AC38" s="21">
        <v>0</v>
      </c>
      <c r="AD38" s="14">
        <v>110.556552616128</v>
      </c>
      <c r="AE38" s="36" t="s">
        <v>60</v>
      </c>
      <c r="AF38" s="38">
        <v>0</v>
      </c>
      <c r="AG38" s="38">
        <v>0</v>
      </c>
      <c r="AH38" s="23">
        <f>IF(ISNUMBER(Tabella2[[#This Row],[Mean RADIAL stress  (MPa)]]), Tabella2[[#This Row],[Mean RADIAL stress  (MPa)]],"")</f>
        <v>0</v>
      </c>
      <c r="AI38" s="38">
        <f>IF(ISNUMBER(Tabella2[[#This Row],[Amplitute RADIAL stress  (MPa)]]), Tabella2[[#This Row],[Amplitute RADIAL stress  (MPa)]],"")</f>
        <v>0</v>
      </c>
      <c r="AJ38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8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17018.859021747016</v>
      </c>
      <c r="AL38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8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8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8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8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8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110.556552616128</v>
      </c>
    </row>
    <row r="39" spans="1:43" ht="20.100000000000001" customHeight="1" x14ac:dyDescent="0.25">
      <c r="A39" s="33" t="s">
        <v>65</v>
      </c>
      <c r="B39" s="33">
        <v>2018</v>
      </c>
      <c r="C39" s="33" t="s">
        <v>64</v>
      </c>
      <c r="D39" s="33" t="s">
        <v>107</v>
      </c>
      <c r="E39" s="35">
        <v>1427365.2572614001</v>
      </c>
      <c r="F39" s="33" t="s">
        <v>20</v>
      </c>
      <c r="G39" s="33" t="s">
        <v>70</v>
      </c>
      <c r="H39" s="33" t="e" vm="3">
        <v>#VALUE!</v>
      </c>
      <c r="I39" s="33" t="s">
        <v>27</v>
      </c>
      <c r="J39" s="33" t="s">
        <v>32</v>
      </c>
      <c r="K39" s="33" t="s">
        <v>21</v>
      </c>
      <c r="L39" s="33" t="s">
        <v>21</v>
      </c>
      <c r="M39" s="33">
        <v>0</v>
      </c>
      <c r="N39" s="33">
        <v>14</v>
      </c>
      <c r="O39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39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39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39" s="33">
        <v>0</v>
      </c>
      <c r="S39" s="33">
        <v>0</v>
      </c>
      <c r="T39" s="33">
        <v>0</v>
      </c>
      <c r="U39" s="60">
        <v>150</v>
      </c>
      <c r="V39" s="60">
        <v>150</v>
      </c>
      <c r="W39" s="60">
        <v>150</v>
      </c>
      <c r="X39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39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39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39" s="38">
        <v>0</v>
      </c>
      <c r="AB39" s="38">
        <v>0</v>
      </c>
      <c r="AC39" s="21">
        <v>0</v>
      </c>
      <c r="AD39" s="14">
        <v>95.1585761308299</v>
      </c>
      <c r="AE39" s="36" t="s">
        <v>60</v>
      </c>
      <c r="AF39" s="38">
        <v>0</v>
      </c>
      <c r="AG39" s="38">
        <v>0</v>
      </c>
      <c r="AH39" s="23">
        <f>IF(ISNUMBER(Tabella2[[#This Row],[Mean RADIAL stress  (MPa)]]), Tabella2[[#This Row],[Mean RADIAL stress  (MPa)]],"")</f>
        <v>0</v>
      </c>
      <c r="AI39" s="38">
        <f>IF(ISNUMBER(Tabella2[[#This Row],[Amplitute RADIAL stress  (MPa)]]), Tabella2[[#This Row],[Amplitute RADIAL stress  (MPa)]],"")</f>
        <v>0</v>
      </c>
      <c r="AJ39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39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14648.524701235332</v>
      </c>
      <c r="AL39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39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39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39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39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39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95.1585761308299</v>
      </c>
    </row>
    <row r="40" spans="1:43" ht="20.100000000000001" customHeight="1" x14ac:dyDescent="0.25">
      <c r="A40" s="33" t="s">
        <v>65</v>
      </c>
      <c r="B40" s="33">
        <v>2018</v>
      </c>
      <c r="C40" s="33" t="s">
        <v>64</v>
      </c>
      <c r="D40" s="33" t="s">
        <v>108</v>
      </c>
      <c r="E40" s="33">
        <v>1452386.7941518</v>
      </c>
      <c r="F40" s="33" t="s">
        <v>20</v>
      </c>
      <c r="G40" s="33" t="s">
        <v>70</v>
      </c>
      <c r="H40" s="33" t="e" vm="3">
        <v>#VALUE!</v>
      </c>
      <c r="I40" s="33" t="s">
        <v>27</v>
      </c>
      <c r="J40" s="33" t="s">
        <v>32</v>
      </c>
      <c r="K40" s="33" t="s">
        <v>21</v>
      </c>
      <c r="L40" s="33" t="s">
        <v>21</v>
      </c>
      <c r="M40" s="33">
        <v>0</v>
      </c>
      <c r="N40" s="33">
        <v>14</v>
      </c>
      <c r="O40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0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0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0" s="33">
        <v>0</v>
      </c>
      <c r="S40" s="33">
        <v>0</v>
      </c>
      <c r="T40" s="33">
        <v>0</v>
      </c>
      <c r="U40" s="60">
        <v>150</v>
      </c>
      <c r="V40" s="60">
        <v>150</v>
      </c>
      <c r="W40" s="60">
        <v>150</v>
      </c>
      <c r="X40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0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0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0" s="38">
        <v>0</v>
      </c>
      <c r="AB40" s="38">
        <v>0</v>
      </c>
      <c r="AC40" s="21">
        <v>0</v>
      </c>
      <c r="AD40" s="14">
        <v>100.23993486787001</v>
      </c>
      <c r="AE40" s="36" t="s">
        <v>60</v>
      </c>
      <c r="AF40" s="38">
        <v>0</v>
      </c>
      <c r="AG40" s="38">
        <v>0</v>
      </c>
      <c r="AH40" s="23">
        <f>IF(ISNUMBER(Tabella2[[#This Row],[Mean RADIAL stress  (MPa)]]), Tabella2[[#This Row],[Mean RADIAL stress  (MPa)]],"")</f>
        <v>0</v>
      </c>
      <c r="AI40" s="38">
        <f>IF(ISNUMBER(Tabella2[[#This Row],[Amplitute RADIAL stress  (MPa)]]), Tabella2[[#This Row],[Amplitute RADIAL stress  (MPa)]],"")</f>
        <v>0</v>
      </c>
      <c r="AJ40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0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15430.739105883767</v>
      </c>
      <c r="AL40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0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0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0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0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0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100.23993486787001</v>
      </c>
    </row>
    <row r="41" spans="1:43" ht="20.100000000000001" customHeight="1" x14ac:dyDescent="0.25">
      <c r="A41" s="33" t="s">
        <v>65</v>
      </c>
      <c r="B41" s="33">
        <v>2018</v>
      </c>
      <c r="C41" s="33" t="s">
        <v>64</v>
      </c>
      <c r="D41" s="33" t="s">
        <v>109</v>
      </c>
      <c r="E41" s="33">
        <v>1722441.88711992</v>
      </c>
      <c r="F41" s="33" t="s">
        <v>20</v>
      </c>
      <c r="G41" s="33" t="s">
        <v>70</v>
      </c>
      <c r="H41" s="33" t="e" vm="3">
        <v>#VALUE!</v>
      </c>
      <c r="I41" s="33" t="s">
        <v>27</v>
      </c>
      <c r="J41" s="33" t="s">
        <v>32</v>
      </c>
      <c r="K41" s="33" t="s">
        <v>21</v>
      </c>
      <c r="L41" s="33" t="s">
        <v>21</v>
      </c>
      <c r="M41" s="33">
        <v>0</v>
      </c>
      <c r="N41" s="33">
        <v>14</v>
      </c>
      <c r="O41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1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1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1" s="33">
        <v>0</v>
      </c>
      <c r="S41" s="33">
        <v>0</v>
      </c>
      <c r="T41" s="33">
        <v>0</v>
      </c>
      <c r="U41" s="60">
        <v>150</v>
      </c>
      <c r="V41" s="60">
        <v>150</v>
      </c>
      <c r="W41" s="60">
        <v>150</v>
      </c>
      <c r="X41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1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1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1" s="38">
        <v>0</v>
      </c>
      <c r="AB41" s="38">
        <v>0</v>
      </c>
      <c r="AC41" s="21">
        <v>0</v>
      </c>
      <c r="AD41" s="14">
        <v>95.695112020103494</v>
      </c>
      <c r="AE41" s="36" t="s">
        <v>60</v>
      </c>
      <c r="AF41" s="38">
        <v>0</v>
      </c>
      <c r="AG41" s="38">
        <v>0</v>
      </c>
      <c r="AH41" s="23">
        <f>IF(ISNUMBER(Tabella2[[#This Row],[Mean RADIAL stress  (MPa)]]), Tabella2[[#This Row],[Mean RADIAL stress  (MPa)]],"")</f>
        <v>0</v>
      </c>
      <c r="AI41" s="38">
        <f>IF(ISNUMBER(Tabella2[[#This Row],[Amplitute RADIAL stress  (MPa)]]), Tabella2[[#This Row],[Amplitute RADIAL stress  (MPa)]],"")</f>
        <v>0</v>
      </c>
      <c r="AJ41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1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14731.117984433662</v>
      </c>
      <c r="AL41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1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1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1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1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1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95.695112020103494</v>
      </c>
    </row>
    <row r="42" spans="1:43" ht="20.100000000000001" customHeight="1" x14ac:dyDescent="0.25">
      <c r="A42" s="33" t="s">
        <v>65</v>
      </c>
      <c r="B42" s="33">
        <v>2018</v>
      </c>
      <c r="C42" s="33" t="s">
        <v>64</v>
      </c>
      <c r="D42" s="33" t="s">
        <v>110</v>
      </c>
      <c r="E42" s="33">
        <v>2271238.7387154</v>
      </c>
      <c r="F42" s="33" t="s">
        <v>20</v>
      </c>
      <c r="G42" s="33" t="s">
        <v>70</v>
      </c>
      <c r="H42" s="33" t="e" vm="3">
        <v>#VALUE!</v>
      </c>
      <c r="I42" s="33" t="s">
        <v>27</v>
      </c>
      <c r="J42" s="33" t="s">
        <v>32</v>
      </c>
      <c r="K42" s="33" t="s">
        <v>21</v>
      </c>
      <c r="L42" s="33" t="s">
        <v>21</v>
      </c>
      <c r="M42" s="33">
        <v>0</v>
      </c>
      <c r="N42" s="33">
        <v>14</v>
      </c>
      <c r="O42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2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2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2" s="33">
        <v>0</v>
      </c>
      <c r="S42" s="33">
        <v>0</v>
      </c>
      <c r="T42" s="33">
        <v>0</v>
      </c>
      <c r="U42" s="60">
        <v>150</v>
      </c>
      <c r="V42" s="60">
        <v>150</v>
      </c>
      <c r="W42" s="60">
        <v>150</v>
      </c>
      <c r="X42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2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2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2" s="38">
        <v>0</v>
      </c>
      <c r="AB42" s="38">
        <v>0</v>
      </c>
      <c r="AC42" s="21">
        <v>0</v>
      </c>
      <c r="AD42" s="14">
        <v>90.904446999322104</v>
      </c>
      <c r="AE42" s="36" t="s">
        <v>60</v>
      </c>
      <c r="AF42" s="38">
        <v>0</v>
      </c>
      <c r="AG42" s="38">
        <v>0</v>
      </c>
      <c r="AH42" s="23">
        <f>IF(ISNUMBER(Tabella2[[#This Row],[Mean RADIAL stress  (MPa)]]), Tabella2[[#This Row],[Mean RADIAL stress  (MPa)]],"")</f>
        <v>0</v>
      </c>
      <c r="AI42" s="38">
        <f>IF(ISNUMBER(Tabella2[[#This Row],[Amplitute RADIAL stress  (MPa)]]), Tabella2[[#This Row],[Amplitute RADIAL stress  (MPa)]],"")</f>
        <v>0</v>
      </c>
      <c r="AJ42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2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13993.652400713938</v>
      </c>
      <c r="AL42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2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2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2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2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2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90.904446999322104</v>
      </c>
    </row>
    <row r="43" spans="1:43" ht="20.100000000000001" customHeight="1" x14ac:dyDescent="0.25">
      <c r="A43" s="33" t="s">
        <v>65</v>
      </c>
      <c r="B43" s="33">
        <v>2018</v>
      </c>
      <c r="C43" s="33" t="s">
        <v>64</v>
      </c>
      <c r="D43" s="33" t="s">
        <v>111</v>
      </c>
      <c r="E43" s="33">
        <v>2466545.3859769301</v>
      </c>
      <c r="F43" s="33" t="s">
        <v>20</v>
      </c>
      <c r="G43" s="33" t="s">
        <v>70</v>
      </c>
      <c r="H43" s="33" t="e" vm="3">
        <v>#VALUE!</v>
      </c>
      <c r="I43" s="33" t="s">
        <v>27</v>
      </c>
      <c r="J43" s="33" t="s">
        <v>32</v>
      </c>
      <c r="K43" s="33" t="s">
        <v>21</v>
      </c>
      <c r="L43" s="33" t="s">
        <v>21</v>
      </c>
      <c r="M43" s="33">
        <v>0</v>
      </c>
      <c r="N43" s="33">
        <v>14</v>
      </c>
      <c r="O43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3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3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3" s="33">
        <v>0</v>
      </c>
      <c r="S43" s="33">
        <v>0</v>
      </c>
      <c r="T43" s="33">
        <v>0</v>
      </c>
      <c r="U43" s="60">
        <v>150</v>
      </c>
      <c r="V43" s="60">
        <v>150</v>
      </c>
      <c r="W43" s="60">
        <v>150</v>
      </c>
      <c r="X43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3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3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3" s="38">
        <v>0</v>
      </c>
      <c r="AB43" s="38">
        <v>0</v>
      </c>
      <c r="AC43" s="21">
        <v>0</v>
      </c>
      <c r="AD43" s="14">
        <v>94.7821709791952</v>
      </c>
      <c r="AE43" s="36" t="s">
        <v>60</v>
      </c>
      <c r="AF43" s="38">
        <v>0</v>
      </c>
      <c r="AG43" s="38">
        <v>0</v>
      </c>
      <c r="AH43" s="23">
        <f>IF(ISNUMBER(Tabella2[[#This Row],[Mean RADIAL stress  (MPa)]]), Tabella2[[#This Row],[Mean RADIAL stress  (MPa)]],"")</f>
        <v>0</v>
      </c>
      <c r="AI43" s="38">
        <f>IF(ISNUMBER(Tabella2[[#This Row],[Amplitute RADIAL stress  (MPa)]]), Tabella2[[#This Row],[Amplitute RADIAL stress  (MPa)]],"")</f>
        <v>0</v>
      </c>
      <c r="AJ43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3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14590.581629937034</v>
      </c>
      <c r="AL43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3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3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3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3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3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94.7821709791952</v>
      </c>
    </row>
    <row r="44" spans="1:43" ht="20.100000000000001" customHeight="1" x14ac:dyDescent="0.25">
      <c r="A44" s="33" t="s">
        <v>65</v>
      </c>
      <c r="B44" s="33">
        <v>2018</v>
      </c>
      <c r="C44" s="33" t="s">
        <v>64</v>
      </c>
      <c r="D44" s="33" t="s">
        <v>112</v>
      </c>
      <c r="E44" s="33">
        <v>3306323.2095004702</v>
      </c>
      <c r="F44" s="33" t="s">
        <v>20</v>
      </c>
      <c r="G44" s="33" t="s">
        <v>70</v>
      </c>
      <c r="H44" s="33" t="e" vm="3">
        <v>#VALUE!</v>
      </c>
      <c r="I44" s="33" t="s">
        <v>27</v>
      </c>
      <c r="J44" s="33" t="s">
        <v>32</v>
      </c>
      <c r="K44" s="33" t="s">
        <v>21</v>
      </c>
      <c r="L44" s="33" t="s">
        <v>21</v>
      </c>
      <c r="M44" s="33">
        <v>0</v>
      </c>
      <c r="N44" s="33">
        <v>14</v>
      </c>
      <c r="O44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4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4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4" s="33">
        <v>0</v>
      </c>
      <c r="S44" s="33">
        <v>0</v>
      </c>
      <c r="T44" s="33">
        <v>0</v>
      </c>
      <c r="U44" s="60">
        <v>150</v>
      </c>
      <c r="V44" s="60">
        <v>150</v>
      </c>
      <c r="W44" s="60">
        <v>150</v>
      </c>
      <c r="X44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4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4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4" s="38">
        <v>0</v>
      </c>
      <c r="AB44" s="38">
        <v>0</v>
      </c>
      <c r="AC44" s="21">
        <v>0</v>
      </c>
      <c r="AD44" s="14">
        <v>90.5098240922689</v>
      </c>
      <c r="AE44" s="36" t="s">
        <v>60</v>
      </c>
      <c r="AF44" s="38">
        <v>0</v>
      </c>
      <c r="AG44" s="38">
        <v>0</v>
      </c>
      <c r="AH44" s="23">
        <f>IF(ISNUMBER(Tabella2[[#This Row],[Mean RADIAL stress  (MPa)]]), Tabella2[[#This Row],[Mean RADIAL stress  (MPa)]],"")</f>
        <v>0</v>
      </c>
      <c r="AI44" s="38">
        <f>IF(ISNUMBER(Tabella2[[#This Row],[Amplitute RADIAL stress  (MPa)]]), Tabella2[[#This Row],[Amplitute RADIAL stress  (MPa)]],"")</f>
        <v>0</v>
      </c>
      <c r="AJ44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4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13932.904923852844</v>
      </c>
      <c r="AL44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4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4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4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4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4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90.5098240922689</v>
      </c>
    </row>
    <row r="45" spans="1:43" ht="20.100000000000001" customHeight="1" x14ac:dyDescent="0.25">
      <c r="A45" s="33" t="s">
        <v>65</v>
      </c>
      <c r="B45" s="33">
        <v>2018</v>
      </c>
      <c r="C45" s="33" t="s">
        <v>64</v>
      </c>
      <c r="D45" s="33" t="s">
        <v>113</v>
      </c>
      <c r="E45" s="33">
        <v>3583503.2049856298</v>
      </c>
      <c r="F45" s="33" t="s">
        <v>20</v>
      </c>
      <c r="G45" s="33" t="s">
        <v>70</v>
      </c>
      <c r="H45" s="33" t="e" vm="3">
        <v>#VALUE!</v>
      </c>
      <c r="I45" s="33" t="s">
        <v>27</v>
      </c>
      <c r="J45" s="33" t="s">
        <v>32</v>
      </c>
      <c r="K45" s="33" t="s">
        <v>21</v>
      </c>
      <c r="L45" s="33" t="s">
        <v>21</v>
      </c>
      <c r="M45" s="33">
        <v>0</v>
      </c>
      <c r="N45" s="33">
        <v>14</v>
      </c>
      <c r="O45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5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5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5" s="33">
        <v>0</v>
      </c>
      <c r="S45" s="33">
        <v>0</v>
      </c>
      <c r="T45" s="33">
        <v>0</v>
      </c>
      <c r="U45" s="60">
        <v>150</v>
      </c>
      <c r="V45" s="60">
        <v>150</v>
      </c>
      <c r="W45" s="60">
        <v>150</v>
      </c>
      <c r="X45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5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5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5" s="38">
        <v>0</v>
      </c>
      <c r="AB45" s="38">
        <v>0</v>
      </c>
      <c r="AC45" s="21">
        <v>0</v>
      </c>
      <c r="AD45" s="14">
        <v>85.495108692187898</v>
      </c>
      <c r="AE45" s="36" t="s">
        <v>60</v>
      </c>
      <c r="AF45" s="38">
        <v>0</v>
      </c>
      <c r="AG45" s="38">
        <v>0</v>
      </c>
      <c r="AH45" s="23">
        <f>IF(ISNUMBER(Tabella2[[#This Row],[Mean RADIAL stress  (MPa)]]), Tabella2[[#This Row],[Mean RADIAL stress  (MPa)]],"")</f>
        <v>0</v>
      </c>
      <c r="AI45" s="38">
        <f>IF(ISNUMBER(Tabella2[[#This Row],[Amplitute RADIAL stress  (MPa)]]), Tabella2[[#This Row],[Amplitute RADIAL stress  (MPa)]],"")</f>
        <v>0</v>
      </c>
      <c r="AJ45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5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13160.949463876679</v>
      </c>
      <c r="AL45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5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5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5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5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5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85.495108692187898</v>
      </c>
    </row>
    <row r="46" spans="1:43" ht="20.100000000000001" customHeight="1" x14ac:dyDescent="0.25">
      <c r="A46" s="33" t="s">
        <v>65</v>
      </c>
      <c r="B46" s="33">
        <v>2018</v>
      </c>
      <c r="C46" s="33" t="s">
        <v>64</v>
      </c>
      <c r="D46" s="33" t="s">
        <v>114</v>
      </c>
      <c r="E46" s="33">
        <v>3830217.7087692898</v>
      </c>
      <c r="F46" s="33" t="s">
        <v>20</v>
      </c>
      <c r="G46" s="33" t="s">
        <v>70</v>
      </c>
      <c r="H46" s="33" t="e" vm="3">
        <v>#VALUE!</v>
      </c>
      <c r="I46" s="33" t="s">
        <v>27</v>
      </c>
      <c r="J46" s="33" t="s">
        <v>32</v>
      </c>
      <c r="K46" s="33" t="s">
        <v>21</v>
      </c>
      <c r="L46" s="33" t="s">
        <v>21</v>
      </c>
      <c r="M46" s="33">
        <v>0</v>
      </c>
      <c r="N46" s="33">
        <v>14</v>
      </c>
      <c r="O46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6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6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6" s="33">
        <v>0</v>
      </c>
      <c r="S46" s="33">
        <v>0</v>
      </c>
      <c r="T46" s="33">
        <v>0</v>
      </c>
      <c r="U46" s="60">
        <v>150</v>
      </c>
      <c r="V46" s="60">
        <v>150</v>
      </c>
      <c r="W46" s="60">
        <v>150</v>
      </c>
      <c r="X46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6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6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6" s="38">
        <v>0</v>
      </c>
      <c r="AB46" s="38">
        <v>0</v>
      </c>
      <c r="AC46" s="21">
        <v>0</v>
      </c>
      <c r="AD46" s="14">
        <v>91.0117596297669</v>
      </c>
      <c r="AE46" s="36" t="s">
        <v>60</v>
      </c>
      <c r="AF46" s="38">
        <v>0</v>
      </c>
      <c r="AG46" s="38">
        <v>0</v>
      </c>
      <c r="AH46" s="23">
        <f>IF(ISNUMBER(Tabella2[[#This Row],[Mean RADIAL stress  (MPa)]]), Tabella2[[#This Row],[Mean RADIAL stress  (MPa)]],"")</f>
        <v>0</v>
      </c>
      <c r="AI46" s="38">
        <f>IF(ISNUMBER(Tabella2[[#This Row],[Amplitute RADIAL stress  (MPa)]]), Tabella2[[#This Row],[Amplitute RADIAL stress  (MPa)]],"")</f>
        <v>0</v>
      </c>
      <c r="AJ46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6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14010.171896714633</v>
      </c>
      <c r="AL46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6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6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6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6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6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91.0117596297669</v>
      </c>
    </row>
    <row r="47" spans="1:43" s="17" customFormat="1" ht="20.100000000000001" customHeight="1" thickBot="1" x14ac:dyDescent="0.3">
      <c r="A47" s="17" t="s">
        <v>65</v>
      </c>
      <c r="B47" s="17">
        <v>2018</v>
      </c>
      <c r="C47" s="17" t="s">
        <v>64</v>
      </c>
      <c r="D47" s="17" t="s">
        <v>115</v>
      </c>
      <c r="E47" s="17">
        <v>5714059.5241061598</v>
      </c>
      <c r="F47" s="17" t="s">
        <v>20</v>
      </c>
      <c r="G47" s="17" t="s">
        <v>70</v>
      </c>
      <c r="H47" s="17" t="e" vm="3">
        <v>#VALUE!</v>
      </c>
      <c r="I47" s="17" t="s">
        <v>27</v>
      </c>
      <c r="J47" s="17" t="s">
        <v>32</v>
      </c>
      <c r="K47" s="17" t="s">
        <v>21</v>
      </c>
      <c r="L47" s="17" t="s">
        <v>21</v>
      </c>
      <c r="M47" s="17">
        <v>0</v>
      </c>
      <c r="N47" s="17">
        <v>14</v>
      </c>
      <c r="O47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7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7" s="18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7" s="17">
        <v>0</v>
      </c>
      <c r="S47" s="17">
        <v>0</v>
      </c>
      <c r="T47" s="17">
        <v>0</v>
      </c>
      <c r="U47" s="61">
        <v>150</v>
      </c>
      <c r="V47" s="61">
        <v>150</v>
      </c>
      <c r="W47" s="61">
        <v>150</v>
      </c>
      <c r="X47" s="1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7" s="17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7" s="17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7" s="19">
        <v>0</v>
      </c>
      <c r="AB47" s="19">
        <v>0</v>
      </c>
      <c r="AC47" s="19">
        <v>0</v>
      </c>
      <c r="AD47" s="20">
        <v>90.621682407055005</v>
      </c>
      <c r="AE47" s="22" t="s">
        <v>60</v>
      </c>
      <c r="AF47" s="19">
        <v>0</v>
      </c>
      <c r="AG47" s="19">
        <v>0</v>
      </c>
      <c r="AH47" s="24">
        <f>IF(ISNUMBER(Tabella2[[#This Row],[Mean RADIAL stress  (MPa)]]), Tabella2[[#This Row],[Mean RADIAL stress  (MPa)]],"")</f>
        <v>0</v>
      </c>
      <c r="AI47" s="19">
        <f>IF(ISNUMBER(Tabella2[[#This Row],[Amplitute RADIAL stress  (MPa)]]), Tabella2[[#This Row],[Amplitute RADIAL stress  (MPa)]],"")</f>
        <v>0</v>
      </c>
      <c r="AJ47" s="1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7" s="19">
        <f>IF(ISNUMBER(Tabella2[[#This Row],[Amplitute AXIAL stress  (MPa)]]),    IF(Tabella2[[#This Row],[derived from (AXIAL/BENDING) load]]="AXIAL",Tabella2[[#This Row],[Amplitute AXIAL stress  (MPa)]]*Tabella2[[#This Row],[Area (mm^2)]],"Null"), "")</f>
        <v>13950.124173591617</v>
      </c>
      <c r="AL47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7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7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7" s="19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7" s="20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7" s="2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90.621682407055005</v>
      </c>
    </row>
    <row r="48" spans="1:43" ht="20.100000000000001" customHeight="1" x14ac:dyDescent="0.25">
      <c r="A48" s="33" t="s">
        <v>68</v>
      </c>
      <c r="B48" s="33">
        <v>2022</v>
      </c>
      <c r="C48" s="33" t="s">
        <v>67</v>
      </c>
      <c r="D48" s="33" t="s">
        <v>116</v>
      </c>
      <c r="E48" s="33">
        <v>1178000</v>
      </c>
      <c r="F48" s="33" t="s">
        <v>20</v>
      </c>
      <c r="G48" s="33" t="s">
        <v>70</v>
      </c>
      <c r="H48" s="33" t="e" vm="4">
        <v>#VALUE!</v>
      </c>
      <c r="I48" s="33" t="s">
        <v>27</v>
      </c>
      <c r="J48" s="33" t="s">
        <v>32</v>
      </c>
      <c r="K48" s="33" t="s">
        <v>21</v>
      </c>
      <c r="L48" s="33" t="s">
        <v>21</v>
      </c>
      <c r="M48" s="33">
        <v>0</v>
      </c>
      <c r="N48" s="33">
        <v>14</v>
      </c>
      <c r="O48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8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8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8" s="33">
        <v>0</v>
      </c>
      <c r="S48" s="33">
        <v>0</v>
      </c>
      <c r="T48" s="33">
        <v>0</v>
      </c>
      <c r="U48" s="60" t="s">
        <v>164</v>
      </c>
      <c r="V48" s="60" t="s">
        <v>164</v>
      </c>
      <c r="W48" s="60" t="s">
        <v>164</v>
      </c>
      <c r="X48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8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8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8" s="38">
        <v>0</v>
      </c>
      <c r="AB48" s="38">
        <v>0</v>
      </c>
      <c r="AC48" s="21">
        <v>0</v>
      </c>
      <c r="AD48" s="14">
        <v>100</v>
      </c>
      <c r="AE48" s="36" t="s">
        <v>60</v>
      </c>
      <c r="AF48" s="38">
        <v>0</v>
      </c>
      <c r="AG48" s="38">
        <v>0</v>
      </c>
      <c r="AH48" s="23">
        <f>IF(ISNUMBER(Tabella2[[#This Row],[Mean RADIAL stress  (MPa)]]), Tabella2[[#This Row],[Mean RADIAL stress  (MPa)]],"")</f>
        <v>0</v>
      </c>
      <c r="AI48" s="38">
        <f>IF(ISNUMBER(Tabella2[[#This Row],[Amplitute RADIAL stress  (MPa)]]), Tabella2[[#This Row],[Amplitute RADIAL stress  (MPa)]],"")</f>
        <v>0</v>
      </c>
      <c r="AJ48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8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48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8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8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8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8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8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49" spans="1:43" ht="20.100000000000001" customHeight="1" x14ac:dyDescent="0.25">
      <c r="A49" s="33" t="s">
        <v>68</v>
      </c>
      <c r="B49" s="33">
        <v>2022</v>
      </c>
      <c r="C49" s="33" t="s">
        <v>67</v>
      </c>
      <c r="D49" s="33" t="s">
        <v>117</v>
      </c>
      <c r="E49" s="33">
        <v>204561</v>
      </c>
      <c r="F49" s="33" t="s">
        <v>20</v>
      </c>
      <c r="G49" s="33" t="s">
        <v>70</v>
      </c>
      <c r="H49" s="33" t="e" vm="5">
        <v>#VALUE!</v>
      </c>
      <c r="I49" s="33" t="s">
        <v>27</v>
      </c>
      <c r="J49" s="33" t="s">
        <v>32</v>
      </c>
      <c r="K49" s="33" t="s">
        <v>21</v>
      </c>
      <c r="L49" s="33" t="s">
        <v>21</v>
      </c>
      <c r="M49" s="33">
        <v>0</v>
      </c>
      <c r="N49" s="33">
        <v>14</v>
      </c>
      <c r="O49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49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49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49" s="33">
        <v>0</v>
      </c>
      <c r="S49" s="33">
        <v>0</v>
      </c>
      <c r="T49" s="33">
        <v>0</v>
      </c>
      <c r="U49" s="60" t="s">
        <v>164</v>
      </c>
      <c r="V49" s="60" t="s">
        <v>164</v>
      </c>
      <c r="W49" s="60" t="s">
        <v>164</v>
      </c>
      <c r="X49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49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49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49" s="38">
        <v>0</v>
      </c>
      <c r="AB49" s="38">
        <v>0</v>
      </c>
      <c r="AC49" s="21">
        <v>0</v>
      </c>
      <c r="AD49" s="14">
        <v>150</v>
      </c>
      <c r="AE49" s="36" t="s">
        <v>60</v>
      </c>
      <c r="AF49" s="38">
        <v>0</v>
      </c>
      <c r="AG49" s="38">
        <v>0</v>
      </c>
      <c r="AH49" s="23">
        <f>IF(ISNUMBER(Tabella2[[#This Row],[Mean RADIAL stress  (MPa)]]), Tabella2[[#This Row],[Mean RADIAL stress  (MPa)]],"")</f>
        <v>0</v>
      </c>
      <c r="AI49" s="38">
        <f>IF(ISNUMBER(Tabella2[[#This Row],[Amplitute RADIAL stress  (MPa)]]), Tabella2[[#This Row],[Amplitute RADIAL stress  (MPa)]],"")</f>
        <v>0</v>
      </c>
      <c r="AJ49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49" s="38">
        <f>IF(ISNUMBER(Tabella2[[#This Row],[Amplitute AXIAL stress  (MPa)]]),    IF(Tabella2[[#This Row],[derived from (AXIAL/BENDING) load]]="AXIAL",Tabella2[[#This Row],[Amplitute AXIAL stress  (MPa)]]*Tabella2[[#This Row],[Area (mm^2)]],"Null"), "")</f>
        <v>23090.706003884978</v>
      </c>
      <c r="AL49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49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49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49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49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49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</row>
    <row r="50" spans="1:43" ht="20.100000000000001" customHeight="1" x14ac:dyDescent="0.25">
      <c r="A50" s="33" t="s">
        <v>68</v>
      </c>
      <c r="B50" s="33">
        <v>2022</v>
      </c>
      <c r="C50" s="33" t="s">
        <v>67</v>
      </c>
      <c r="D50" s="33" t="s">
        <v>118</v>
      </c>
      <c r="E50" s="33">
        <v>510918</v>
      </c>
      <c r="F50" s="33" t="s">
        <v>20</v>
      </c>
      <c r="G50" s="33" t="s">
        <v>70</v>
      </c>
      <c r="H50" s="33" t="e" vm="5">
        <v>#VALUE!</v>
      </c>
      <c r="I50" s="33" t="s">
        <v>27</v>
      </c>
      <c r="J50" s="33" t="s">
        <v>32</v>
      </c>
      <c r="K50" s="33" t="s">
        <v>21</v>
      </c>
      <c r="L50" s="33" t="s">
        <v>21</v>
      </c>
      <c r="M50" s="33">
        <v>0</v>
      </c>
      <c r="N50" s="33">
        <v>14</v>
      </c>
      <c r="O50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0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0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0" s="33">
        <v>0</v>
      </c>
      <c r="S50" s="33">
        <v>0</v>
      </c>
      <c r="T50" s="33">
        <v>0</v>
      </c>
      <c r="U50" s="60" t="s">
        <v>164</v>
      </c>
      <c r="V50" s="60" t="s">
        <v>164</v>
      </c>
      <c r="W50" s="60" t="s">
        <v>164</v>
      </c>
      <c r="X50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0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0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0" s="38">
        <v>0</v>
      </c>
      <c r="AB50" s="38">
        <v>0</v>
      </c>
      <c r="AC50" s="21">
        <v>0</v>
      </c>
      <c r="AD50" s="14">
        <v>100</v>
      </c>
      <c r="AE50" s="36" t="s">
        <v>60</v>
      </c>
      <c r="AF50" s="38">
        <v>0</v>
      </c>
      <c r="AG50" s="38">
        <v>0</v>
      </c>
      <c r="AH50" s="23">
        <f>IF(ISNUMBER(Tabella2[[#This Row],[Mean RADIAL stress  (MPa)]]), Tabella2[[#This Row],[Mean RADIAL stress  (MPa)]],"")</f>
        <v>0</v>
      </c>
      <c r="AI50" s="38">
        <f>IF(ISNUMBER(Tabella2[[#This Row],[Amplitute RADIAL stress  (MPa)]]), Tabella2[[#This Row],[Amplitute RADIAL stress  (MPa)]],"")</f>
        <v>0</v>
      </c>
      <c r="AJ50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0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50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0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0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0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0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0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51" spans="1:43" ht="20.100000000000001" customHeight="1" x14ac:dyDescent="0.25">
      <c r="A51" s="33" t="s">
        <v>68</v>
      </c>
      <c r="B51" s="33">
        <v>2022</v>
      </c>
      <c r="C51" s="33" t="s">
        <v>67</v>
      </c>
      <c r="D51" s="33" t="s">
        <v>119</v>
      </c>
      <c r="E51" s="33">
        <v>162541</v>
      </c>
      <c r="F51" s="33" t="s">
        <v>20</v>
      </c>
      <c r="G51" s="33" t="s">
        <v>70</v>
      </c>
      <c r="H51" s="33" t="e" vm="5">
        <v>#VALUE!</v>
      </c>
      <c r="I51" s="33" t="s">
        <v>27</v>
      </c>
      <c r="J51" s="33" t="s">
        <v>32</v>
      </c>
      <c r="K51" s="33" t="s">
        <v>21</v>
      </c>
      <c r="L51" s="33" t="s">
        <v>21</v>
      </c>
      <c r="M51" s="33">
        <v>0</v>
      </c>
      <c r="N51" s="33">
        <v>14</v>
      </c>
      <c r="O51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1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1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1" s="33">
        <v>0</v>
      </c>
      <c r="S51" s="33">
        <v>0</v>
      </c>
      <c r="T51" s="33">
        <v>0</v>
      </c>
      <c r="U51" s="60" t="s">
        <v>164</v>
      </c>
      <c r="V51" s="60" t="s">
        <v>164</v>
      </c>
      <c r="W51" s="60" t="s">
        <v>164</v>
      </c>
      <c r="X51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1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1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1" s="38">
        <v>0</v>
      </c>
      <c r="AB51" s="38">
        <v>0</v>
      </c>
      <c r="AC51" s="21">
        <v>0</v>
      </c>
      <c r="AD51" s="14">
        <v>150</v>
      </c>
      <c r="AE51" s="36" t="s">
        <v>60</v>
      </c>
      <c r="AF51" s="38">
        <v>0</v>
      </c>
      <c r="AG51" s="38">
        <v>0</v>
      </c>
      <c r="AH51" s="23">
        <f>IF(ISNUMBER(Tabella2[[#This Row],[Mean RADIAL stress  (MPa)]]), Tabella2[[#This Row],[Mean RADIAL stress  (MPa)]],"")</f>
        <v>0</v>
      </c>
      <c r="AI51" s="38">
        <f>IF(ISNUMBER(Tabella2[[#This Row],[Amplitute RADIAL stress  (MPa)]]), Tabella2[[#This Row],[Amplitute RADIAL stress  (MPa)]],"")</f>
        <v>0</v>
      </c>
      <c r="AJ51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1" s="38">
        <f>IF(ISNUMBER(Tabella2[[#This Row],[Amplitute AXIAL stress  (MPa)]]),    IF(Tabella2[[#This Row],[derived from (AXIAL/BENDING) load]]="AXIAL",Tabella2[[#This Row],[Amplitute AXIAL stress  (MPa)]]*Tabella2[[#This Row],[Area (mm^2)]],"Null"), "")</f>
        <v>23090.706003884978</v>
      </c>
      <c r="AL51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1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1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1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1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1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</row>
    <row r="52" spans="1:43" ht="20.100000000000001" customHeight="1" x14ac:dyDescent="0.25">
      <c r="A52" s="33" t="s">
        <v>68</v>
      </c>
      <c r="B52" s="33">
        <v>2022</v>
      </c>
      <c r="C52" s="33" t="s">
        <v>67</v>
      </c>
      <c r="D52" s="33" t="s">
        <v>120</v>
      </c>
      <c r="E52" s="33">
        <v>5000000</v>
      </c>
      <c r="F52" s="33" t="s">
        <v>32</v>
      </c>
      <c r="G52" s="33" t="s">
        <v>70</v>
      </c>
      <c r="H52" s="33" t="e" vm="5">
        <v>#VALUE!</v>
      </c>
      <c r="I52" s="33" t="s">
        <v>27</v>
      </c>
      <c r="J52" s="33" t="s">
        <v>32</v>
      </c>
      <c r="K52" s="33" t="s">
        <v>21</v>
      </c>
      <c r="L52" s="33" t="s">
        <v>21</v>
      </c>
      <c r="M52" s="33">
        <v>0</v>
      </c>
      <c r="N52" s="33">
        <v>14</v>
      </c>
      <c r="O52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2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2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2" s="33">
        <v>0</v>
      </c>
      <c r="S52" s="33">
        <v>0</v>
      </c>
      <c r="T52" s="33">
        <v>0</v>
      </c>
      <c r="U52" s="60" t="s">
        <v>164</v>
      </c>
      <c r="V52" s="60" t="s">
        <v>164</v>
      </c>
      <c r="W52" s="60" t="s">
        <v>164</v>
      </c>
      <c r="X52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2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2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2" s="38">
        <v>0</v>
      </c>
      <c r="AB52" s="38">
        <v>0</v>
      </c>
      <c r="AC52" s="21">
        <v>0</v>
      </c>
      <c r="AD52" s="14">
        <v>80</v>
      </c>
      <c r="AE52" s="36" t="s">
        <v>60</v>
      </c>
      <c r="AF52" s="38">
        <v>0</v>
      </c>
      <c r="AG52" s="38">
        <v>0</v>
      </c>
      <c r="AH52" s="23">
        <f>IF(ISNUMBER(Tabella2[[#This Row],[Mean RADIAL stress  (MPa)]]), Tabella2[[#This Row],[Mean RADIAL stress  (MPa)]],"")</f>
        <v>0</v>
      </c>
      <c r="AI52" s="38">
        <f>IF(ISNUMBER(Tabella2[[#This Row],[Amplitute RADIAL stress  (MPa)]]), Tabella2[[#This Row],[Amplitute RADIAL stress  (MPa)]],"")</f>
        <v>0</v>
      </c>
      <c r="AJ52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2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52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2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2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2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2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2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</row>
    <row r="53" spans="1:43" ht="20.100000000000001" customHeight="1" x14ac:dyDescent="0.25">
      <c r="A53" s="33" t="s">
        <v>68</v>
      </c>
      <c r="B53" s="33">
        <v>2022</v>
      </c>
      <c r="C53" s="33" t="s">
        <v>67</v>
      </c>
      <c r="D53" s="33" t="s">
        <v>121</v>
      </c>
      <c r="E53" s="33">
        <v>129589</v>
      </c>
      <c r="F53" s="33" t="s">
        <v>20</v>
      </c>
      <c r="G53" s="33" t="s">
        <v>70</v>
      </c>
      <c r="H53" s="33" t="e" vm="5">
        <v>#VALUE!</v>
      </c>
      <c r="I53" s="33" t="s">
        <v>27</v>
      </c>
      <c r="J53" s="33" t="s">
        <v>32</v>
      </c>
      <c r="K53" s="33" t="s">
        <v>21</v>
      </c>
      <c r="L53" s="33" t="s">
        <v>21</v>
      </c>
      <c r="M53" s="33">
        <v>0</v>
      </c>
      <c r="N53" s="33">
        <v>14</v>
      </c>
      <c r="O53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3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3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3" s="33">
        <v>0</v>
      </c>
      <c r="S53" s="33">
        <v>0</v>
      </c>
      <c r="T53" s="33">
        <v>0</v>
      </c>
      <c r="U53" s="60" t="s">
        <v>164</v>
      </c>
      <c r="V53" s="60" t="s">
        <v>164</v>
      </c>
      <c r="W53" s="60" t="s">
        <v>164</v>
      </c>
      <c r="X53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3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3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3" s="38">
        <v>0</v>
      </c>
      <c r="AB53" s="38">
        <v>0</v>
      </c>
      <c r="AC53" s="21">
        <v>0</v>
      </c>
      <c r="AD53" s="14">
        <v>150</v>
      </c>
      <c r="AE53" s="36" t="s">
        <v>60</v>
      </c>
      <c r="AF53" s="38">
        <v>0</v>
      </c>
      <c r="AG53" s="38">
        <v>0</v>
      </c>
      <c r="AH53" s="23">
        <f>IF(ISNUMBER(Tabella2[[#This Row],[Mean RADIAL stress  (MPa)]]), Tabella2[[#This Row],[Mean RADIAL stress  (MPa)]],"")</f>
        <v>0</v>
      </c>
      <c r="AI53" s="38">
        <f>IF(ISNUMBER(Tabella2[[#This Row],[Amplitute RADIAL stress  (MPa)]]), Tabella2[[#This Row],[Amplitute RADIAL stress  (MPa)]],"")</f>
        <v>0</v>
      </c>
      <c r="AJ53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3" s="38">
        <f>IF(ISNUMBER(Tabella2[[#This Row],[Amplitute AXIAL stress  (MPa)]]),    IF(Tabella2[[#This Row],[derived from (AXIAL/BENDING) load]]="AXIAL",Tabella2[[#This Row],[Amplitute AXIAL stress  (MPa)]]*Tabella2[[#This Row],[Area (mm^2)]],"Null"), "")</f>
        <v>23090.706003884978</v>
      </c>
      <c r="AL53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3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3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3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3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3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</row>
    <row r="54" spans="1:43" ht="20.100000000000001" customHeight="1" x14ac:dyDescent="0.25">
      <c r="A54" s="33" t="s">
        <v>68</v>
      </c>
      <c r="B54" s="33">
        <v>2022</v>
      </c>
      <c r="C54" s="33" t="s">
        <v>67</v>
      </c>
      <c r="D54" s="33" t="s">
        <v>122</v>
      </c>
      <c r="E54" s="33">
        <v>1852540</v>
      </c>
      <c r="F54" s="33" t="s">
        <v>20</v>
      </c>
      <c r="G54" s="33" t="s">
        <v>70</v>
      </c>
      <c r="H54" s="33" t="e" vm="5">
        <v>#VALUE!</v>
      </c>
      <c r="I54" s="33" t="s">
        <v>27</v>
      </c>
      <c r="J54" s="33" t="s">
        <v>32</v>
      </c>
      <c r="K54" s="33" t="s">
        <v>21</v>
      </c>
      <c r="L54" s="33" t="s">
        <v>21</v>
      </c>
      <c r="M54" s="33">
        <v>0</v>
      </c>
      <c r="N54" s="33">
        <v>14</v>
      </c>
      <c r="O54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4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4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4" s="33">
        <v>0</v>
      </c>
      <c r="S54" s="33">
        <v>0</v>
      </c>
      <c r="T54" s="33">
        <v>0</v>
      </c>
      <c r="U54" s="60" t="s">
        <v>164</v>
      </c>
      <c r="V54" s="60" t="s">
        <v>164</v>
      </c>
      <c r="W54" s="60" t="s">
        <v>164</v>
      </c>
      <c r="X54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4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4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4" s="38">
        <v>0</v>
      </c>
      <c r="AB54" s="38">
        <v>0</v>
      </c>
      <c r="AC54" s="21">
        <v>0</v>
      </c>
      <c r="AD54" s="14">
        <v>80</v>
      </c>
      <c r="AE54" s="36" t="s">
        <v>60</v>
      </c>
      <c r="AF54" s="38">
        <v>0</v>
      </c>
      <c r="AG54" s="38">
        <v>0</v>
      </c>
      <c r="AH54" s="23">
        <f>IF(ISNUMBER(Tabella2[[#This Row],[Mean RADIAL stress  (MPa)]]), Tabella2[[#This Row],[Mean RADIAL stress  (MPa)]],"")</f>
        <v>0</v>
      </c>
      <c r="AI54" s="38">
        <f>IF(ISNUMBER(Tabella2[[#This Row],[Amplitute RADIAL stress  (MPa)]]), Tabella2[[#This Row],[Amplitute RADIAL stress  (MPa)]],"")</f>
        <v>0</v>
      </c>
      <c r="AJ54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4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54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4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4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4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4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4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</row>
    <row r="55" spans="1:43" ht="20.100000000000001" customHeight="1" x14ac:dyDescent="0.25">
      <c r="A55" s="33" t="s">
        <v>68</v>
      </c>
      <c r="B55" s="33">
        <v>2022</v>
      </c>
      <c r="C55" s="33" t="s">
        <v>67</v>
      </c>
      <c r="D55" s="33" t="s">
        <v>123</v>
      </c>
      <c r="E55" s="33">
        <v>5000000</v>
      </c>
      <c r="F55" s="33" t="s">
        <v>32</v>
      </c>
      <c r="G55" s="33" t="s">
        <v>70</v>
      </c>
      <c r="H55" s="33" t="e" vm="5">
        <v>#VALUE!</v>
      </c>
      <c r="I55" s="33" t="s">
        <v>27</v>
      </c>
      <c r="J55" s="33" t="s">
        <v>32</v>
      </c>
      <c r="K55" s="33" t="s">
        <v>21</v>
      </c>
      <c r="L55" s="33" t="s">
        <v>21</v>
      </c>
      <c r="M55" s="33">
        <v>0</v>
      </c>
      <c r="N55" s="33">
        <v>14</v>
      </c>
      <c r="O55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5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5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5" s="33">
        <v>0</v>
      </c>
      <c r="S55" s="33">
        <v>0</v>
      </c>
      <c r="T55" s="33">
        <v>0</v>
      </c>
      <c r="U55" s="60" t="s">
        <v>164</v>
      </c>
      <c r="V55" s="60" t="s">
        <v>164</v>
      </c>
      <c r="W55" s="60" t="s">
        <v>164</v>
      </c>
      <c r="X55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5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5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5" s="38">
        <v>0</v>
      </c>
      <c r="AB55" s="38">
        <v>0</v>
      </c>
      <c r="AC55" s="21">
        <v>0</v>
      </c>
      <c r="AD55" s="14">
        <v>80</v>
      </c>
      <c r="AE55" s="36" t="s">
        <v>60</v>
      </c>
      <c r="AF55" s="38">
        <v>0</v>
      </c>
      <c r="AG55" s="38">
        <v>0</v>
      </c>
      <c r="AH55" s="23">
        <f>IF(ISNUMBER(Tabella2[[#This Row],[Mean RADIAL stress  (MPa)]]), Tabella2[[#This Row],[Mean RADIAL stress  (MPa)]],"")</f>
        <v>0</v>
      </c>
      <c r="AI55" s="38">
        <f>IF(ISNUMBER(Tabella2[[#This Row],[Amplitute RADIAL stress  (MPa)]]), Tabella2[[#This Row],[Amplitute RADIAL stress  (MPa)]],"")</f>
        <v>0</v>
      </c>
      <c r="AJ55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5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12315.043202071989</v>
      </c>
      <c r="AL55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5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5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5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5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5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</row>
    <row r="56" spans="1:43" ht="20.100000000000001" customHeight="1" x14ac:dyDescent="0.25">
      <c r="A56" s="33" t="s">
        <v>68</v>
      </c>
      <c r="B56" s="33">
        <v>2022</v>
      </c>
      <c r="C56" s="33" t="s">
        <v>67</v>
      </c>
      <c r="D56" s="33" t="s">
        <v>124</v>
      </c>
      <c r="E56" s="33">
        <v>349233</v>
      </c>
      <c r="F56" s="33" t="s">
        <v>20</v>
      </c>
      <c r="G56" s="33" t="s">
        <v>70</v>
      </c>
      <c r="H56" s="33" t="e" vm="5">
        <v>#VALUE!</v>
      </c>
      <c r="I56" s="33" t="s">
        <v>27</v>
      </c>
      <c r="J56" s="33" t="s">
        <v>32</v>
      </c>
      <c r="K56" s="33" t="s">
        <v>21</v>
      </c>
      <c r="L56" s="33" t="s">
        <v>21</v>
      </c>
      <c r="M56" s="33">
        <v>0</v>
      </c>
      <c r="N56" s="33">
        <v>14</v>
      </c>
      <c r="O56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6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6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6" s="33">
        <v>0</v>
      </c>
      <c r="S56" s="33">
        <v>0</v>
      </c>
      <c r="T56" s="33">
        <v>0</v>
      </c>
      <c r="U56" s="60" t="s">
        <v>164</v>
      </c>
      <c r="V56" s="60" t="s">
        <v>164</v>
      </c>
      <c r="W56" s="60" t="s">
        <v>164</v>
      </c>
      <c r="X56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6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6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6" s="38">
        <v>0</v>
      </c>
      <c r="AB56" s="38">
        <v>0</v>
      </c>
      <c r="AC56" s="21">
        <v>0</v>
      </c>
      <c r="AD56" s="14">
        <v>125</v>
      </c>
      <c r="AE56" s="36" t="s">
        <v>60</v>
      </c>
      <c r="AF56" s="38">
        <v>0</v>
      </c>
      <c r="AG56" s="38">
        <v>0</v>
      </c>
      <c r="AH56" s="23">
        <f>IF(ISNUMBER(Tabella2[[#This Row],[Mean RADIAL stress  (MPa)]]), Tabella2[[#This Row],[Mean RADIAL stress  (MPa)]],"")</f>
        <v>0</v>
      </c>
      <c r="AI56" s="38">
        <f>IF(ISNUMBER(Tabella2[[#This Row],[Amplitute RADIAL stress  (MPa)]]), Tabella2[[#This Row],[Amplitute RADIAL stress  (MPa)]],"")</f>
        <v>0</v>
      </c>
      <c r="AJ56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6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19242.255003237482</v>
      </c>
      <c r="AL56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6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6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6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6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6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</row>
    <row r="57" spans="1:43" ht="20.100000000000001" customHeight="1" x14ac:dyDescent="0.25">
      <c r="A57" s="33" t="s">
        <v>68</v>
      </c>
      <c r="B57" s="33">
        <v>2022</v>
      </c>
      <c r="C57" s="33" t="s">
        <v>67</v>
      </c>
      <c r="D57" s="33" t="s">
        <v>125</v>
      </c>
      <c r="E57" s="33">
        <v>741551</v>
      </c>
      <c r="F57" s="33" t="s">
        <v>20</v>
      </c>
      <c r="G57" s="33" t="s">
        <v>70</v>
      </c>
      <c r="H57" s="33" t="e" vm="5">
        <v>#VALUE!</v>
      </c>
      <c r="I57" s="33" t="s">
        <v>27</v>
      </c>
      <c r="J57" s="33" t="s">
        <v>32</v>
      </c>
      <c r="K57" s="33" t="s">
        <v>21</v>
      </c>
      <c r="L57" s="33" t="s">
        <v>21</v>
      </c>
      <c r="M57" s="33">
        <v>0</v>
      </c>
      <c r="N57" s="33">
        <v>14</v>
      </c>
      <c r="O57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7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7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7" s="33">
        <v>0</v>
      </c>
      <c r="S57" s="33">
        <v>0</v>
      </c>
      <c r="T57" s="33">
        <v>0</v>
      </c>
      <c r="U57" s="60" t="s">
        <v>164</v>
      </c>
      <c r="V57" s="60" t="s">
        <v>164</v>
      </c>
      <c r="W57" s="60" t="s">
        <v>164</v>
      </c>
      <c r="X57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7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7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7" s="38">
        <v>0</v>
      </c>
      <c r="AB57" s="38">
        <v>0</v>
      </c>
      <c r="AC57" s="21">
        <v>0</v>
      </c>
      <c r="AD57" s="14">
        <v>100</v>
      </c>
      <c r="AE57" s="36" t="s">
        <v>60</v>
      </c>
      <c r="AF57" s="38">
        <v>0</v>
      </c>
      <c r="AG57" s="38">
        <v>0</v>
      </c>
      <c r="AH57" s="23">
        <f>IF(ISNUMBER(Tabella2[[#This Row],[Mean RADIAL stress  (MPa)]]), Tabella2[[#This Row],[Mean RADIAL stress  (MPa)]],"")</f>
        <v>0</v>
      </c>
      <c r="AI57" s="38">
        <f>IF(ISNUMBER(Tabella2[[#This Row],[Amplitute RADIAL stress  (MPa)]]), Tabella2[[#This Row],[Amplitute RADIAL stress  (MPa)]],"")</f>
        <v>0</v>
      </c>
      <c r="AJ57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7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15393.804002589985</v>
      </c>
      <c r="AL57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7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7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7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7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7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</row>
    <row r="58" spans="1:43" ht="20.100000000000001" customHeight="1" x14ac:dyDescent="0.25">
      <c r="A58" s="33" t="s">
        <v>68</v>
      </c>
      <c r="B58" s="33">
        <v>2022</v>
      </c>
      <c r="C58" s="33" t="s">
        <v>67</v>
      </c>
      <c r="D58" s="33" t="s">
        <v>126</v>
      </c>
      <c r="E58" s="33">
        <v>286444</v>
      </c>
      <c r="F58" s="33" t="s">
        <v>20</v>
      </c>
      <c r="G58" s="33" t="s">
        <v>70</v>
      </c>
      <c r="H58" s="33" t="e" vm="5">
        <v>#VALUE!</v>
      </c>
      <c r="I58" s="33" t="s">
        <v>27</v>
      </c>
      <c r="J58" s="33" t="s">
        <v>32</v>
      </c>
      <c r="K58" s="33" t="s">
        <v>21</v>
      </c>
      <c r="L58" s="33" t="s">
        <v>21</v>
      </c>
      <c r="M58" s="33">
        <v>0</v>
      </c>
      <c r="N58" s="33">
        <v>14</v>
      </c>
      <c r="O58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8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8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8" s="33">
        <v>0</v>
      </c>
      <c r="S58" s="33">
        <v>0</v>
      </c>
      <c r="T58" s="33">
        <v>0</v>
      </c>
      <c r="U58" s="60" t="s">
        <v>164</v>
      </c>
      <c r="V58" s="60" t="s">
        <v>164</v>
      </c>
      <c r="W58" s="60" t="s">
        <v>164</v>
      </c>
      <c r="X58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8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8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8" s="38">
        <v>0</v>
      </c>
      <c r="AB58" s="38">
        <v>0</v>
      </c>
      <c r="AC58" s="21">
        <v>0</v>
      </c>
      <c r="AD58" s="14">
        <v>125</v>
      </c>
      <c r="AE58" s="36" t="s">
        <v>60</v>
      </c>
      <c r="AF58" s="38">
        <v>0</v>
      </c>
      <c r="AG58" s="38">
        <v>0</v>
      </c>
      <c r="AH58" s="23">
        <f>IF(ISNUMBER(Tabella2[[#This Row],[Mean RADIAL stress  (MPa)]]), Tabella2[[#This Row],[Mean RADIAL stress  (MPa)]],"")</f>
        <v>0</v>
      </c>
      <c r="AI58" s="38">
        <f>IF(ISNUMBER(Tabella2[[#This Row],[Amplitute RADIAL stress  (MPa)]]), Tabella2[[#This Row],[Amplitute RADIAL stress  (MPa)]],"")</f>
        <v>0</v>
      </c>
      <c r="AJ58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8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19242.255003237482</v>
      </c>
      <c r="AL58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8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8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8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8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8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</row>
    <row r="59" spans="1:43" ht="20.100000000000001" customHeight="1" x14ac:dyDescent="0.25">
      <c r="A59" s="33" t="s">
        <v>68</v>
      </c>
      <c r="B59" s="33">
        <v>2022</v>
      </c>
      <c r="C59" s="33" t="s">
        <v>67</v>
      </c>
      <c r="D59" s="33" t="s">
        <v>127</v>
      </c>
      <c r="E59" s="33">
        <v>247409</v>
      </c>
      <c r="F59" s="33" t="s">
        <v>20</v>
      </c>
      <c r="G59" s="33" t="s">
        <v>70</v>
      </c>
      <c r="H59" s="33" t="e" vm="5">
        <v>#VALUE!</v>
      </c>
      <c r="I59" s="33" t="s">
        <v>27</v>
      </c>
      <c r="J59" s="33" t="s">
        <v>32</v>
      </c>
      <c r="K59" s="33" t="s">
        <v>21</v>
      </c>
      <c r="L59" s="33" t="s">
        <v>21</v>
      </c>
      <c r="M59" s="33">
        <v>0</v>
      </c>
      <c r="N59" s="33">
        <v>14</v>
      </c>
      <c r="O59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59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59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59" s="33">
        <v>0</v>
      </c>
      <c r="S59" s="33">
        <v>0</v>
      </c>
      <c r="T59" s="33">
        <v>0</v>
      </c>
      <c r="U59" s="60" t="s">
        <v>164</v>
      </c>
      <c r="V59" s="60" t="s">
        <v>164</v>
      </c>
      <c r="W59" s="60" t="s">
        <v>164</v>
      </c>
      <c r="X59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59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59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59" s="38">
        <v>0</v>
      </c>
      <c r="AB59" s="38">
        <v>0</v>
      </c>
      <c r="AC59" s="21">
        <v>0</v>
      </c>
      <c r="AD59" s="14">
        <v>125</v>
      </c>
      <c r="AE59" s="36" t="s">
        <v>60</v>
      </c>
      <c r="AF59" s="38">
        <v>0</v>
      </c>
      <c r="AG59" s="38">
        <v>0</v>
      </c>
      <c r="AH59" s="23">
        <f>IF(ISNUMBER(Tabella2[[#This Row],[Mean RADIAL stress  (MPa)]]), Tabella2[[#This Row],[Mean RADIAL stress  (MPa)]],"")</f>
        <v>0</v>
      </c>
      <c r="AI59" s="38">
        <f>IF(ISNUMBER(Tabella2[[#This Row],[Amplitute RADIAL stress  (MPa)]]), Tabella2[[#This Row],[Amplitute RADIAL stress  (MPa)]],"")</f>
        <v>0</v>
      </c>
      <c r="AJ59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59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19242.255003237482</v>
      </c>
      <c r="AL59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59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59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59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59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59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</row>
    <row r="60" spans="1:43" ht="20.100000000000001" customHeight="1" x14ac:dyDescent="0.25">
      <c r="A60" s="33" t="s">
        <v>68</v>
      </c>
      <c r="B60" s="33">
        <v>2022</v>
      </c>
      <c r="C60" s="33" t="s">
        <v>67</v>
      </c>
      <c r="D60" s="33" t="s">
        <v>128</v>
      </c>
      <c r="E60" s="33">
        <v>5000000</v>
      </c>
      <c r="F60" s="33" t="s">
        <v>32</v>
      </c>
      <c r="G60" s="33" t="s">
        <v>70</v>
      </c>
      <c r="H60" s="33" t="e" vm="5">
        <v>#VALUE!</v>
      </c>
      <c r="I60" s="33" t="s">
        <v>27</v>
      </c>
      <c r="J60" s="33" t="s">
        <v>32</v>
      </c>
      <c r="K60" s="33" t="s">
        <v>21</v>
      </c>
      <c r="L60" s="33" t="s">
        <v>21</v>
      </c>
      <c r="M60" s="33">
        <v>0</v>
      </c>
      <c r="N60" s="33">
        <v>14</v>
      </c>
      <c r="O60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0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0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0" s="33">
        <v>0</v>
      </c>
      <c r="S60" s="33">
        <v>0</v>
      </c>
      <c r="T60" s="33">
        <v>0</v>
      </c>
      <c r="U60" s="60" t="s">
        <v>164</v>
      </c>
      <c r="V60" s="60" t="s">
        <v>164</v>
      </c>
      <c r="W60" s="60" t="s">
        <v>164</v>
      </c>
      <c r="X60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0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0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0" s="38">
        <v>0</v>
      </c>
      <c r="AB60" s="38">
        <v>0</v>
      </c>
      <c r="AC60" s="21">
        <v>0</v>
      </c>
      <c r="AD60" s="14">
        <v>75</v>
      </c>
      <c r="AE60" s="36" t="s">
        <v>60</v>
      </c>
      <c r="AF60" s="38">
        <v>0</v>
      </c>
      <c r="AG60" s="38">
        <v>0</v>
      </c>
      <c r="AH60" s="23">
        <f>IF(ISNUMBER(Tabella2[[#This Row],[Mean RADIAL stress  (MPa)]]), Tabella2[[#This Row],[Mean RADIAL stress  (MPa)]],"")</f>
        <v>0</v>
      </c>
      <c r="AI60" s="38">
        <f>IF(ISNUMBER(Tabella2[[#This Row],[Amplitute RADIAL stress  (MPa)]]), Tabella2[[#This Row],[Amplitute RADIAL stress  (MPa)]],"")</f>
        <v>0</v>
      </c>
      <c r="AJ60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0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11545.353001942489</v>
      </c>
      <c r="AL60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0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0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0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60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0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75</v>
      </c>
    </row>
    <row r="61" spans="1:43" ht="20.100000000000001" customHeight="1" x14ac:dyDescent="0.25">
      <c r="A61" s="33" t="s">
        <v>68</v>
      </c>
      <c r="B61" s="33">
        <v>2022</v>
      </c>
      <c r="C61" s="33" t="s">
        <v>67</v>
      </c>
      <c r="D61" s="33" t="s">
        <v>129</v>
      </c>
      <c r="E61" s="33">
        <v>2683213</v>
      </c>
      <c r="F61" s="33" t="s">
        <v>20</v>
      </c>
      <c r="G61" s="33" t="s">
        <v>130</v>
      </c>
      <c r="H61" s="33" t="e" vm="5">
        <v>#VALUE!</v>
      </c>
      <c r="I61" s="33" t="s">
        <v>27</v>
      </c>
      <c r="J61" s="33" t="s">
        <v>32</v>
      </c>
      <c r="K61" s="33" t="s">
        <v>21</v>
      </c>
      <c r="L61" s="33" t="s">
        <v>21</v>
      </c>
      <c r="M61" s="33">
        <v>0</v>
      </c>
      <c r="N61" s="33">
        <v>14</v>
      </c>
      <c r="O61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1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1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1" s="33">
        <v>0</v>
      </c>
      <c r="S61" s="33">
        <v>0</v>
      </c>
      <c r="T61" s="33">
        <v>0</v>
      </c>
      <c r="U61" s="60" t="s">
        <v>164</v>
      </c>
      <c r="V61" s="60" t="s">
        <v>164</v>
      </c>
      <c r="W61" s="60" t="s">
        <v>164</v>
      </c>
      <c r="X61" s="33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1" s="33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-1</v>
      </c>
      <c r="Z61" s="33" t="str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Null</v>
      </c>
      <c r="AA61" s="38">
        <v>0</v>
      </c>
      <c r="AB61" s="38">
        <v>0</v>
      </c>
      <c r="AC61" s="21">
        <v>0</v>
      </c>
      <c r="AD61" s="14">
        <v>85</v>
      </c>
      <c r="AE61" s="36" t="s">
        <v>60</v>
      </c>
      <c r="AF61" s="38">
        <v>0</v>
      </c>
      <c r="AG61" s="38">
        <v>0</v>
      </c>
      <c r="AH61" s="23">
        <f>IF(ISNUMBER(Tabella2[[#This Row],[Mean RADIAL stress  (MPa)]]), Tabella2[[#This Row],[Mean RADIAL stress  (MPa)]],"")</f>
        <v>0</v>
      </c>
      <c r="AI61" s="38">
        <f>IF(ISNUMBER(Tabella2[[#This Row],[Amplitute RADIAL stress  (MPa)]]), Tabella2[[#This Row],[Amplitute RADIAL stress  (MPa)]],"")</f>
        <v>0</v>
      </c>
      <c r="AJ61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1" s="38">
        <f>IF(ISNUMBER(Tabella2[[#This Row],[Amplitute AXIAL stress  (MPa)]]),    IF(Tabella2[[#This Row],[derived from (AXIAL/BENDING) load]]="AXIAL",Tabella2[[#This Row],[Amplitute AXIAL stress  (MPa)]]*Tabella2[[#This Row],[Area (mm^2)]],"Null"), "")</f>
        <v>13084.733402201487</v>
      </c>
      <c r="AL61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1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1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1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0</v>
      </c>
      <c r="AP61" s="34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</v>
      </c>
      <c r="AQ61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</v>
      </c>
    </row>
    <row r="62" spans="1:43" ht="20.100000000000001" customHeight="1" x14ac:dyDescent="0.25">
      <c r="A62" s="33" t="s">
        <v>68</v>
      </c>
      <c r="B62" s="33">
        <v>2022</v>
      </c>
      <c r="C62" s="33" t="s">
        <v>67</v>
      </c>
      <c r="D62" s="33" t="s">
        <v>131</v>
      </c>
      <c r="E62" s="33">
        <v>80799</v>
      </c>
      <c r="F62" s="33" t="s">
        <v>20</v>
      </c>
      <c r="G62" s="33" t="s">
        <v>130</v>
      </c>
      <c r="H62" s="33" t="e" vm="5">
        <v>#VALUE!</v>
      </c>
      <c r="I62" s="33" t="s">
        <v>27</v>
      </c>
      <c r="J62" s="33" t="s">
        <v>20</v>
      </c>
      <c r="K62" s="33" t="s">
        <v>21</v>
      </c>
      <c r="L62" s="33" t="s">
        <v>21</v>
      </c>
      <c r="M62" s="33">
        <v>0</v>
      </c>
      <c r="N62" s="33">
        <v>14</v>
      </c>
      <c r="O62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2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2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2" s="33">
        <v>0</v>
      </c>
      <c r="S62" s="33">
        <v>0</v>
      </c>
      <c r="T62" s="33">
        <v>0</v>
      </c>
      <c r="U62" s="60" t="s">
        <v>164</v>
      </c>
      <c r="V62" s="60" t="s">
        <v>164</v>
      </c>
      <c r="W62" s="60" t="s">
        <v>164</v>
      </c>
      <c r="X62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2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2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2" s="38">
        <v>0</v>
      </c>
      <c r="AB62" s="38">
        <v>0</v>
      </c>
      <c r="AC62" s="21">
        <v>0</v>
      </c>
      <c r="AD62" s="14">
        <v>0</v>
      </c>
      <c r="AE62" s="36" t="s">
        <v>60</v>
      </c>
      <c r="AF62" s="38">
        <v>0</v>
      </c>
      <c r="AG62" s="38">
        <v>400</v>
      </c>
      <c r="AH62" s="23">
        <f>IF(ISNUMBER(Tabella2[[#This Row],[Mean RADIAL stress  (MPa)]]), Tabella2[[#This Row],[Mean RADIAL stress  (MPa)]],"")</f>
        <v>0</v>
      </c>
      <c r="AI62" s="38">
        <f>IF(ISNUMBER(Tabella2[[#This Row],[Amplitute RADIAL stress  (MPa)]]), Tabella2[[#This Row],[Amplitute RADIAL stress  (MPa)]],"")</f>
        <v>0</v>
      </c>
      <c r="AJ62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2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2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2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2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2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215513.25603625979</v>
      </c>
      <c r="AP62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2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692.8203230275509</v>
      </c>
    </row>
    <row r="63" spans="1:43" ht="20.100000000000001" customHeight="1" x14ac:dyDescent="0.25">
      <c r="A63" s="33" t="s">
        <v>68</v>
      </c>
      <c r="B63" s="33">
        <v>2022</v>
      </c>
      <c r="C63" s="33" t="s">
        <v>67</v>
      </c>
      <c r="D63" s="33" t="s">
        <v>132</v>
      </c>
      <c r="E63" s="33">
        <v>61036</v>
      </c>
      <c r="F63" s="33" t="s">
        <v>20</v>
      </c>
      <c r="G63" s="33" t="s">
        <v>130</v>
      </c>
      <c r="H63" s="33" t="e" vm="5">
        <v>#VALUE!</v>
      </c>
      <c r="I63" s="33" t="s">
        <v>27</v>
      </c>
      <c r="J63" s="33" t="s">
        <v>20</v>
      </c>
      <c r="K63" s="33" t="s">
        <v>21</v>
      </c>
      <c r="L63" s="33" t="s">
        <v>21</v>
      </c>
      <c r="M63" s="33">
        <v>0</v>
      </c>
      <c r="N63" s="33">
        <v>14</v>
      </c>
      <c r="O63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3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3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3" s="33">
        <v>0</v>
      </c>
      <c r="S63" s="33">
        <v>0</v>
      </c>
      <c r="T63" s="33">
        <v>0</v>
      </c>
      <c r="U63" s="60" t="s">
        <v>164</v>
      </c>
      <c r="V63" s="60" t="s">
        <v>164</v>
      </c>
      <c r="W63" s="60" t="s">
        <v>164</v>
      </c>
      <c r="X63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3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3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3" s="38">
        <v>0</v>
      </c>
      <c r="AB63" s="38">
        <v>0</v>
      </c>
      <c r="AC63" s="21">
        <v>0</v>
      </c>
      <c r="AD63" s="14">
        <v>0</v>
      </c>
      <c r="AE63" s="36" t="s">
        <v>60</v>
      </c>
      <c r="AF63" s="38">
        <v>0</v>
      </c>
      <c r="AG63" s="38">
        <v>400</v>
      </c>
      <c r="AH63" s="23">
        <f>IF(ISNUMBER(Tabella2[[#This Row],[Mean RADIAL stress  (MPa)]]), Tabella2[[#This Row],[Mean RADIAL stress  (MPa)]],"")</f>
        <v>0</v>
      </c>
      <c r="AI63" s="38">
        <f>IF(ISNUMBER(Tabella2[[#This Row],[Amplitute RADIAL stress  (MPa)]]), Tabella2[[#This Row],[Amplitute RADIAL stress  (MPa)]],"")</f>
        <v>0</v>
      </c>
      <c r="AJ63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3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3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3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3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3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215513.25603625979</v>
      </c>
      <c r="AP63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3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692.8203230275509</v>
      </c>
    </row>
    <row r="64" spans="1:43" ht="20.100000000000001" customHeight="1" x14ac:dyDescent="0.25">
      <c r="A64" s="33" t="s">
        <v>68</v>
      </c>
      <c r="B64" s="33">
        <v>2022</v>
      </c>
      <c r="C64" s="33" t="s">
        <v>67</v>
      </c>
      <c r="D64" s="33" t="s">
        <v>133</v>
      </c>
      <c r="E64" s="33">
        <v>5000000</v>
      </c>
      <c r="F64" s="33" t="s">
        <v>32</v>
      </c>
      <c r="G64" s="33" t="s">
        <v>130</v>
      </c>
      <c r="H64" s="33" t="e" vm="5">
        <v>#VALUE!</v>
      </c>
      <c r="I64" s="33" t="s">
        <v>27</v>
      </c>
      <c r="J64" s="33" t="s">
        <v>20</v>
      </c>
      <c r="K64" s="33" t="s">
        <v>21</v>
      </c>
      <c r="L64" s="33" t="s">
        <v>21</v>
      </c>
      <c r="M64" s="33">
        <v>0</v>
      </c>
      <c r="N64" s="33">
        <v>14</v>
      </c>
      <c r="O64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4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4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4" s="33">
        <v>0</v>
      </c>
      <c r="S64" s="33">
        <v>0</v>
      </c>
      <c r="T64" s="33">
        <v>0</v>
      </c>
      <c r="U64" s="60" t="s">
        <v>164</v>
      </c>
      <c r="V64" s="60" t="s">
        <v>164</v>
      </c>
      <c r="W64" s="60" t="s">
        <v>164</v>
      </c>
      <c r="X64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4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4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4" s="38">
        <v>0</v>
      </c>
      <c r="AB64" s="38">
        <v>0</v>
      </c>
      <c r="AC64" s="21">
        <v>0</v>
      </c>
      <c r="AD64" s="14">
        <v>0</v>
      </c>
      <c r="AE64" s="36" t="s">
        <v>60</v>
      </c>
      <c r="AF64" s="38">
        <v>0</v>
      </c>
      <c r="AG64" s="38">
        <v>320</v>
      </c>
      <c r="AH64" s="23">
        <f>IF(ISNUMBER(Tabella2[[#This Row],[Mean RADIAL stress  (MPa)]]), Tabella2[[#This Row],[Mean RADIAL stress  (MPa)]],"")</f>
        <v>0</v>
      </c>
      <c r="AI64" s="38">
        <f>IF(ISNUMBER(Tabella2[[#This Row],[Amplitute RADIAL stress  (MPa)]]), Tabella2[[#This Row],[Amplitute RADIAL stress  (MPa)]],"")</f>
        <v>0</v>
      </c>
      <c r="AJ64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4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4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4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4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4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172410.60482900785</v>
      </c>
      <c r="AP64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4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554.25625842204079</v>
      </c>
    </row>
    <row r="65" spans="1:43" ht="20.100000000000001" customHeight="1" x14ac:dyDescent="0.25">
      <c r="A65" s="33" t="s">
        <v>68</v>
      </c>
      <c r="B65" s="33">
        <v>2022</v>
      </c>
      <c r="C65" s="33" t="s">
        <v>67</v>
      </c>
      <c r="D65" s="33" t="s">
        <v>134</v>
      </c>
      <c r="E65" s="33">
        <v>2113</v>
      </c>
      <c r="F65" s="33" t="s">
        <v>20</v>
      </c>
      <c r="G65" s="33" t="s">
        <v>130</v>
      </c>
      <c r="H65" s="33" t="e" vm="5">
        <v>#VALUE!</v>
      </c>
      <c r="I65" s="33" t="s">
        <v>27</v>
      </c>
      <c r="J65" s="33" t="s">
        <v>20</v>
      </c>
      <c r="K65" s="33" t="s">
        <v>21</v>
      </c>
      <c r="L65" s="33" t="s">
        <v>21</v>
      </c>
      <c r="M65" s="33">
        <v>0</v>
      </c>
      <c r="N65" s="33">
        <v>14</v>
      </c>
      <c r="O65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5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5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5" s="33">
        <v>0</v>
      </c>
      <c r="S65" s="33">
        <v>0</v>
      </c>
      <c r="T65" s="33">
        <v>0</v>
      </c>
      <c r="U65" s="60" t="s">
        <v>164</v>
      </c>
      <c r="V65" s="60" t="s">
        <v>164</v>
      </c>
      <c r="W65" s="60" t="s">
        <v>164</v>
      </c>
      <c r="X65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5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5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5" s="38">
        <v>0</v>
      </c>
      <c r="AB65" s="38">
        <v>0</v>
      </c>
      <c r="AC65" s="21">
        <v>0</v>
      </c>
      <c r="AD65" s="14">
        <v>0</v>
      </c>
      <c r="AE65" s="36" t="s">
        <v>60</v>
      </c>
      <c r="AF65" s="38">
        <v>0</v>
      </c>
      <c r="AG65" s="38">
        <v>480</v>
      </c>
      <c r="AH65" s="23">
        <f>IF(ISNUMBER(Tabella2[[#This Row],[Mean RADIAL stress  (MPa)]]), Tabella2[[#This Row],[Mean RADIAL stress  (MPa)]],"")</f>
        <v>0</v>
      </c>
      <c r="AI65" s="38">
        <f>IF(ISNUMBER(Tabella2[[#This Row],[Amplitute RADIAL stress  (MPa)]]), Tabella2[[#This Row],[Amplitute RADIAL stress  (MPa)]],"")</f>
        <v>0</v>
      </c>
      <c r="AJ65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5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5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5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5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5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258615.90724351179</v>
      </c>
      <c r="AP65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5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831.38438763306112</v>
      </c>
    </row>
    <row r="66" spans="1:43" ht="20.100000000000001" customHeight="1" x14ac:dyDescent="0.25">
      <c r="A66" s="33" t="s">
        <v>68</v>
      </c>
      <c r="B66" s="33">
        <v>2022</v>
      </c>
      <c r="C66" s="33" t="s">
        <v>67</v>
      </c>
      <c r="D66" s="33" t="s">
        <v>135</v>
      </c>
      <c r="E66" s="33">
        <v>356338</v>
      </c>
      <c r="F66" s="33" t="s">
        <v>20</v>
      </c>
      <c r="G66" s="33" t="s">
        <v>130</v>
      </c>
      <c r="H66" s="33" t="e" vm="5">
        <v>#VALUE!</v>
      </c>
      <c r="I66" s="33" t="s">
        <v>27</v>
      </c>
      <c r="J66" s="33" t="s">
        <v>20</v>
      </c>
      <c r="K66" s="33" t="s">
        <v>21</v>
      </c>
      <c r="L66" s="33" t="s">
        <v>21</v>
      </c>
      <c r="M66" s="33">
        <v>0</v>
      </c>
      <c r="N66" s="33">
        <v>14</v>
      </c>
      <c r="O66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6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6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6" s="33">
        <v>0</v>
      </c>
      <c r="S66" s="33">
        <v>0</v>
      </c>
      <c r="T66" s="33">
        <v>0</v>
      </c>
      <c r="U66" s="60" t="s">
        <v>164</v>
      </c>
      <c r="V66" s="60" t="s">
        <v>164</v>
      </c>
      <c r="W66" s="60" t="s">
        <v>164</v>
      </c>
      <c r="X66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6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6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6" s="38">
        <v>0</v>
      </c>
      <c r="AB66" s="38">
        <v>0</v>
      </c>
      <c r="AC66" s="21">
        <v>0</v>
      </c>
      <c r="AD66" s="14">
        <v>0</v>
      </c>
      <c r="AE66" s="36" t="s">
        <v>60</v>
      </c>
      <c r="AF66" s="38">
        <v>0</v>
      </c>
      <c r="AG66" s="38">
        <v>360</v>
      </c>
      <c r="AH66" s="23">
        <f>IF(ISNUMBER(Tabella2[[#This Row],[Mean RADIAL stress  (MPa)]]), Tabella2[[#This Row],[Mean RADIAL stress  (MPa)]],"")</f>
        <v>0</v>
      </c>
      <c r="AI66" s="38">
        <f>IF(ISNUMBER(Tabella2[[#This Row],[Amplitute RADIAL stress  (MPa)]]), Tabella2[[#This Row],[Amplitute RADIAL stress  (MPa)]],"")</f>
        <v>0</v>
      </c>
      <c r="AJ66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6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6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6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6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6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193961.93043263382</v>
      </c>
      <c r="AP66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6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623.53829072479584</v>
      </c>
    </row>
    <row r="67" spans="1:43" ht="20.100000000000001" customHeight="1" x14ac:dyDescent="0.25">
      <c r="A67" s="33" t="s">
        <v>68</v>
      </c>
      <c r="B67" s="33">
        <v>2022</v>
      </c>
      <c r="C67" s="33" t="s">
        <v>67</v>
      </c>
      <c r="D67" s="33" t="s">
        <v>136</v>
      </c>
      <c r="E67" s="33">
        <v>5000000</v>
      </c>
      <c r="F67" s="33" t="s">
        <v>32</v>
      </c>
      <c r="G67" s="33" t="s">
        <v>130</v>
      </c>
      <c r="H67" s="33" t="e" vm="5">
        <v>#VALUE!</v>
      </c>
      <c r="I67" s="33" t="s">
        <v>27</v>
      </c>
      <c r="J67" s="33" t="s">
        <v>20</v>
      </c>
      <c r="K67" s="33" t="s">
        <v>21</v>
      </c>
      <c r="L67" s="33" t="s">
        <v>21</v>
      </c>
      <c r="M67" s="33">
        <v>0</v>
      </c>
      <c r="N67" s="33">
        <v>14</v>
      </c>
      <c r="O67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7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7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7" s="33">
        <v>0</v>
      </c>
      <c r="S67" s="33">
        <v>0</v>
      </c>
      <c r="T67" s="33">
        <v>0</v>
      </c>
      <c r="U67" s="60" t="s">
        <v>164</v>
      </c>
      <c r="V67" s="60" t="s">
        <v>164</v>
      </c>
      <c r="W67" s="60" t="s">
        <v>164</v>
      </c>
      <c r="X67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7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7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7" s="38">
        <v>0</v>
      </c>
      <c r="AB67" s="38">
        <v>0</v>
      </c>
      <c r="AC67" s="21">
        <v>0</v>
      </c>
      <c r="AD67" s="14">
        <v>0</v>
      </c>
      <c r="AE67" s="36" t="s">
        <v>60</v>
      </c>
      <c r="AF67" s="38">
        <v>0</v>
      </c>
      <c r="AG67" s="38">
        <v>340</v>
      </c>
      <c r="AH67" s="23">
        <f>IF(ISNUMBER(Tabella2[[#This Row],[Mean RADIAL stress  (MPa)]]), Tabella2[[#This Row],[Mean RADIAL stress  (MPa)]],"")</f>
        <v>0</v>
      </c>
      <c r="AI67" s="38">
        <f>IF(ISNUMBER(Tabella2[[#This Row],[Amplitute RADIAL stress  (MPa)]]), Tabella2[[#This Row],[Amplitute RADIAL stress  (MPa)]],"")</f>
        <v>0</v>
      </c>
      <c r="AJ67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7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7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7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7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7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183186.26763082083</v>
      </c>
      <c r="AP67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7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588.89727457341826</v>
      </c>
    </row>
    <row r="68" spans="1:43" ht="20.100000000000001" customHeight="1" x14ac:dyDescent="0.25">
      <c r="A68" s="33" t="s">
        <v>68</v>
      </c>
      <c r="B68" s="33">
        <v>2022</v>
      </c>
      <c r="C68" s="33" t="s">
        <v>67</v>
      </c>
      <c r="D68" s="33" t="s">
        <v>137</v>
      </c>
      <c r="E68" s="33">
        <v>591086</v>
      </c>
      <c r="F68" s="33" t="s">
        <v>20</v>
      </c>
      <c r="G68" s="33" t="s">
        <v>130</v>
      </c>
      <c r="H68" s="33" t="e" vm="5">
        <v>#VALUE!</v>
      </c>
      <c r="I68" s="33" t="s">
        <v>27</v>
      </c>
      <c r="J68" s="33" t="s">
        <v>20</v>
      </c>
      <c r="K68" s="33" t="s">
        <v>21</v>
      </c>
      <c r="L68" s="33" t="s">
        <v>21</v>
      </c>
      <c r="M68" s="33">
        <v>0</v>
      </c>
      <c r="N68" s="33">
        <v>14</v>
      </c>
      <c r="O68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8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8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8" s="33">
        <v>0</v>
      </c>
      <c r="S68" s="33">
        <v>0</v>
      </c>
      <c r="T68" s="33">
        <v>0</v>
      </c>
      <c r="U68" s="60" t="s">
        <v>164</v>
      </c>
      <c r="V68" s="60" t="s">
        <v>164</v>
      </c>
      <c r="W68" s="60" t="s">
        <v>164</v>
      </c>
      <c r="X68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8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8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8" s="38">
        <v>0</v>
      </c>
      <c r="AB68" s="38">
        <v>0</v>
      </c>
      <c r="AC68" s="21">
        <v>0</v>
      </c>
      <c r="AD68" s="14">
        <v>0</v>
      </c>
      <c r="AE68" s="36" t="s">
        <v>60</v>
      </c>
      <c r="AF68" s="38">
        <v>0</v>
      </c>
      <c r="AG68" s="38">
        <v>360</v>
      </c>
      <c r="AH68" s="23">
        <f>IF(ISNUMBER(Tabella2[[#This Row],[Mean RADIAL stress  (MPa)]]), Tabella2[[#This Row],[Mean RADIAL stress  (MPa)]],"")</f>
        <v>0</v>
      </c>
      <c r="AI68" s="38">
        <f>IF(ISNUMBER(Tabella2[[#This Row],[Amplitute RADIAL stress  (MPa)]]), Tabella2[[#This Row],[Amplitute RADIAL stress  (MPa)]],"")</f>
        <v>0</v>
      </c>
      <c r="AJ68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8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8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8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8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8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193961.93043263382</v>
      </c>
      <c r="AP68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8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623.53829072479584</v>
      </c>
    </row>
    <row r="69" spans="1:43" ht="20.100000000000001" customHeight="1" x14ac:dyDescent="0.25">
      <c r="A69" s="33" t="s">
        <v>68</v>
      </c>
      <c r="B69" s="33">
        <v>2022</v>
      </c>
      <c r="C69" s="33" t="s">
        <v>67</v>
      </c>
      <c r="D69" s="33" t="s">
        <v>138</v>
      </c>
      <c r="E69" s="33">
        <v>1297038</v>
      </c>
      <c r="F69" s="33" t="s">
        <v>20</v>
      </c>
      <c r="G69" s="33" t="s">
        <v>130</v>
      </c>
      <c r="H69" s="33" t="e" vm="5">
        <v>#VALUE!</v>
      </c>
      <c r="I69" s="33" t="s">
        <v>27</v>
      </c>
      <c r="J69" s="33" t="s">
        <v>20</v>
      </c>
      <c r="K69" s="33" t="s">
        <v>21</v>
      </c>
      <c r="L69" s="33" t="s">
        <v>21</v>
      </c>
      <c r="M69" s="33">
        <v>0</v>
      </c>
      <c r="N69" s="33">
        <v>14</v>
      </c>
      <c r="O69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69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69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69" s="33">
        <v>0</v>
      </c>
      <c r="S69" s="33">
        <v>0</v>
      </c>
      <c r="T69" s="33">
        <v>0</v>
      </c>
      <c r="U69" s="60" t="s">
        <v>164</v>
      </c>
      <c r="V69" s="60" t="s">
        <v>164</v>
      </c>
      <c r="W69" s="60" t="s">
        <v>164</v>
      </c>
      <c r="X69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69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69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69" s="38">
        <v>0</v>
      </c>
      <c r="AB69" s="38">
        <v>0</v>
      </c>
      <c r="AC69" s="21">
        <v>0</v>
      </c>
      <c r="AD69" s="14">
        <v>0</v>
      </c>
      <c r="AE69" s="36" t="s">
        <v>60</v>
      </c>
      <c r="AF69" s="38">
        <v>0</v>
      </c>
      <c r="AG69" s="38">
        <v>340</v>
      </c>
      <c r="AH69" s="23">
        <f>IF(ISNUMBER(Tabella2[[#This Row],[Mean RADIAL stress  (MPa)]]), Tabella2[[#This Row],[Mean RADIAL stress  (MPa)]],"")</f>
        <v>0</v>
      </c>
      <c r="AI69" s="38">
        <f>IF(ISNUMBER(Tabella2[[#This Row],[Amplitute RADIAL stress  (MPa)]]), Tabella2[[#This Row],[Amplitute RADIAL stress  (MPa)]],"")</f>
        <v>0</v>
      </c>
      <c r="AJ69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69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69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69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69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69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183186.26763082083</v>
      </c>
      <c r="AP69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69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588.89727457341826</v>
      </c>
    </row>
    <row r="70" spans="1:43" ht="20.100000000000001" customHeight="1" x14ac:dyDescent="0.25">
      <c r="A70" s="33" t="s">
        <v>68</v>
      </c>
      <c r="B70" s="33">
        <v>2022</v>
      </c>
      <c r="C70" s="33" t="s">
        <v>67</v>
      </c>
      <c r="D70" s="33" t="s">
        <v>139</v>
      </c>
      <c r="E70" s="33">
        <v>5000000</v>
      </c>
      <c r="F70" s="33" t="s">
        <v>32</v>
      </c>
      <c r="G70" s="33" t="s">
        <v>130</v>
      </c>
      <c r="H70" s="33" t="e" vm="5">
        <v>#VALUE!</v>
      </c>
      <c r="I70" s="33" t="s">
        <v>27</v>
      </c>
      <c r="J70" s="33" t="s">
        <v>20</v>
      </c>
      <c r="K70" s="33" t="s">
        <v>21</v>
      </c>
      <c r="L70" s="33" t="s">
        <v>21</v>
      </c>
      <c r="M70" s="33">
        <v>0</v>
      </c>
      <c r="N70" s="33">
        <v>14</v>
      </c>
      <c r="O70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0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0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0" s="33">
        <v>0</v>
      </c>
      <c r="S70" s="33">
        <v>0</v>
      </c>
      <c r="T70" s="33">
        <v>0</v>
      </c>
      <c r="U70" s="60" t="s">
        <v>164</v>
      </c>
      <c r="V70" s="60" t="s">
        <v>164</v>
      </c>
      <c r="W70" s="60" t="s">
        <v>164</v>
      </c>
      <c r="X70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0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0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0" s="38">
        <v>0</v>
      </c>
      <c r="AB70" s="38">
        <v>0</v>
      </c>
      <c r="AC70" s="21">
        <v>0</v>
      </c>
      <c r="AD70" s="14">
        <v>0</v>
      </c>
      <c r="AE70" s="36" t="s">
        <v>60</v>
      </c>
      <c r="AF70" s="38">
        <v>0</v>
      </c>
      <c r="AG70" s="38">
        <v>340</v>
      </c>
      <c r="AH70" s="23">
        <f>IF(ISNUMBER(Tabella2[[#This Row],[Mean RADIAL stress  (MPa)]]), Tabella2[[#This Row],[Mean RADIAL stress  (MPa)]],"")</f>
        <v>0</v>
      </c>
      <c r="AI70" s="38">
        <f>IF(ISNUMBER(Tabella2[[#This Row],[Amplitute RADIAL stress  (MPa)]]), Tabella2[[#This Row],[Amplitute RADIAL stress  (MPa)]],"")</f>
        <v>0</v>
      </c>
      <c r="AJ70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0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0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0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0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0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183186.26763082083</v>
      </c>
      <c r="AP70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0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588.89727457341826</v>
      </c>
    </row>
    <row r="71" spans="1:43" ht="20.100000000000001" customHeight="1" x14ac:dyDescent="0.25">
      <c r="A71" s="33" t="s">
        <v>68</v>
      </c>
      <c r="B71" s="33">
        <v>2022</v>
      </c>
      <c r="C71" s="33" t="s">
        <v>67</v>
      </c>
      <c r="D71" s="33" t="s">
        <v>140</v>
      </c>
      <c r="E71" s="33">
        <v>1162508</v>
      </c>
      <c r="F71" s="33" t="s">
        <v>20</v>
      </c>
      <c r="G71" s="33" t="s">
        <v>130</v>
      </c>
      <c r="H71" s="33" t="e" vm="5">
        <v>#VALUE!</v>
      </c>
      <c r="I71" s="33" t="s">
        <v>27</v>
      </c>
      <c r="J71" s="33" t="s">
        <v>20</v>
      </c>
      <c r="K71" s="33" t="s">
        <v>21</v>
      </c>
      <c r="L71" s="33" t="s">
        <v>21</v>
      </c>
      <c r="M71" s="33">
        <v>0</v>
      </c>
      <c r="N71" s="33">
        <v>14</v>
      </c>
      <c r="O71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1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1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1" s="33">
        <v>0</v>
      </c>
      <c r="S71" s="33">
        <v>0</v>
      </c>
      <c r="T71" s="33">
        <v>0</v>
      </c>
      <c r="U71" s="60" t="s">
        <v>164</v>
      </c>
      <c r="V71" s="60" t="s">
        <v>164</v>
      </c>
      <c r="W71" s="60" t="s">
        <v>164</v>
      </c>
      <c r="X71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1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1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1" s="38">
        <v>0</v>
      </c>
      <c r="AB71" s="38">
        <v>0</v>
      </c>
      <c r="AC71" s="21">
        <v>0</v>
      </c>
      <c r="AD71" s="14">
        <v>0</v>
      </c>
      <c r="AE71" s="36" t="s">
        <v>60</v>
      </c>
      <c r="AF71" s="38">
        <v>0</v>
      </c>
      <c r="AG71" s="38">
        <v>360</v>
      </c>
      <c r="AH71" s="23">
        <f>IF(ISNUMBER(Tabella2[[#This Row],[Mean RADIAL stress  (MPa)]]), Tabella2[[#This Row],[Mean RADIAL stress  (MPa)]],"")</f>
        <v>0</v>
      </c>
      <c r="AI71" s="38">
        <f>IF(ISNUMBER(Tabella2[[#This Row],[Amplitute RADIAL stress  (MPa)]]), Tabella2[[#This Row],[Amplitute RADIAL stress  (MPa)]],"")</f>
        <v>0</v>
      </c>
      <c r="AJ71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1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1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1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1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1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193961.93043263382</v>
      </c>
      <c r="AP71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1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623.53829072479584</v>
      </c>
    </row>
    <row r="72" spans="1:43" ht="20.100000000000001" customHeight="1" x14ac:dyDescent="0.25">
      <c r="A72" s="33" t="s">
        <v>68</v>
      </c>
      <c r="B72" s="33">
        <v>2022</v>
      </c>
      <c r="C72" s="33" t="s">
        <v>67</v>
      </c>
      <c r="D72" s="33" t="s">
        <v>141</v>
      </c>
      <c r="E72" s="33">
        <v>64471</v>
      </c>
      <c r="F72" s="33" t="s">
        <v>20</v>
      </c>
      <c r="G72" s="33" t="s">
        <v>130</v>
      </c>
      <c r="H72" s="33" t="e" vm="5">
        <v>#VALUE!</v>
      </c>
      <c r="I72" s="33" t="s">
        <v>27</v>
      </c>
      <c r="J72" s="33" t="s">
        <v>20</v>
      </c>
      <c r="K72" s="33" t="s">
        <v>21</v>
      </c>
      <c r="L72" s="33" t="s">
        <v>21</v>
      </c>
      <c r="M72" s="33">
        <v>0</v>
      </c>
      <c r="N72" s="33">
        <v>14</v>
      </c>
      <c r="O72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2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2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2" s="33">
        <v>0</v>
      </c>
      <c r="S72" s="33">
        <v>0</v>
      </c>
      <c r="T72" s="33">
        <v>0</v>
      </c>
      <c r="U72" s="60" t="s">
        <v>164</v>
      </c>
      <c r="V72" s="60" t="s">
        <v>164</v>
      </c>
      <c r="W72" s="60" t="s">
        <v>164</v>
      </c>
      <c r="X72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2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2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2" s="38">
        <v>0</v>
      </c>
      <c r="AB72" s="38">
        <v>0</v>
      </c>
      <c r="AC72" s="21">
        <v>0</v>
      </c>
      <c r="AD72" s="14">
        <v>0</v>
      </c>
      <c r="AE72" s="36" t="s">
        <v>60</v>
      </c>
      <c r="AF72" s="38">
        <v>0</v>
      </c>
      <c r="AG72" s="38">
        <v>400</v>
      </c>
      <c r="AH72" s="23">
        <f>IF(ISNUMBER(Tabella2[[#This Row],[Mean RADIAL stress  (MPa)]]), Tabella2[[#This Row],[Mean RADIAL stress  (MPa)]],"")</f>
        <v>0</v>
      </c>
      <c r="AI72" s="38">
        <f>IF(ISNUMBER(Tabella2[[#This Row],[Amplitute RADIAL stress  (MPa)]]), Tabella2[[#This Row],[Amplitute RADIAL stress  (MPa)]],"")</f>
        <v>0</v>
      </c>
      <c r="AJ72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2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2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2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2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2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215513.25603625979</v>
      </c>
      <c r="AP72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2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692.8203230275509</v>
      </c>
    </row>
    <row r="73" spans="1:43" ht="20.100000000000001" customHeight="1" x14ac:dyDescent="0.25">
      <c r="A73" s="33" t="s">
        <v>68</v>
      </c>
      <c r="B73" s="33">
        <v>2022</v>
      </c>
      <c r="C73" s="33" t="s">
        <v>67</v>
      </c>
      <c r="D73" s="33" t="s">
        <v>142</v>
      </c>
      <c r="E73" s="33">
        <v>5000000</v>
      </c>
      <c r="F73" s="33" t="s">
        <v>32</v>
      </c>
      <c r="G73" s="33" t="s">
        <v>130</v>
      </c>
      <c r="H73" s="33" t="e" vm="5">
        <v>#VALUE!</v>
      </c>
      <c r="I73" s="33" t="s">
        <v>27</v>
      </c>
      <c r="J73" s="33" t="s">
        <v>20</v>
      </c>
      <c r="K73" s="33" t="s">
        <v>21</v>
      </c>
      <c r="L73" s="33" t="s">
        <v>21</v>
      </c>
      <c r="M73" s="33">
        <v>0</v>
      </c>
      <c r="N73" s="33">
        <v>14</v>
      </c>
      <c r="O73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3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3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3" s="33">
        <v>0</v>
      </c>
      <c r="S73" s="33">
        <v>0</v>
      </c>
      <c r="T73" s="33">
        <v>0</v>
      </c>
      <c r="U73" s="60" t="s">
        <v>164</v>
      </c>
      <c r="V73" s="60" t="s">
        <v>164</v>
      </c>
      <c r="W73" s="60" t="s">
        <v>164</v>
      </c>
      <c r="X73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3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3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3" s="38">
        <v>0</v>
      </c>
      <c r="AB73" s="38">
        <v>0</v>
      </c>
      <c r="AC73" s="21">
        <v>0</v>
      </c>
      <c r="AD73" s="14">
        <v>0</v>
      </c>
      <c r="AE73" s="36" t="s">
        <v>60</v>
      </c>
      <c r="AF73" s="38">
        <v>0</v>
      </c>
      <c r="AG73" s="38">
        <v>330</v>
      </c>
      <c r="AH73" s="23">
        <f>IF(ISNUMBER(Tabella2[[#This Row],[Mean RADIAL stress  (MPa)]]), Tabella2[[#This Row],[Mean RADIAL stress  (MPa)]],"")</f>
        <v>0</v>
      </c>
      <c r="AI73" s="38">
        <f>IF(ISNUMBER(Tabella2[[#This Row],[Amplitute RADIAL stress  (MPa)]]), Tabella2[[#This Row],[Amplitute RADIAL stress  (MPa)]],"")</f>
        <v>0</v>
      </c>
      <c r="AJ73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3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3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3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3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3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177798.43622991437</v>
      </c>
      <c r="AP73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3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571.57676649772952</v>
      </c>
    </row>
    <row r="74" spans="1:43" ht="20.100000000000001" customHeight="1" x14ac:dyDescent="0.25">
      <c r="A74" s="33" t="s">
        <v>68</v>
      </c>
      <c r="B74" s="33">
        <v>2022</v>
      </c>
      <c r="C74" s="33" t="s">
        <v>67</v>
      </c>
      <c r="D74" s="33" t="s">
        <v>143</v>
      </c>
      <c r="E74" s="33">
        <v>2727865</v>
      </c>
      <c r="F74" s="33" t="s">
        <v>20</v>
      </c>
      <c r="G74" s="33" t="s">
        <v>130</v>
      </c>
      <c r="H74" s="33" t="e" vm="5">
        <v>#VALUE!</v>
      </c>
      <c r="I74" s="33" t="s">
        <v>27</v>
      </c>
      <c r="J74" s="33" t="s">
        <v>20</v>
      </c>
      <c r="K74" s="33" t="s">
        <v>21</v>
      </c>
      <c r="L74" s="33" t="s">
        <v>21</v>
      </c>
      <c r="M74" s="33">
        <v>0</v>
      </c>
      <c r="N74" s="33">
        <v>14</v>
      </c>
      <c r="O74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4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4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4" s="33">
        <v>0</v>
      </c>
      <c r="S74" s="33">
        <v>0</v>
      </c>
      <c r="T74" s="33">
        <v>0</v>
      </c>
      <c r="U74" s="60" t="s">
        <v>164</v>
      </c>
      <c r="V74" s="60" t="s">
        <v>164</v>
      </c>
      <c r="W74" s="60" t="s">
        <v>164</v>
      </c>
      <c r="X74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4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4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74" s="38">
        <v>0</v>
      </c>
      <c r="AB74" s="38">
        <v>0</v>
      </c>
      <c r="AC74" s="21">
        <v>0</v>
      </c>
      <c r="AD74" s="14">
        <v>0</v>
      </c>
      <c r="AE74" s="36" t="s">
        <v>60</v>
      </c>
      <c r="AF74" s="38">
        <v>0</v>
      </c>
      <c r="AG74" s="38">
        <v>330</v>
      </c>
      <c r="AH74" s="23">
        <f>IF(ISNUMBER(Tabella2[[#This Row],[Mean RADIAL stress  (MPa)]]), Tabella2[[#This Row],[Mean RADIAL stress  (MPa)]],"")</f>
        <v>0</v>
      </c>
      <c r="AI74" s="38">
        <f>IF(ISNUMBER(Tabella2[[#This Row],[Amplitute RADIAL stress  (MPa)]]), Tabella2[[#This Row],[Amplitute RADIAL stress  (MPa)]],"")</f>
        <v>0</v>
      </c>
      <c r="AJ74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4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4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4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4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74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177798.43622991437</v>
      </c>
      <c r="AP74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4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571.57676649772952</v>
      </c>
    </row>
    <row r="75" spans="1:43" ht="20.100000000000001" customHeight="1" x14ac:dyDescent="0.25">
      <c r="A75" s="33" t="s">
        <v>68</v>
      </c>
      <c r="B75" s="33">
        <v>2022</v>
      </c>
      <c r="C75" s="33" t="s">
        <v>67</v>
      </c>
      <c r="D75" s="33" t="s">
        <v>144</v>
      </c>
      <c r="E75" s="33">
        <v>5000000</v>
      </c>
      <c r="F75" s="33" t="s">
        <v>32</v>
      </c>
      <c r="G75" s="33" t="s">
        <v>130</v>
      </c>
      <c r="H75" s="33" t="e" vm="5">
        <v>#VALUE!</v>
      </c>
      <c r="I75" s="33" t="s">
        <v>27</v>
      </c>
      <c r="J75" s="33" t="s">
        <v>20</v>
      </c>
      <c r="K75" s="33" t="s">
        <v>21</v>
      </c>
      <c r="L75" s="33" t="s">
        <v>21</v>
      </c>
      <c r="M75" s="33">
        <v>0</v>
      </c>
      <c r="N75" s="33">
        <v>14</v>
      </c>
      <c r="O75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5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5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5" s="33">
        <v>0</v>
      </c>
      <c r="S75" s="33">
        <v>0</v>
      </c>
      <c r="T75" s="33">
        <v>0</v>
      </c>
      <c r="U75" s="60" t="s">
        <v>164</v>
      </c>
      <c r="V75" s="60" t="s">
        <v>164</v>
      </c>
      <c r="W75" s="60" t="s">
        <v>164</v>
      </c>
      <c r="X75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5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5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9.9999999999999978E-2</v>
      </c>
      <c r="AA75" s="38">
        <v>0</v>
      </c>
      <c r="AB75" s="38">
        <v>0</v>
      </c>
      <c r="AC75" s="21">
        <v>0</v>
      </c>
      <c r="AD75" s="14">
        <v>0</v>
      </c>
      <c r="AE75" s="36" t="s">
        <v>60</v>
      </c>
      <c r="AF75" s="38">
        <v>305.55555555555554</v>
      </c>
      <c r="AG75" s="38">
        <v>250</v>
      </c>
      <c r="AH75" s="23">
        <f>IF(ISNUMBER(Tabella2[[#This Row],[Mean RADIAL stress  (MPa)]]), Tabella2[[#This Row],[Mean RADIAL stress  (MPa)]],"")</f>
        <v>0</v>
      </c>
      <c r="AI75" s="38">
        <f>IF(ISNUMBER(Tabella2[[#This Row],[Amplitute RADIAL stress  (MPa)]]), Tabella2[[#This Row],[Amplitute RADIAL stress  (MPa)]],"")</f>
        <v>0</v>
      </c>
      <c r="AJ75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5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5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5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5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164628.18169436514</v>
      </c>
      <c r="AO75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134695.7850226624</v>
      </c>
      <c r="AP75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5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433.0127018922193</v>
      </c>
    </row>
    <row r="76" spans="1:43" ht="20.100000000000001" customHeight="1" x14ac:dyDescent="0.25">
      <c r="A76" s="33" t="s">
        <v>68</v>
      </c>
      <c r="B76" s="33">
        <v>2022</v>
      </c>
      <c r="C76" s="33" t="s">
        <v>67</v>
      </c>
      <c r="D76" s="33" t="s">
        <v>145</v>
      </c>
      <c r="E76" s="33">
        <v>144928</v>
      </c>
      <c r="F76" s="33" t="s">
        <v>20</v>
      </c>
      <c r="G76" s="33" t="s">
        <v>130</v>
      </c>
      <c r="H76" s="33" t="e" vm="5">
        <v>#VALUE!</v>
      </c>
      <c r="I76" s="33" t="s">
        <v>27</v>
      </c>
      <c r="J76" s="33" t="s">
        <v>20</v>
      </c>
      <c r="K76" s="33" t="s">
        <v>21</v>
      </c>
      <c r="L76" s="33" t="s">
        <v>21</v>
      </c>
      <c r="M76" s="33">
        <v>0</v>
      </c>
      <c r="N76" s="33">
        <v>14</v>
      </c>
      <c r="O76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6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6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6" s="33">
        <v>0</v>
      </c>
      <c r="S76" s="33">
        <v>0</v>
      </c>
      <c r="T76" s="33">
        <v>0</v>
      </c>
      <c r="U76" s="60" t="s">
        <v>164</v>
      </c>
      <c r="V76" s="60" t="s">
        <v>164</v>
      </c>
      <c r="W76" s="60" t="s">
        <v>164</v>
      </c>
      <c r="X76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6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6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76" s="38">
        <v>0</v>
      </c>
      <c r="AB76" s="38">
        <v>0</v>
      </c>
      <c r="AC76" s="21">
        <v>0</v>
      </c>
      <c r="AD76" s="14">
        <v>0</v>
      </c>
      <c r="AE76" s="36" t="s">
        <v>60</v>
      </c>
      <c r="AF76" s="38">
        <v>366.66666666666669</v>
      </c>
      <c r="AG76" s="38">
        <v>300</v>
      </c>
      <c r="AH76" s="23">
        <f>IF(ISNUMBER(Tabella2[[#This Row],[Mean RADIAL stress  (MPa)]]), Tabella2[[#This Row],[Mean RADIAL stress  (MPa)]],"")</f>
        <v>0</v>
      </c>
      <c r="AI76" s="38">
        <f>IF(ISNUMBER(Tabella2[[#This Row],[Amplitute RADIAL stress  (MPa)]]), Tabella2[[#This Row],[Amplitute RADIAL stress  (MPa)]],"")</f>
        <v>0</v>
      </c>
      <c r="AJ76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6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6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6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6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197553.81803323817</v>
      </c>
      <c r="AO76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161634.94202719486</v>
      </c>
      <c r="AP76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6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</row>
    <row r="77" spans="1:43" ht="20.100000000000001" customHeight="1" x14ac:dyDescent="0.25">
      <c r="A77" s="33" t="s">
        <v>68</v>
      </c>
      <c r="B77" s="33">
        <v>2022</v>
      </c>
      <c r="C77" s="33" t="s">
        <v>67</v>
      </c>
      <c r="D77" s="33" t="s">
        <v>146</v>
      </c>
      <c r="E77" s="33">
        <v>741986</v>
      </c>
      <c r="F77" s="33" t="s">
        <v>20</v>
      </c>
      <c r="G77" s="33" t="s">
        <v>130</v>
      </c>
      <c r="H77" s="33" t="e" vm="5">
        <v>#VALUE!</v>
      </c>
      <c r="I77" s="33" t="s">
        <v>27</v>
      </c>
      <c r="J77" s="33" t="s">
        <v>20</v>
      </c>
      <c r="K77" s="33" t="s">
        <v>21</v>
      </c>
      <c r="L77" s="33" t="s">
        <v>21</v>
      </c>
      <c r="M77" s="33">
        <v>0</v>
      </c>
      <c r="N77" s="33">
        <v>14</v>
      </c>
      <c r="O77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7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7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7" s="33">
        <v>0</v>
      </c>
      <c r="S77" s="33">
        <v>0</v>
      </c>
      <c r="T77" s="33">
        <v>0</v>
      </c>
      <c r="U77" s="60" t="s">
        <v>164</v>
      </c>
      <c r="V77" s="60" t="s">
        <v>164</v>
      </c>
      <c r="W77" s="60" t="s">
        <v>164</v>
      </c>
      <c r="X77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7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7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77" s="38">
        <v>0</v>
      </c>
      <c r="AB77" s="38">
        <v>0</v>
      </c>
      <c r="AC77" s="21">
        <v>0</v>
      </c>
      <c r="AD77" s="14">
        <v>0</v>
      </c>
      <c r="AE77" s="36" t="s">
        <v>60</v>
      </c>
      <c r="AF77" s="38">
        <v>342.22222222222223</v>
      </c>
      <c r="AG77" s="38">
        <v>280</v>
      </c>
      <c r="AH77" s="23">
        <f>IF(ISNUMBER(Tabella2[[#This Row],[Mean RADIAL stress  (MPa)]]), Tabella2[[#This Row],[Mean RADIAL stress  (MPa)]],"")</f>
        <v>0</v>
      </c>
      <c r="AI77" s="38">
        <f>IF(ISNUMBER(Tabella2[[#This Row],[Amplitute RADIAL stress  (MPa)]]), Tabella2[[#This Row],[Amplitute RADIAL stress  (MPa)]],"")</f>
        <v>0</v>
      </c>
      <c r="AJ77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7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7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7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7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184383.56349768894</v>
      </c>
      <c r="AO77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150859.27922538185</v>
      </c>
      <c r="AP77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7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484.97422611928562</v>
      </c>
    </row>
    <row r="78" spans="1:43" ht="20.100000000000001" customHeight="1" x14ac:dyDescent="0.25">
      <c r="A78" s="33" t="s">
        <v>68</v>
      </c>
      <c r="B78" s="33">
        <v>2022</v>
      </c>
      <c r="C78" s="33" t="s">
        <v>67</v>
      </c>
      <c r="D78" s="33" t="s">
        <v>147</v>
      </c>
      <c r="E78" s="33">
        <v>174751</v>
      </c>
      <c r="F78" s="33" t="s">
        <v>20</v>
      </c>
      <c r="G78" s="33" t="s">
        <v>130</v>
      </c>
      <c r="H78" s="33" t="e" vm="5">
        <v>#VALUE!</v>
      </c>
      <c r="I78" s="33" t="s">
        <v>27</v>
      </c>
      <c r="J78" s="33" t="s">
        <v>20</v>
      </c>
      <c r="K78" s="33" t="s">
        <v>21</v>
      </c>
      <c r="L78" s="33" t="s">
        <v>21</v>
      </c>
      <c r="M78" s="33">
        <v>0</v>
      </c>
      <c r="N78" s="33">
        <v>14</v>
      </c>
      <c r="O78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8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8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8" s="33">
        <v>0</v>
      </c>
      <c r="S78" s="33">
        <v>0</v>
      </c>
      <c r="T78" s="33">
        <v>0</v>
      </c>
      <c r="U78" s="60" t="s">
        <v>164</v>
      </c>
      <c r="V78" s="60" t="s">
        <v>164</v>
      </c>
      <c r="W78" s="60" t="s">
        <v>164</v>
      </c>
      <c r="X78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8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8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78" s="38">
        <v>0</v>
      </c>
      <c r="AB78" s="38">
        <v>0</v>
      </c>
      <c r="AC78" s="21">
        <v>0</v>
      </c>
      <c r="AD78" s="14">
        <v>0</v>
      </c>
      <c r="AE78" s="36" t="s">
        <v>60</v>
      </c>
      <c r="AF78" s="38">
        <v>366.66666666666669</v>
      </c>
      <c r="AG78" s="38">
        <v>300</v>
      </c>
      <c r="AH78" s="23">
        <f>IF(ISNUMBER(Tabella2[[#This Row],[Mean RADIAL stress  (MPa)]]), Tabella2[[#This Row],[Mean RADIAL stress  (MPa)]],"")</f>
        <v>0</v>
      </c>
      <c r="AI78" s="38">
        <f>IF(ISNUMBER(Tabella2[[#This Row],[Amplitute RADIAL stress  (MPa)]]), Tabella2[[#This Row],[Amplitute RADIAL stress  (MPa)]],"")</f>
        <v>0</v>
      </c>
      <c r="AJ78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8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8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8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8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197553.81803323817</v>
      </c>
      <c r="AO78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161634.94202719486</v>
      </c>
      <c r="AP78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8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</row>
    <row r="79" spans="1:43" ht="20.100000000000001" customHeight="1" x14ac:dyDescent="0.25">
      <c r="A79" s="33" t="s">
        <v>68</v>
      </c>
      <c r="B79" s="33">
        <v>2022</v>
      </c>
      <c r="C79" s="33" t="s">
        <v>67</v>
      </c>
      <c r="D79" s="33" t="s">
        <v>148</v>
      </c>
      <c r="E79" s="33">
        <v>5000000</v>
      </c>
      <c r="F79" s="33" t="s">
        <v>32</v>
      </c>
      <c r="G79" s="33" t="s">
        <v>130</v>
      </c>
      <c r="H79" s="33" t="e" vm="5">
        <v>#VALUE!</v>
      </c>
      <c r="I79" s="33" t="s">
        <v>27</v>
      </c>
      <c r="J79" s="33" t="s">
        <v>20</v>
      </c>
      <c r="K79" s="33" t="s">
        <v>21</v>
      </c>
      <c r="L79" s="33" t="s">
        <v>21</v>
      </c>
      <c r="M79" s="33">
        <v>0</v>
      </c>
      <c r="N79" s="33">
        <v>14</v>
      </c>
      <c r="O79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79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79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79" s="33">
        <v>0</v>
      </c>
      <c r="S79" s="33">
        <v>0</v>
      </c>
      <c r="T79" s="33">
        <v>0</v>
      </c>
      <c r="U79" s="60" t="s">
        <v>164</v>
      </c>
      <c r="V79" s="60" t="s">
        <v>164</v>
      </c>
      <c r="W79" s="60" t="s">
        <v>164</v>
      </c>
      <c r="X79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79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79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9.9999999999999978E-2</v>
      </c>
      <c r="AA79" s="38">
        <v>0</v>
      </c>
      <c r="AB79" s="38">
        <v>0</v>
      </c>
      <c r="AC79" s="21">
        <v>0</v>
      </c>
      <c r="AD79" s="14">
        <v>0</v>
      </c>
      <c r="AE79" s="36" t="s">
        <v>60</v>
      </c>
      <c r="AF79" s="38">
        <v>317.77777777777777</v>
      </c>
      <c r="AG79" s="38">
        <v>260</v>
      </c>
      <c r="AH79" s="23">
        <f>IF(ISNUMBER(Tabella2[[#This Row],[Mean RADIAL stress  (MPa)]]), Tabella2[[#This Row],[Mean RADIAL stress  (MPa)]],"")</f>
        <v>0</v>
      </c>
      <c r="AI79" s="38">
        <f>IF(ISNUMBER(Tabella2[[#This Row],[Amplitute RADIAL stress  (MPa)]]), Tabella2[[#This Row],[Amplitute RADIAL stress  (MPa)]],"")</f>
        <v>0</v>
      </c>
      <c r="AJ79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79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79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79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79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171213.30896213974</v>
      </c>
      <c r="AO79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140083.61642356886</v>
      </c>
      <c r="AP79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79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450.33320996790809</v>
      </c>
    </row>
    <row r="80" spans="1:43" ht="20.100000000000001" customHeight="1" x14ac:dyDescent="0.25">
      <c r="A80" s="33" t="s">
        <v>68</v>
      </c>
      <c r="B80" s="33">
        <v>2022</v>
      </c>
      <c r="C80" s="33" t="s">
        <v>67</v>
      </c>
      <c r="D80" s="33" t="s">
        <v>149</v>
      </c>
      <c r="E80" s="33">
        <v>530148</v>
      </c>
      <c r="F80" s="33" t="s">
        <v>20</v>
      </c>
      <c r="G80" s="33" t="s">
        <v>130</v>
      </c>
      <c r="H80" s="33" t="e" vm="5">
        <v>#VALUE!</v>
      </c>
      <c r="I80" s="33" t="s">
        <v>27</v>
      </c>
      <c r="J80" s="33" t="s">
        <v>20</v>
      </c>
      <c r="K80" s="33" t="s">
        <v>21</v>
      </c>
      <c r="L80" s="33" t="s">
        <v>21</v>
      </c>
      <c r="M80" s="33">
        <v>0</v>
      </c>
      <c r="N80" s="33">
        <v>14</v>
      </c>
      <c r="O80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0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0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0" s="33">
        <v>0</v>
      </c>
      <c r="S80" s="33">
        <v>0</v>
      </c>
      <c r="T80" s="33">
        <v>0</v>
      </c>
      <c r="U80" s="60" t="s">
        <v>164</v>
      </c>
      <c r="V80" s="60" t="s">
        <v>164</v>
      </c>
      <c r="W80" s="60" t="s">
        <v>164</v>
      </c>
      <c r="X80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0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0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80" s="38">
        <v>0</v>
      </c>
      <c r="AB80" s="38">
        <v>0</v>
      </c>
      <c r="AC80" s="21">
        <v>0</v>
      </c>
      <c r="AD80" s="14">
        <v>0</v>
      </c>
      <c r="AE80" s="36" t="s">
        <v>60</v>
      </c>
      <c r="AF80" s="38">
        <v>342.22222222222223</v>
      </c>
      <c r="AG80" s="38">
        <v>280</v>
      </c>
      <c r="AH80" s="23">
        <f>IF(ISNUMBER(Tabella2[[#This Row],[Mean RADIAL stress  (MPa)]]), Tabella2[[#This Row],[Mean RADIAL stress  (MPa)]],"")</f>
        <v>0</v>
      </c>
      <c r="AI80" s="38">
        <f>IF(ISNUMBER(Tabella2[[#This Row],[Amplitute RADIAL stress  (MPa)]]), Tabella2[[#This Row],[Amplitute RADIAL stress  (MPa)]],"")</f>
        <v>0</v>
      </c>
      <c r="AJ80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0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0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0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0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184383.56349768894</v>
      </c>
      <c r="AO80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150859.27922538185</v>
      </c>
      <c r="AP80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0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484.97422611928562</v>
      </c>
    </row>
    <row r="81" spans="1:43" ht="20.100000000000001" customHeight="1" x14ac:dyDescent="0.25">
      <c r="A81" s="33" t="s">
        <v>68</v>
      </c>
      <c r="B81" s="33">
        <v>2022</v>
      </c>
      <c r="C81" s="33" t="s">
        <v>67</v>
      </c>
      <c r="D81" s="33" t="s">
        <v>150</v>
      </c>
      <c r="E81" s="33">
        <v>637436</v>
      </c>
      <c r="F81" s="33" t="s">
        <v>20</v>
      </c>
      <c r="G81" s="33" t="s">
        <v>130</v>
      </c>
      <c r="H81" s="33" t="e" vm="5">
        <v>#VALUE!</v>
      </c>
      <c r="I81" s="33" t="s">
        <v>27</v>
      </c>
      <c r="J81" s="33" t="s">
        <v>20</v>
      </c>
      <c r="K81" s="33" t="s">
        <v>21</v>
      </c>
      <c r="L81" s="33" t="s">
        <v>21</v>
      </c>
      <c r="M81" s="33">
        <v>0</v>
      </c>
      <c r="N81" s="33">
        <v>14</v>
      </c>
      <c r="O81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1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1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1" s="33">
        <v>0</v>
      </c>
      <c r="S81" s="33">
        <v>0</v>
      </c>
      <c r="T81" s="33">
        <v>0</v>
      </c>
      <c r="U81" s="60" t="s">
        <v>164</v>
      </c>
      <c r="V81" s="60" t="s">
        <v>164</v>
      </c>
      <c r="W81" s="60" t="s">
        <v>164</v>
      </c>
      <c r="X81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1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1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81" s="38">
        <v>0</v>
      </c>
      <c r="AB81" s="38">
        <v>0</v>
      </c>
      <c r="AC81" s="21">
        <v>0</v>
      </c>
      <c r="AD81" s="14">
        <v>0</v>
      </c>
      <c r="AE81" s="36" t="s">
        <v>60</v>
      </c>
      <c r="AF81" s="38">
        <v>342.22222222222223</v>
      </c>
      <c r="AG81" s="38">
        <v>280</v>
      </c>
      <c r="AH81" s="23">
        <f>IF(ISNUMBER(Tabella2[[#This Row],[Mean RADIAL stress  (MPa)]]), Tabella2[[#This Row],[Mean RADIAL stress  (MPa)]],"")</f>
        <v>0</v>
      </c>
      <c r="AI81" s="38">
        <f>IF(ISNUMBER(Tabella2[[#This Row],[Amplitute RADIAL stress  (MPa)]]), Tabella2[[#This Row],[Amplitute RADIAL stress  (MPa)]],"")</f>
        <v>0</v>
      </c>
      <c r="AJ81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1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1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1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1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184383.56349768894</v>
      </c>
      <c r="AO81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150859.27922538185</v>
      </c>
      <c r="AP81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1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484.97422611928562</v>
      </c>
    </row>
    <row r="82" spans="1:43" ht="20.100000000000001" customHeight="1" x14ac:dyDescent="0.25">
      <c r="A82" s="33" t="s">
        <v>68</v>
      </c>
      <c r="B82" s="33">
        <v>2022</v>
      </c>
      <c r="C82" s="33" t="s">
        <v>67</v>
      </c>
      <c r="D82" s="33" t="s">
        <v>151</v>
      </c>
      <c r="E82" s="33">
        <v>1292667</v>
      </c>
      <c r="F82" s="33" t="s">
        <v>20</v>
      </c>
      <c r="G82" s="33" t="s">
        <v>130</v>
      </c>
      <c r="H82" s="33" t="e" vm="5">
        <v>#VALUE!</v>
      </c>
      <c r="I82" s="33" t="s">
        <v>27</v>
      </c>
      <c r="J82" s="33" t="s">
        <v>20</v>
      </c>
      <c r="K82" s="33" t="s">
        <v>21</v>
      </c>
      <c r="L82" s="33" t="s">
        <v>21</v>
      </c>
      <c r="M82" s="33">
        <v>0</v>
      </c>
      <c r="N82" s="33">
        <v>14</v>
      </c>
      <c r="O82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2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2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2" s="33">
        <v>0</v>
      </c>
      <c r="S82" s="33">
        <v>0</v>
      </c>
      <c r="T82" s="33">
        <v>0</v>
      </c>
      <c r="U82" s="60" t="s">
        <v>164</v>
      </c>
      <c r="V82" s="60" t="s">
        <v>164</v>
      </c>
      <c r="W82" s="60" t="s">
        <v>164</v>
      </c>
      <c r="X82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2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2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</v>
      </c>
      <c r="AA82" s="38">
        <v>0</v>
      </c>
      <c r="AB82" s="38">
        <v>0</v>
      </c>
      <c r="AC82" s="21">
        <v>0</v>
      </c>
      <c r="AD82" s="14">
        <v>0</v>
      </c>
      <c r="AE82" s="36" t="s">
        <v>60</v>
      </c>
      <c r="AF82" s="38">
        <v>330</v>
      </c>
      <c r="AG82" s="38">
        <v>270</v>
      </c>
      <c r="AH82" s="23">
        <f>IF(ISNUMBER(Tabella2[[#This Row],[Mean RADIAL stress  (MPa)]]), Tabella2[[#This Row],[Mean RADIAL stress  (MPa)]],"")</f>
        <v>0</v>
      </c>
      <c r="AI82" s="38">
        <f>IF(ISNUMBER(Tabella2[[#This Row],[Amplitute RADIAL stress  (MPa)]]), Tabella2[[#This Row],[Amplitute RADIAL stress  (MPa)]],"")</f>
        <v>0</v>
      </c>
      <c r="AJ82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2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2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2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2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177798.43622991437</v>
      </c>
      <c r="AO82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145471.44782447538</v>
      </c>
      <c r="AP82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2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467.65371804359688</v>
      </c>
    </row>
    <row r="83" spans="1:43" ht="20.100000000000001" customHeight="1" x14ac:dyDescent="0.25">
      <c r="A83" s="33" t="s">
        <v>68</v>
      </c>
      <c r="B83" s="33">
        <v>2022</v>
      </c>
      <c r="C83" s="33" t="s">
        <v>67</v>
      </c>
      <c r="D83" s="33" t="s">
        <v>152</v>
      </c>
      <c r="E83" s="33">
        <v>734753</v>
      </c>
      <c r="F83" s="33" t="s">
        <v>20</v>
      </c>
      <c r="G83" s="33" t="s">
        <v>130</v>
      </c>
      <c r="H83" s="33" t="e" vm="5">
        <v>#VALUE!</v>
      </c>
      <c r="I83" s="33" t="s">
        <v>27</v>
      </c>
      <c r="J83" s="33" t="s">
        <v>20</v>
      </c>
      <c r="K83" s="33" t="s">
        <v>21</v>
      </c>
      <c r="L83" s="33" t="s">
        <v>21</v>
      </c>
      <c r="M83" s="33">
        <v>0</v>
      </c>
      <c r="N83" s="33">
        <v>14</v>
      </c>
      <c r="O83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3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3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3" s="33">
        <v>0</v>
      </c>
      <c r="S83" s="33">
        <v>0</v>
      </c>
      <c r="T83" s="33">
        <v>0</v>
      </c>
      <c r="U83" s="60" t="s">
        <v>164</v>
      </c>
      <c r="V83" s="60" t="s">
        <v>164</v>
      </c>
      <c r="W83" s="60" t="s">
        <v>164</v>
      </c>
      <c r="X83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3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3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</v>
      </c>
      <c r="AA83" s="38">
        <v>0</v>
      </c>
      <c r="AB83" s="38">
        <v>0</v>
      </c>
      <c r="AC83" s="21">
        <v>0</v>
      </c>
      <c r="AD83" s="14">
        <v>0</v>
      </c>
      <c r="AE83" s="36" t="s">
        <v>60</v>
      </c>
      <c r="AF83" s="38">
        <v>330</v>
      </c>
      <c r="AG83" s="38">
        <v>270</v>
      </c>
      <c r="AH83" s="23">
        <f>IF(ISNUMBER(Tabella2[[#This Row],[Mean RADIAL stress  (MPa)]]), Tabella2[[#This Row],[Mean RADIAL stress  (MPa)]],"")</f>
        <v>0</v>
      </c>
      <c r="AI83" s="38">
        <f>IF(ISNUMBER(Tabella2[[#This Row],[Amplitute RADIAL stress  (MPa)]]), Tabella2[[#This Row],[Amplitute RADIAL stress  (MPa)]],"")</f>
        <v>0</v>
      </c>
      <c r="AJ83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3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3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3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3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177798.43622991437</v>
      </c>
      <c r="AO83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145471.44782447538</v>
      </c>
      <c r="AP83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3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467.65371804359688</v>
      </c>
    </row>
    <row r="84" spans="1:43" ht="20.100000000000001" customHeight="1" x14ac:dyDescent="0.25">
      <c r="A84" s="33" t="s">
        <v>68</v>
      </c>
      <c r="B84" s="33">
        <v>2022</v>
      </c>
      <c r="C84" s="33" t="s">
        <v>67</v>
      </c>
      <c r="D84" s="33" t="s">
        <v>153</v>
      </c>
      <c r="E84" s="33">
        <v>1246068</v>
      </c>
      <c r="F84" s="33" t="s">
        <v>20</v>
      </c>
      <c r="G84" s="33" t="s">
        <v>130</v>
      </c>
      <c r="H84" s="33" t="e" vm="5">
        <v>#VALUE!</v>
      </c>
      <c r="I84" s="33" t="s">
        <v>27</v>
      </c>
      <c r="J84" s="33" t="s">
        <v>20</v>
      </c>
      <c r="K84" s="33" t="s">
        <v>21</v>
      </c>
      <c r="L84" s="33" t="s">
        <v>21</v>
      </c>
      <c r="M84" s="33">
        <v>0</v>
      </c>
      <c r="N84" s="33">
        <v>14</v>
      </c>
      <c r="O84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4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4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4" s="33">
        <v>0</v>
      </c>
      <c r="S84" s="33">
        <v>0</v>
      </c>
      <c r="T84" s="33">
        <v>0</v>
      </c>
      <c r="U84" s="60" t="s">
        <v>164</v>
      </c>
      <c r="V84" s="60" t="s">
        <v>164</v>
      </c>
      <c r="W84" s="60" t="s">
        <v>164</v>
      </c>
      <c r="X84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4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4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</v>
      </c>
      <c r="AA84" s="38">
        <v>0</v>
      </c>
      <c r="AB84" s="38">
        <v>0</v>
      </c>
      <c r="AC84" s="21">
        <v>0</v>
      </c>
      <c r="AD84" s="14">
        <v>0</v>
      </c>
      <c r="AE84" s="36" t="s">
        <v>60</v>
      </c>
      <c r="AF84" s="38">
        <v>330</v>
      </c>
      <c r="AG84" s="38">
        <v>270</v>
      </c>
      <c r="AH84" s="23">
        <f>IF(ISNUMBER(Tabella2[[#This Row],[Mean RADIAL stress  (MPa)]]), Tabella2[[#This Row],[Mean RADIAL stress  (MPa)]],"")</f>
        <v>0</v>
      </c>
      <c r="AI84" s="38">
        <f>IF(ISNUMBER(Tabella2[[#This Row],[Amplitute RADIAL stress  (MPa)]]), Tabella2[[#This Row],[Amplitute RADIAL stress  (MPa)]],"")</f>
        <v>0</v>
      </c>
      <c r="AJ84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4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4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4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4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177798.43622991437</v>
      </c>
      <c r="AO84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145471.44782447538</v>
      </c>
      <c r="AP84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4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467.65371804359688</v>
      </c>
    </row>
    <row r="85" spans="1:43" ht="20.100000000000001" customHeight="1" x14ac:dyDescent="0.25">
      <c r="A85" s="33" t="s">
        <v>68</v>
      </c>
      <c r="B85" s="33">
        <v>2022</v>
      </c>
      <c r="C85" s="33" t="s">
        <v>67</v>
      </c>
      <c r="D85" s="33" t="s">
        <v>154</v>
      </c>
      <c r="E85" s="33">
        <v>183404</v>
      </c>
      <c r="F85" s="33" t="s">
        <v>20</v>
      </c>
      <c r="G85" s="33" t="s">
        <v>130</v>
      </c>
      <c r="H85" s="33" t="e" vm="5">
        <v>#VALUE!</v>
      </c>
      <c r="I85" s="33" t="s">
        <v>27</v>
      </c>
      <c r="J85" s="33" t="s">
        <v>20</v>
      </c>
      <c r="K85" s="33" t="s">
        <v>21</v>
      </c>
      <c r="L85" s="33" t="s">
        <v>21</v>
      </c>
      <c r="M85" s="33">
        <v>0</v>
      </c>
      <c r="N85" s="33">
        <v>14</v>
      </c>
      <c r="O85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153.93804002589985</v>
      </c>
      <c r="P85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1885.7409903172734</v>
      </c>
      <c r="Q85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3771.4819806345467</v>
      </c>
      <c r="R85" s="33">
        <v>0</v>
      </c>
      <c r="S85" s="33">
        <v>0</v>
      </c>
      <c r="T85" s="33">
        <v>0</v>
      </c>
      <c r="U85" s="60" t="s">
        <v>164</v>
      </c>
      <c r="V85" s="60" t="s">
        <v>164</v>
      </c>
      <c r="W85" s="60" t="s">
        <v>164</v>
      </c>
      <c r="X85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5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5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0.10000000000000002</v>
      </c>
      <c r="AA85" s="38">
        <v>0</v>
      </c>
      <c r="AB85" s="38">
        <v>0</v>
      </c>
      <c r="AC85" s="21">
        <v>0</v>
      </c>
      <c r="AD85" s="14">
        <v>0</v>
      </c>
      <c r="AE85" s="36" t="s">
        <v>60</v>
      </c>
      <c r="AF85" s="38">
        <v>366.66666666666669</v>
      </c>
      <c r="AG85" s="38">
        <v>300</v>
      </c>
      <c r="AH85" s="23">
        <f>IF(ISNUMBER(Tabella2[[#This Row],[Mean RADIAL stress  (MPa)]]), Tabella2[[#This Row],[Mean RADIAL stress  (MPa)]],"")</f>
        <v>0</v>
      </c>
      <c r="AI85" s="38">
        <f>IF(ISNUMBER(Tabella2[[#This Row],[Amplitute RADIAL stress  (MPa)]]), Tabella2[[#This Row],[Amplitute RADIAL stress  (MPa)]],"")</f>
        <v>0</v>
      </c>
      <c r="AJ85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5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5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5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5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197553.81803323817</v>
      </c>
      <c r="AO85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161634.94202719486</v>
      </c>
      <c r="AP85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5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</row>
    <row r="86" spans="1:43" ht="20.100000000000001" customHeight="1" x14ac:dyDescent="0.25">
      <c r="A86" s="33" t="s">
        <v>68</v>
      </c>
      <c r="B86" s="33">
        <v>2022</v>
      </c>
      <c r="C86" s="33" t="s">
        <v>67</v>
      </c>
      <c r="D86" s="33" t="s">
        <v>155</v>
      </c>
      <c r="E86" s="33">
        <v>1540572</v>
      </c>
      <c r="F86" s="33" t="s">
        <v>20</v>
      </c>
      <c r="G86" s="33" t="s">
        <v>130</v>
      </c>
      <c r="H86" s="33" t="e" vm="6">
        <v>#VALUE!</v>
      </c>
      <c r="I86" s="33" t="s">
        <v>27</v>
      </c>
      <c r="J86" s="33" t="s">
        <v>32</v>
      </c>
      <c r="K86" s="33" t="s">
        <v>21</v>
      </c>
      <c r="L86" s="33" t="s">
        <v>21</v>
      </c>
      <c r="M86" s="33">
        <v>0</v>
      </c>
      <c r="N86" s="33">
        <v>22.5</v>
      </c>
      <c r="O86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397.60782021995817</v>
      </c>
      <c r="P86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12580.559936647114</v>
      </c>
      <c r="Q86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25161.119873294228</v>
      </c>
      <c r="R86" s="33">
        <v>0</v>
      </c>
      <c r="S86" s="33">
        <v>0</v>
      </c>
      <c r="T86" s="33">
        <v>0</v>
      </c>
      <c r="U86" s="60" t="s">
        <v>164</v>
      </c>
      <c r="V86" s="60" t="s">
        <v>164</v>
      </c>
      <c r="W86" s="60" t="s">
        <v>164</v>
      </c>
      <c r="X86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6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6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6" s="38">
        <v>0</v>
      </c>
      <c r="AB86" s="38">
        <v>0</v>
      </c>
      <c r="AC86" s="21">
        <v>0</v>
      </c>
      <c r="AD86" s="14">
        <v>0</v>
      </c>
      <c r="AE86" s="36" t="s">
        <v>60</v>
      </c>
      <c r="AF86" s="38">
        <v>0</v>
      </c>
      <c r="AG86" s="38">
        <v>225</v>
      </c>
      <c r="AH86" s="23">
        <f>IF(ISNUMBER(Tabella2[[#This Row],[Mean RADIAL stress  (MPa)]]), Tabella2[[#This Row],[Mean RADIAL stress  (MPa)]],"")</f>
        <v>0</v>
      </c>
      <c r="AI86" s="38">
        <f>IF(ISNUMBER(Tabella2[[#This Row],[Amplitute RADIAL stress  (MPa)]]), Tabella2[[#This Row],[Amplitute RADIAL stress  (MPa)]],"")</f>
        <v>0</v>
      </c>
      <c r="AJ86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6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6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6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6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6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503222.39746588463</v>
      </c>
      <c r="AP86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6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389.7114317029974</v>
      </c>
    </row>
    <row r="87" spans="1:43" ht="20.100000000000001" customHeight="1" x14ac:dyDescent="0.25">
      <c r="A87" s="33" t="s">
        <v>68</v>
      </c>
      <c r="B87" s="33">
        <v>2022</v>
      </c>
      <c r="C87" s="33" t="s">
        <v>67</v>
      </c>
      <c r="D87" s="33" t="s">
        <v>156</v>
      </c>
      <c r="E87" s="33">
        <v>1347924</v>
      </c>
      <c r="F87" s="33" t="s">
        <v>20</v>
      </c>
      <c r="G87" s="33" t="s">
        <v>130</v>
      </c>
      <c r="H87" s="33" t="e" vm="6">
        <v>#VALUE!</v>
      </c>
      <c r="I87" s="33" t="s">
        <v>27</v>
      </c>
      <c r="J87" s="33" t="s">
        <v>32</v>
      </c>
      <c r="K87" s="33" t="s">
        <v>21</v>
      </c>
      <c r="L87" s="33" t="s">
        <v>21</v>
      </c>
      <c r="M87" s="33">
        <v>0</v>
      </c>
      <c r="N87" s="33">
        <v>22.5</v>
      </c>
      <c r="O87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397.60782021995817</v>
      </c>
      <c r="P87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12580.559936647114</v>
      </c>
      <c r="Q87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25161.119873294228</v>
      </c>
      <c r="R87" s="33">
        <v>0</v>
      </c>
      <c r="S87" s="33">
        <v>0</v>
      </c>
      <c r="T87" s="33">
        <v>0</v>
      </c>
      <c r="U87" s="60" t="s">
        <v>164</v>
      </c>
      <c r="V87" s="60" t="s">
        <v>164</v>
      </c>
      <c r="W87" s="60" t="s">
        <v>164</v>
      </c>
      <c r="X87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7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7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7" s="38">
        <v>0</v>
      </c>
      <c r="AB87" s="38">
        <v>0</v>
      </c>
      <c r="AC87" s="21">
        <v>0</v>
      </c>
      <c r="AD87" s="14">
        <v>0</v>
      </c>
      <c r="AE87" s="36" t="s">
        <v>60</v>
      </c>
      <c r="AF87" s="38">
        <v>0</v>
      </c>
      <c r="AG87" s="38">
        <v>225</v>
      </c>
      <c r="AH87" s="23">
        <f>IF(ISNUMBER(Tabella2[[#This Row],[Mean RADIAL stress  (MPa)]]), Tabella2[[#This Row],[Mean RADIAL stress  (MPa)]],"")</f>
        <v>0</v>
      </c>
      <c r="AI87" s="38">
        <f>IF(ISNUMBER(Tabella2[[#This Row],[Amplitute RADIAL stress  (MPa)]]), Tabella2[[#This Row],[Amplitute RADIAL stress  (MPa)]],"")</f>
        <v>0</v>
      </c>
      <c r="AJ87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7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7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7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7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7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503222.39746588463</v>
      </c>
      <c r="AP87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7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389.7114317029974</v>
      </c>
    </row>
    <row r="88" spans="1:43" ht="20.100000000000001" customHeight="1" x14ac:dyDescent="0.25">
      <c r="A88" s="33" t="s">
        <v>68</v>
      </c>
      <c r="B88" s="33">
        <v>2022</v>
      </c>
      <c r="C88" s="33" t="s">
        <v>67</v>
      </c>
      <c r="D88" s="33" t="s">
        <v>157</v>
      </c>
      <c r="E88" s="33">
        <v>1313298</v>
      </c>
      <c r="F88" s="33" t="s">
        <v>20</v>
      </c>
      <c r="G88" s="33" t="s">
        <v>130</v>
      </c>
      <c r="H88" s="33" t="e" vm="6">
        <v>#VALUE!</v>
      </c>
      <c r="I88" s="33" t="s">
        <v>27</v>
      </c>
      <c r="J88" s="33" t="s">
        <v>32</v>
      </c>
      <c r="K88" s="33" t="s">
        <v>21</v>
      </c>
      <c r="L88" s="33" t="s">
        <v>21</v>
      </c>
      <c r="M88" s="33">
        <v>0</v>
      </c>
      <c r="N88" s="33">
        <v>22.5</v>
      </c>
      <c r="O88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397.60782021995817</v>
      </c>
      <c r="P88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12580.559936647114</v>
      </c>
      <c r="Q88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25161.119873294228</v>
      </c>
      <c r="R88" s="33">
        <v>0</v>
      </c>
      <c r="S88" s="33">
        <v>0</v>
      </c>
      <c r="T88" s="33">
        <v>0</v>
      </c>
      <c r="U88" s="60" t="s">
        <v>164</v>
      </c>
      <c r="V88" s="60" t="s">
        <v>164</v>
      </c>
      <c r="W88" s="60" t="s">
        <v>164</v>
      </c>
      <c r="X88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8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8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8" s="38">
        <v>0</v>
      </c>
      <c r="AB88" s="38">
        <v>0</v>
      </c>
      <c r="AC88" s="21">
        <v>0</v>
      </c>
      <c r="AD88" s="14">
        <v>0</v>
      </c>
      <c r="AE88" s="36" t="s">
        <v>60</v>
      </c>
      <c r="AF88" s="38">
        <v>0</v>
      </c>
      <c r="AG88" s="38">
        <v>250</v>
      </c>
      <c r="AH88" s="23">
        <f>IF(ISNUMBER(Tabella2[[#This Row],[Mean RADIAL stress  (MPa)]]), Tabella2[[#This Row],[Mean RADIAL stress  (MPa)]],"")</f>
        <v>0</v>
      </c>
      <c r="AI88" s="38">
        <f>IF(ISNUMBER(Tabella2[[#This Row],[Amplitute RADIAL stress  (MPa)]]), Tabella2[[#This Row],[Amplitute RADIAL stress  (MPa)]],"")</f>
        <v>0</v>
      </c>
      <c r="AJ88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8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8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8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8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8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559135.99718431616</v>
      </c>
      <c r="AP88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8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433.0127018922193</v>
      </c>
    </row>
    <row r="89" spans="1:43" ht="20.100000000000001" customHeight="1" x14ac:dyDescent="0.25">
      <c r="A89" s="33" t="s">
        <v>68</v>
      </c>
      <c r="B89" s="33">
        <v>2022</v>
      </c>
      <c r="C89" s="33" t="s">
        <v>67</v>
      </c>
      <c r="D89" s="33" t="s">
        <v>158</v>
      </c>
      <c r="E89" s="33">
        <v>1166925</v>
      </c>
      <c r="F89" s="33" t="s">
        <v>20</v>
      </c>
      <c r="G89" s="33" t="s">
        <v>130</v>
      </c>
      <c r="H89" s="33" t="e" vm="6">
        <v>#VALUE!</v>
      </c>
      <c r="I89" s="33" t="s">
        <v>27</v>
      </c>
      <c r="J89" s="33" t="s">
        <v>32</v>
      </c>
      <c r="K89" s="33" t="s">
        <v>21</v>
      </c>
      <c r="L89" s="33" t="s">
        <v>21</v>
      </c>
      <c r="M89" s="33">
        <v>0</v>
      </c>
      <c r="N89" s="33">
        <v>22.5</v>
      </c>
      <c r="O89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397.60782021995817</v>
      </c>
      <c r="P89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12580.559936647114</v>
      </c>
      <c r="Q89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25161.119873294228</v>
      </c>
      <c r="R89" s="33">
        <v>0</v>
      </c>
      <c r="S89" s="33">
        <v>0</v>
      </c>
      <c r="T89" s="33">
        <v>0</v>
      </c>
      <c r="U89" s="60" t="s">
        <v>164</v>
      </c>
      <c r="V89" s="60" t="s">
        <v>164</v>
      </c>
      <c r="W89" s="60" t="s">
        <v>164</v>
      </c>
      <c r="X89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89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89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89" s="38">
        <v>0</v>
      </c>
      <c r="AB89" s="38">
        <v>0</v>
      </c>
      <c r="AC89" s="21">
        <v>0</v>
      </c>
      <c r="AD89" s="14">
        <v>0</v>
      </c>
      <c r="AE89" s="36" t="s">
        <v>60</v>
      </c>
      <c r="AF89" s="38">
        <v>0</v>
      </c>
      <c r="AG89" s="38">
        <v>250</v>
      </c>
      <c r="AH89" s="23">
        <f>IF(ISNUMBER(Tabella2[[#This Row],[Mean RADIAL stress  (MPa)]]), Tabella2[[#This Row],[Mean RADIAL stress  (MPa)]],"")</f>
        <v>0</v>
      </c>
      <c r="AI89" s="38">
        <f>IF(ISNUMBER(Tabella2[[#This Row],[Amplitute RADIAL stress  (MPa)]]), Tabella2[[#This Row],[Amplitute RADIAL stress  (MPa)]],"")</f>
        <v>0</v>
      </c>
      <c r="AJ89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89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89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89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89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89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559135.99718431616</v>
      </c>
      <c r="AP89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89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433.0127018922193</v>
      </c>
    </row>
    <row r="90" spans="1:43" ht="20.100000000000001" customHeight="1" x14ac:dyDescent="0.25">
      <c r="A90" s="33" t="s">
        <v>68</v>
      </c>
      <c r="B90" s="33">
        <v>2022</v>
      </c>
      <c r="C90" s="33" t="s">
        <v>67</v>
      </c>
      <c r="D90" s="33" t="s">
        <v>159</v>
      </c>
      <c r="E90" s="33">
        <v>3583227</v>
      </c>
      <c r="F90" s="33" t="s">
        <v>20</v>
      </c>
      <c r="G90" s="33" t="s">
        <v>130</v>
      </c>
      <c r="H90" s="33" t="e" vm="6">
        <v>#VALUE!</v>
      </c>
      <c r="I90" s="33" t="s">
        <v>27</v>
      </c>
      <c r="J90" s="33" t="s">
        <v>32</v>
      </c>
      <c r="K90" s="33" t="s">
        <v>21</v>
      </c>
      <c r="L90" s="33" t="s">
        <v>21</v>
      </c>
      <c r="M90" s="33">
        <v>0</v>
      </c>
      <c r="N90" s="33">
        <v>22.5</v>
      </c>
      <c r="O90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397.60782021995817</v>
      </c>
      <c r="P90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12580.559936647114</v>
      </c>
      <c r="Q90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25161.119873294228</v>
      </c>
      <c r="R90" s="33">
        <v>0</v>
      </c>
      <c r="S90" s="33">
        <v>0</v>
      </c>
      <c r="T90" s="33">
        <v>0</v>
      </c>
      <c r="U90" s="60" t="s">
        <v>164</v>
      </c>
      <c r="V90" s="60" t="s">
        <v>164</v>
      </c>
      <c r="W90" s="60" t="s">
        <v>164</v>
      </c>
      <c r="X90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0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0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0" s="38">
        <v>0</v>
      </c>
      <c r="AB90" s="38">
        <v>0</v>
      </c>
      <c r="AC90" s="21">
        <v>0</v>
      </c>
      <c r="AD90" s="14">
        <v>0</v>
      </c>
      <c r="AE90" s="36" t="s">
        <v>60</v>
      </c>
      <c r="AF90" s="38">
        <v>0</v>
      </c>
      <c r="AG90" s="38">
        <v>175</v>
      </c>
      <c r="AH90" s="23">
        <f>IF(ISNUMBER(Tabella2[[#This Row],[Mean RADIAL stress  (MPa)]]), Tabella2[[#This Row],[Mean RADIAL stress  (MPa)]],"")</f>
        <v>0</v>
      </c>
      <c r="AI90" s="38">
        <f>IF(ISNUMBER(Tabella2[[#This Row],[Amplitute RADIAL stress  (MPa)]]), Tabella2[[#This Row],[Amplitute RADIAL stress  (MPa)]],"")</f>
        <v>0</v>
      </c>
      <c r="AJ90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0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0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0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0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0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391395.19802902133</v>
      </c>
      <c r="AP90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0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303.10889132455355</v>
      </c>
    </row>
    <row r="91" spans="1:43" ht="20.100000000000001" customHeight="1" x14ac:dyDescent="0.25">
      <c r="A91" s="33" t="s">
        <v>68</v>
      </c>
      <c r="B91" s="33">
        <v>2022</v>
      </c>
      <c r="C91" s="33" t="s">
        <v>67</v>
      </c>
      <c r="D91" s="33" t="s">
        <v>160</v>
      </c>
      <c r="E91" s="33">
        <v>630058</v>
      </c>
      <c r="F91" s="33" t="s">
        <v>20</v>
      </c>
      <c r="G91" s="33" t="s">
        <v>130</v>
      </c>
      <c r="H91" s="33" t="e" vm="6">
        <v>#VALUE!</v>
      </c>
      <c r="I91" s="33" t="s">
        <v>27</v>
      </c>
      <c r="J91" s="33" t="s">
        <v>32</v>
      </c>
      <c r="K91" s="33" t="s">
        <v>21</v>
      </c>
      <c r="L91" s="33" t="s">
        <v>21</v>
      </c>
      <c r="M91" s="33">
        <v>0</v>
      </c>
      <c r="N91" s="33">
        <v>22.5</v>
      </c>
      <c r="O91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397.60782021995817</v>
      </c>
      <c r="P91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12580.559936647114</v>
      </c>
      <c r="Q91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25161.119873294228</v>
      </c>
      <c r="R91" s="33">
        <v>0</v>
      </c>
      <c r="S91" s="33">
        <v>0</v>
      </c>
      <c r="T91" s="33">
        <v>0</v>
      </c>
      <c r="U91" s="60" t="s">
        <v>164</v>
      </c>
      <c r="V91" s="60" t="s">
        <v>164</v>
      </c>
      <c r="W91" s="60" t="s">
        <v>164</v>
      </c>
      <c r="X91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1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1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1" s="38">
        <v>0</v>
      </c>
      <c r="AB91" s="38">
        <v>0</v>
      </c>
      <c r="AC91" s="21">
        <v>0</v>
      </c>
      <c r="AD91" s="14">
        <v>0</v>
      </c>
      <c r="AE91" s="36" t="s">
        <v>60</v>
      </c>
      <c r="AF91" s="38">
        <v>0</v>
      </c>
      <c r="AG91" s="38">
        <v>300</v>
      </c>
      <c r="AH91" s="23">
        <f>IF(ISNUMBER(Tabella2[[#This Row],[Mean RADIAL stress  (MPa)]]), Tabella2[[#This Row],[Mean RADIAL stress  (MPa)]],"")</f>
        <v>0</v>
      </c>
      <c r="AI91" s="38">
        <f>IF(ISNUMBER(Tabella2[[#This Row],[Amplitute RADIAL stress  (MPa)]]), Tabella2[[#This Row],[Amplitute RADIAL stress  (MPa)]],"")</f>
        <v>0</v>
      </c>
      <c r="AJ91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1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1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1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1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1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670963.19662117946</v>
      </c>
      <c r="AP91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1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</row>
    <row r="92" spans="1:43" ht="20.100000000000001" customHeight="1" x14ac:dyDescent="0.25">
      <c r="A92" s="33" t="s">
        <v>68</v>
      </c>
      <c r="B92" s="33">
        <v>2022</v>
      </c>
      <c r="C92" s="33" t="s">
        <v>67</v>
      </c>
      <c r="D92" s="33" t="s">
        <v>161</v>
      </c>
      <c r="E92" s="33">
        <v>628732</v>
      </c>
      <c r="F92" s="33" t="s">
        <v>20</v>
      </c>
      <c r="G92" s="33" t="s">
        <v>130</v>
      </c>
      <c r="H92" s="33" t="e" vm="6">
        <v>#VALUE!</v>
      </c>
      <c r="I92" s="33" t="s">
        <v>27</v>
      </c>
      <c r="J92" s="33" t="s">
        <v>32</v>
      </c>
      <c r="K92" s="33" t="s">
        <v>21</v>
      </c>
      <c r="L92" s="33" t="s">
        <v>21</v>
      </c>
      <c r="M92" s="33">
        <v>0</v>
      </c>
      <c r="N92" s="33">
        <v>22.5</v>
      </c>
      <c r="O92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397.60782021995817</v>
      </c>
      <c r="P92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12580.559936647114</v>
      </c>
      <c r="Q92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25161.119873294228</v>
      </c>
      <c r="R92" s="33">
        <v>0</v>
      </c>
      <c r="S92" s="33">
        <v>0</v>
      </c>
      <c r="T92" s="33">
        <v>0</v>
      </c>
      <c r="U92" s="60" t="s">
        <v>164</v>
      </c>
      <c r="V92" s="60" t="s">
        <v>164</v>
      </c>
      <c r="W92" s="60" t="s">
        <v>164</v>
      </c>
      <c r="X92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2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2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2" s="38">
        <v>0</v>
      </c>
      <c r="AB92" s="38">
        <v>0</v>
      </c>
      <c r="AC92" s="21">
        <v>0</v>
      </c>
      <c r="AD92" s="14">
        <v>0</v>
      </c>
      <c r="AE92" s="36" t="s">
        <v>60</v>
      </c>
      <c r="AF92" s="38">
        <v>0</v>
      </c>
      <c r="AG92" s="38">
        <v>300</v>
      </c>
      <c r="AH92" s="23">
        <f>IF(ISNUMBER(Tabella2[[#This Row],[Mean RADIAL stress  (MPa)]]), Tabella2[[#This Row],[Mean RADIAL stress  (MPa)]],"")</f>
        <v>0</v>
      </c>
      <c r="AI92" s="38">
        <f>IF(ISNUMBER(Tabella2[[#This Row],[Amplitute RADIAL stress  (MPa)]]), Tabella2[[#This Row],[Amplitute RADIAL stress  (MPa)]],"")</f>
        <v>0</v>
      </c>
      <c r="AJ92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2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2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2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2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2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670963.19662117946</v>
      </c>
      <c r="AP92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2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</row>
    <row r="93" spans="1:43" ht="20.100000000000001" customHeight="1" x14ac:dyDescent="0.25">
      <c r="A93" s="33" t="s">
        <v>68</v>
      </c>
      <c r="B93" s="33">
        <v>2022</v>
      </c>
      <c r="C93" s="33" t="s">
        <v>67</v>
      </c>
      <c r="D93" s="33" t="s">
        <v>162</v>
      </c>
      <c r="E93" s="33">
        <v>2797404</v>
      </c>
      <c r="F93" s="33" t="s">
        <v>20</v>
      </c>
      <c r="G93" s="33" t="s">
        <v>130</v>
      </c>
      <c r="H93" s="33" t="e" vm="6">
        <v>#VALUE!</v>
      </c>
      <c r="I93" s="33" t="s">
        <v>27</v>
      </c>
      <c r="J93" s="33" t="s">
        <v>32</v>
      </c>
      <c r="K93" s="33" t="s">
        <v>21</v>
      </c>
      <c r="L93" s="33" t="s">
        <v>21</v>
      </c>
      <c r="M93" s="33">
        <v>0</v>
      </c>
      <c r="N93" s="33">
        <v>22.5</v>
      </c>
      <c r="O93" s="35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397.60782021995817</v>
      </c>
      <c r="P93" s="35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12580.559936647114</v>
      </c>
      <c r="Q93" s="35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25161.119873294228</v>
      </c>
      <c r="R93" s="33">
        <v>0</v>
      </c>
      <c r="S93" s="33">
        <v>0</v>
      </c>
      <c r="T93" s="33">
        <v>0</v>
      </c>
      <c r="U93" s="60" t="s">
        <v>164</v>
      </c>
      <c r="V93" s="60" t="s">
        <v>164</v>
      </c>
      <c r="W93" s="60" t="s">
        <v>164</v>
      </c>
      <c r="X93" s="37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3" s="37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3" s="37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3" s="38">
        <v>0</v>
      </c>
      <c r="AB93" s="38">
        <v>0</v>
      </c>
      <c r="AC93" s="21">
        <v>0</v>
      </c>
      <c r="AD93" s="14">
        <v>0</v>
      </c>
      <c r="AE93" s="36" t="s">
        <v>60</v>
      </c>
      <c r="AF93" s="38">
        <v>0</v>
      </c>
      <c r="AG93" s="38">
        <v>200</v>
      </c>
      <c r="AH93" s="23">
        <f>IF(ISNUMBER(Tabella2[[#This Row],[Mean RADIAL stress  (MPa)]]), Tabella2[[#This Row],[Mean RADIAL stress  (MPa)]],"")</f>
        <v>0</v>
      </c>
      <c r="AI93" s="38">
        <f>IF(ISNUMBER(Tabella2[[#This Row],[Amplitute RADIAL stress  (MPa)]]), Tabella2[[#This Row],[Amplitute RADIAL stress  (MPa)]],"")</f>
        <v>0</v>
      </c>
      <c r="AJ93" s="38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3" s="38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3" s="38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3" s="38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3" s="38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3" s="38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447308.79774745298</v>
      </c>
      <c r="AP93" s="34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3" s="34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346.41016151377545</v>
      </c>
    </row>
    <row r="94" spans="1:43" s="17" customFormat="1" ht="20.100000000000001" customHeight="1" thickBot="1" x14ac:dyDescent="0.3">
      <c r="A94" s="17" t="s">
        <v>68</v>
      </c>
      <c r="B94" s="17">
        <v>2022</v>
      </c>
      <c r="C94" s="17" t="s">
        <v>67</v>
      </c>
      <c r="D94" s="17" t="s">
        <v>163</v>
      </c>
      <c r="E94" s="17">
        <v>5000000</v>
      </c>
      <c r="F94" s="17" t="s">
        <v>32</v>
      </c>
      <c r="G94" s="17" t="s">
        <v>130</v>
      </c>
      <c r="H94" s="17" t="e" vm="6">
        <v>#VALUE!</v>
      </c>
      <c r="I94" s="17" t="s">
        <v>27</v>
      </c>
      <c r="J94" s="17" t="s">
        <v>32</v>
      </c>
      <c r="K94" s="17" t="s">
        <v>21</v>
      </c>
      <c r="L94" s="17" t="s">
        <v>21</v>
      </c>
      <c r="M94" s="17">
        <v>0</v>
      </c>
      <c r="N94" s="17">
        <v>22.5</v>
      </c>
      <c r="O94" s="18">
        <f>IF(Tabella2[[#This Row],[Geometry type (flat/cylindrical/hollow cylinder)]]="flat",
     Tabella2[[#This Row],[A (mm)]]*Tabella2[[#This Row],[B (mm)]],
     IF(Tabella2[[#This Row],[Geometry type (flat/cylindrical/hollow cylinder)]]="cylindrical",
          PI()*Tabella2[[#This Row],[Diameter (mm)]]^2/4,
          IF(Tabella2[[#This Row],[Geometry type (flat/cylindrical/hollow cylinder)]]="hollow cylinder",
               PI()*(Tabella2[[#This Row],[Diameter (mm)]]^2 - Tabella2[[#This Row],[Hole diameter (mm)]]^2)/4,
               ""
          )
     )
)</f>
        <v>397.60782021995817</v>
      </c>
      <c r="P94" s="18">
        <f>IF(Tabella2[[#This Row],[Geometry type (flat/cylindrical/hollow cylinder)]]="flat",
     (Tabella2[[#This Row],[A (mm)]]*Tabella2[[#This Row],[B (mm)]]^3)/12,
     IF(Tabella2[[#This Row],[Geometry type (flat/cylindrical/hollow cylinder)]]="cylindrical",
          PI()*Tabella2[[#This Row],[Diameter (mm)]]^4/64,
          IF(Tabella2[[#This Row],[Geometry type (flat/cylindrical/hollow cylinder)]]="hollow cylinder",
               PI()*(Tabella2[[#This Row],[Diameter (mm)]]^4 - Tabella2[[#This Row],[Hole diameter (mm)]]^4)/64,
               ""
          )
     )
)</f>
        <v>12580.559936647114</v>
      </c>
      <c r="Q94" s="18">
        <f>IF(Tabella2[[#This Row],[Geometry type (flat/cylindrical/hollow cylinder)]]="flat",
     "Cannot be calculated",
     IF(Tabella2[[#This Row],[Geometry type (flat/cylindrical/hollow cylinder)]]="cylindrical",
          PI()*Tabella2[[#This Row],[Diameter (mm)]]^4/32,
          IF(Tabella2[[#This Row],[Geometry type (flat/cylindrical/hollow cylinder)]]="hollow cylinder",
               PI()*(Tabella2[[#This Row],[Diameter (mm)]]^4 - Tabella2[[#This Row],[Hole diameter (mm)]]^4)/32,
               ""
          )
     )
)</f>
        <v>25161.119873294228</v>
      </c>
      <c r="R94" s="17">
        <v>0</v>
      </c>
      <c r="S94" s="17">
        <v>0</v>
      </c>
      <c r="T94" s="17">
        <v>0</v>
      </c>
      <c r="U94" s="61" t="s">
        <v>164</v>
      </c>
      <c r="V94" s="61" t="s">
        <v>164</v>
      </c>
      <c r="W94" s="61" t="s">
        <v>164</v>
      </c>
      <c r="X94" s="58" t="str">
        <f>IF(AND(ISNUMBER(Tabella2[[#This Row],[Mean RADIAL stress  (MPa)]]),ISNUMBER(Tabella2[[#This Row],[Amplitute RADIAL stress  (MPa)]]),(Tabella2[[#This Row],[Mean RADIAL stress  (MPa)]]+Tabella2[[#This Row],[Amplitute RADIAL stress  (MPa)]])&lt;&gt;0),(Tabella2[[#This Row],[Mean RADIAL stress  (MPa)]]-Tabella2[[#This Row],[Amplitute RADIAL stress  (MPa)]])/(Tabella2[[#This Row],[Mean RADIAL stress  (MPa)]]+Tabella2[[#This Row],[Amplitute RADIAL stress  (MPa)]]),"Null")</f>
        <v>Null</v>
      </c>
      <c r="Y94" s="58" t="str">
        <f>IF(AND(ISNUMBER(Tabella2[[#This Row],[Mean AXIAL stress  (MPa)]]),ISNUMBER(Tabella2[[#This Row],[Amplitute AXIAL stress  (MPa)]]),(Tabella2[[#This Row],[Mean AXIAL stress  (MPa)]]+Tabella2[[#This Row],[Amplitute AXIAL stress  (MPa)]])&lt;&gt;0),(Tabella2[[#This Row],[Mean AXIAL stress  (MPa)]]-Tabella2[[#This Row],[Amplitute AXIAL stress  (MPa)]])/(Tabella2[[#This Row],[Mean AXIAL stress  (MPa)]]+Tabella2[[#This Row],[Amplitute AXIAL stress  (MPa)]]),"Null")</f>
        <v>Null</v>
      </c>
      <c r="Z94" s="58">
        <f>IF(AND(ISNUMBER(Tabella2[[#This Row],[Mean SHEAR stress  (MPa)]]),ISNUMBER(Tabella2[[#This Row],[Amplitute SHEAR stress  (MPa)]]),(Tabella2[[#This Row],[Mean SHEAR stress  (MPa)]]+Tabella2[[#This Row],[Amplitute SHEAR stress  (MPa)]])&lt;&gt;0),(Tabella2[[#This Row],[Mean SHEAR stress  (MPa)]]-Tabella2[[#This Row],[Amplitute SHEAR stress  (MPa)]])/(Tabella2[[#This Row],[Mean SHEAR stress  (MPa)]]+Tabella2[[#This Row],[Amplitute SHEAR stress  (MPa)]]),"Null")</f>
        <v>-1</v>
      </c>
      <c r="AA94" s="19">
        <v>0</v>
      </c>
      <c r="AB94" s="19">
        <v>0</v>
      </c>
      <c r="AC94" s="19">
        <v>0</v>
      </c>
      <c r="AD94" s="20">
        <v>0</v>
      </c>
      <c r="AE94" s="22" t="s">
        <v>60</v>
      </c>
      <c r="AF94" s="19">
        <v>0</v>
      </c>
      <c r="AG94" s="19">
        <v>175</v>
      </c>
      <c r="AH94" s="24">
        <f>IF(ISNUMBER(Tabella2[[#This Row],[Mean RADIAL stress  (MPa)]]), Tabella2[[#This Row],[Mean RADIAL stress  (MPa)]],"")</f>
        <v>0</v>
      </c>
      <c r="AI94" s="19">
        <f>IF(ISNUMBER(Tabella2[[#This Row],[Amplitute RADIAL stress  (MPa)]]), Tabella2[[#This Row],[Amplitute RADIAL stress  (MPa)]],"")</f>
        <v>0</v>
      </c>
      <c r="AJ94" s="19">
        <f>IF(ISNUMBER(Tabella2[[#This Row],[Mean AXIAL stress  (MPa)]]), IF(Tabella2[[#This Row],[derived from (AXIAL/BENDING) load]]="AXIAL",Tabella2[[#This Row],[Mean AXIAL stress  (MPa)]]*Tabella2[[#This Row],[Area (mm^2)]],"Null"), "")</f>
        <v>0</v>
      </c>
      <c r="AK94" s="19">
        <f>IF(ISNUMBER(Tabella2[[#This Row],[Amplitute AXIAL stress  (MPa)]]),    IF(Tabella2[[#This Row],[derived from (AXIAL/BENDING) load]]="AXIAL",Tabella2[[#This Row],[Amplitute AXIAL stress  (MPa)]]*Tabella2[[#This Row],[Area (mm^2)]],"Null"), "")</f>
        <v>0</v>
      </c>
      <c r="AL94" s="19" t="str">
        <f>IF(ISNUMBER(Tabella2[[#This Row],[Mean AXIAL stress  (MPa)]]),    IF(AND(Tabella2[[#This Row],[derived from (AXIAL/BENDING) load]]="BENDING",Tabella2[[#This Row],[Geometry type (flat/cylindrical/hollow cylinder)]]="cylindrical"),Tabella2[[#This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Row],[Mean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Row],[Mean AXIAL stress  (MPa)]]*Tabella2[[#This Row],[flessional momento of inertia (mm^4)]]/(Tabella2[[#This Row],[B (mm)]]*0.5),"Null"))),"")</f>
        <v>Null</v>
      </c>
      <c r="AM94" s="19" t="str">
        <f>IF(ISNUMBER(Tabella2[[#This Row],[Amplitute AXIAL stress  (MPa)]]),    IF(AND(Tabella2[[#This Row],[derived from (AXIAL/BENDING) load]]="BENDING",Tabella2[[#This Row],[Geometry type (flat/cylindrical/hollow cylinder)]]="cylindrical"),Tabella2[[#This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cylinder)]]="hollow cylinder"),Tabella2[[#This Row],[Amplitute AXIAL stress  (MPa)]]*Tabella2[[#This Row],[flessional momento of inertia (mm^4)]]/(Tabella2[[#This Row],[Diameter (mm)]]*0.5),IF(AND(Tabella2[[#This Row],[derived from (AXIAL/BENDING) load]]="BENDING",Tabella2[[#This Row],[Geometry type (flat/cylindrical/hollow cylinder)]]="flat"),Tabella2[[#This Row],[Amplitute AXIAL stress  (MPa)]]*Tabella2[[#This Row],[flessional momento of inertia (mm^4)]]/(Tabella2[[#This Row],[B (mm)]]*0.5),"Null"))), "")</f>
        <v>Null</v>
      </c>
      <c r="AN94" s="19">
        <f>IF(ISNUMBER(Tabella2[[#This Row],[Mean SHEAR stress  (MPa)]]),  IF(AND(ISNUMBER(Tabella2[[#This Row],[Mean SHEAR stress  (MPa)]]), ISNUMBER(Tabella2[[#This Row],[torsional momento of inertia (mm^4)]]), ISNUMBER(Tabella2[[#This Row],[Diameter (mm)]])), Tabella2[[#This Row],[Mean SHEAR stress  (MPa)]]*Tabella2[[#This Row],[torsional momento of inertia (mm^4)]]/(0.5*Tabella2[[#This Row],[Diameter (mm)]]),"Null"), " ")</f>
        <v>0</v>
      </c>
      <c r="AO94" s="19">
        <f>IF(ISNUMBER(Tabella2[[#This Row],[Amplitute SHEAR stress  (MPa)]]), IF(AND(ISNUMBER(Tabella2[[#This Row],[Amplitute SHEAR stress  (MPa)]]), ISNUMBER(Tabella2[[#This Row],[torsional momento of inertia (mm^4)]]), ISNUMBER(Tabella2[[#This Row],[Diameter (mm)]])),Tabella2[[#This Row],[Amplitute SHEAR stress  (MPa)]]*Tabella2[[#This Row],[torsional momento of inertia (mm^4)]]/(0.5*Tabella2[[#This Row],[Diameter (mm)]]),"Null"), "")</f>
        <v>391395.19802902133</v>
      </c>
      <c r="AP94" s="20" t="str">
        <f>IF(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Q94" s="20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303.10889132455355</v>
      </c>
    </row>
    <row r="95" spans="1:43" ht="20.100000000000001" customHeight="1" x14ac:dyDescent="0.25">
      <c r="O95" s="35"/>
      <c r="P95" s="35"/>
      <c r="Z95" s="38"/>
      <c r="AG95" s="35"/>
    </row>
    <row r="96" spans="1:43" ht="20.100000000000001" customHeight="1" x14ac:dyDescent="0.25">
      <c r="O96" s="35"/>
      <c r="P96" s="35"/>
      <c r="Z96" s="38"/>
      <c r="AG96" s="35"/>
    </row>
    <row r="97" spans="15:33" ht="20.100000000000001" customHeight="1" x14ac:dyDescent="0.25">
      <c r="O97" s="35"/>
      <c r="P97" s="35"/>
      <c r="Z97" s="38"/>
      <c r="AG97" s="35"/>
    </row>
    <row r="98" spans="15:33" ht="20.100000000000001" customHeight="1" x14ac:dyDescent="0.25">
      <c r="O98" s="35"/>
      <c r="P98" s="35"/>
      <c r="Z98" s="38"/>
      <c r="AG98" s="35"/>
    </row>
    <row r="99" spans="15:33" ht="20.100000000000001" customHeight="1" x14ac:dyDescent="0.25">
      <c r="O99" s="35"/>
      <c r="P99" s="35"/>
      <c r="Z99" s="38"/>
      <c r="AG99" s="35"/>
    </row>
    <row r="100" spans="15:33" ht="20.100000000000001" customHeight="1" x14ac:dyDescent="0.25">
      <c r="O100" s="35"/>
      <c r="P100" s="35"/>
      <c r="Z100" s="38"/>
      <c r="AB100" s="57"/>
      <c r="AC100" s="57"/>
      <c r="AG100" s="35"/>
    </row>
    <row r="101" spans="15:33" ht="20.100000000000001" customHeight="1" x14ac:dyDescent="0.25">
      <c r="O101" s="35"/>
      <c r="P101" s="35"/>
      <c r="Z101" s="38"/>
      <c r="AB101" s="57"/>
      <c r="AC101" s="57"/>
      <c r="AG101" s="35"/>
    </row>
    <row r="102" spans="15:33" ht="20.100000000000001" customHeight="1" x14ac:dyDescent="0.25">
      <c r="O102" s="35"/>
      <c r="P102" s="35"/>
      <c r="Z102" s="38"/>
      <c r="AB102" s="57"/>
      <c r="AC102" s="57"/>
      <c r="AG102" s="35"/>
    </row>
    <row r="103" spans="15:33" ht="20.100000000000001" customHeight="1" x14ac:dyDescent="0.25">
      <c r="O103" s="35"/>
      <c r="P103" s="35"/>
      <c r="Z103" s="38"/>
      <c r="AB103" s="57"/>
      <c r="AC103" s="57"/>
      <c r="AG103" s="35"/>
    </row>
    <row r="104" spans="15:33" ht="20.100000000000001" customHeight="1" x14ac:dyDescent="0.25">
      <c r="O104" s="35"/>
      <c r="P104" s="35"/>
      <c r="Z104" s="38"/>
      <c r="AG104" s="35"/>
    </row>
    <row r="105" spans="15:33" ht="20.100000000000001" customHeight="1" x14ac:dyDescent="0.25">
      <c r="O105" s="35"/>
      <c r="P105" s="35"/>
      <c r="Z105" s="38"/>
      <c r="AG105" s="35"/>
    </row>
    <row r="106" spans="15:33" ht="20.100000000000001" customHeight="1" x14ac:dyDescent="0.25">
      <c r="O106" s="35"/>
      <c r="P106" s="35"/>
      <c r="Z106" s="38"/>
      <c r="AG106" s="35"/>
    </row>
    <row r="107" spans="15:33" ht="20.100000000000001" customHeight="1" x14ac:dyDescent="0.25">
      <c r="O107" s="35"/>
      <c r="P107" s="35"/>
      <c r="Z107" s="38"/>
      <c r="AG107" s="35"/>
    </row>
    <row r="108" spans="15:33" ht="20.100000000000001" customHeight="1" x14ac:dyDescent="0.25">
      <c r="O108" s="35"/>
      <c r="P108" s="35"/>
      <c r="Z108" s="38"/>
      <c r="AG108" s="35"/>
    </row>
    <row r="109" spans="15:33" ht="20.100000000000001" customHeight="1" x14ac:dyDescent="0.25">
      <c r="O109" s="35"/>
      <c r="P109" s="35"/>
      <c r="Z109" s="38"/>
      <c r="AG109" s="35"/>
    </row>
    <row r="110" spans="15:33" ht="20.100000000000001" customHeight="1" x14ac:dyDescent="0.25">
      <c r="O110" s="35"/>
      <c r="P110" s="35"/>
      <c r="Z110" s="38"/>
      <c r="AG110" s="35"/>
    </row>
    <row r="111" spans="15:33" ht="20.100000000000001" customHeight="1" x14ac:dyDescent="0.25">
      <c r="O111" s="35"/>
      <c r="P111" s="35"/>
      <c r="Z111" s="38"/>
      <c r="AG111" s="35"/>
    </row>
    <row r="112" spans="15:33" ht="20.100000000000001" customHeight="1" x14ac:dyDescent="0.25">
      <c r="O112" s="35"/>
      <c r="P112" s="35"/>
      <c r="AG112" s="35"/>
    </row>
    <row r="113" spans="15:33" ht="20.100000000000001" customHeight="1" x14ac:dyDescent="0.25">
      <c r="O113" s="35"/>
      <c r="P113" s="35"/>
      <c r="AG113" s="35"/>
    </row>
    <row r="114" spans="15:33" ht="20.100000000000001" customHeight="1" x14ac:dyDescent="0.25">
      <c r="O114" s="35"/>
      <c r="P114" s="35"/>
      <c r="AG114" s="35"/>
    </row>
    <row r="115" spans="15:33" ht="20.100000000000001" customHeight="1" x14ac:dyDescent="0.25">
      <c r="O115" s="35"/>
      <c r="P115" s="35"/>
      <c r="AG115" s="35"/>
    </row>
    <row r="116" spans="15:33" ht="20.100000000000001" customHeight="1" x14ac:dyDescent="0.25">
      <c r="O116" s="35"/>
      <c r="P116" s="35"/>
      <c r="AG116" s="35"/>
    </row>
    <row r="117" spans="15:33" ht="20.100000000000001" customHeight="1" x14ac:dyDescent="0.25">
      <c r="O117" s="35"/>
      <c r="P117" s="35"/>
      <c r="AG117" s="35"/>
    </row>
    <row r="118" spans="15:33" ht="20.100000000000001" customHeight="1" x14ac:dyDescent="0.25">
      <c r="O118" s="35"/>
      <c r="P118" s="35"/>
      <c r="AG118" s="35"/>
    </row>
    <row r="119" spans="15:33" ht="20.100000000000001" customHeight="1" x14ac:dyDescent="0.25">
      <c r="O119" s="35"/>
      <c r="P119" s="35"/>
      <c r="AG119" s="35"/>
    </row>
    <row r="120" spans="15:33" ht="20.100000000000001" customHeight="1" x14ac:dyDescent="0.25">
      <c r="O120" s="35"/>
      <c r="P120" s="35"/>
      <c r="AG120" s="35"/>
    </row>
    <row r="121" spans="15:33" ht="20.100000000000001" customHeight="1" x14ac:dyDescent="0.25">
      <c r="O121" s="35"/>
      <c r="P121" s="35"/>
      <c r="AG121" s="35"/>
    </row>
    <row r="122" spans="15:33" ht="20.100000000000001" customHeight="1" x14ac:dyDescent="0.25">
      <c r="O122" s="35"/>
      <c r="P122" s="35"/>
      <c r="AG122" s="35"/>
    </row>
    <row r="123" spans="15:33" ht="20.100000000000001" customHeight="1" x14ac:dyDescent="0.25">
      <c r="O123" s="35"/>
      <c r="P123" s="35"/>
      <c r="AG123" s="35"/>
    </row>
    <row r="124" spans="15:33" ht="20.100000000000001" customHeight="1" x14ac:dyDescent="0.25">
      <c r="O124" s="35"/>
      <c r="P124" s="35"/>
      <c r="AG124" s="35"/>
    </row>
    <row r="125" spans="15:33" ht="20.100000000000001" customHeight="1" x14ac:dyDescent="0.25">
      <c r="O125" s="35"/>
      <c r="P125" s="35"/>
      <c r="AG125" s="35"/>
    </row>
    <row r="126" spans="15:33" ht="20.100000000000001" customHeight="1" x14ac:dyDescent="0.25">
      <c r="O126" s="35"/>
      <c r="P126" s="35"/>
      <c r="AG126" s="35"/>
    </row>
    <row r="127" spans="15:33" ht="20.100000000000001" customHeight="1" x14ac:dyDescent="0.25">
      <c r="O127" s="35"/>
      <c r="P127" s="35"/>
      <c r="AG127" s="35"/>
    </row>
    <row r="128" spans="15:33" ht="20.100000000000001" customHeight="1" x14ac:dyDescent="0.25">
      <c r="O128" s="35"/>
      <c r="P128" s="35"/>
      <c r="AG128" s="35"/>
    </row>
    <row r="129" spans="15:33" ht="20.100000000000001" customHeight="1" x14ac:dyDescent="0.25">
      <c r="O129" s="35"/>
      <c r="P129" s="35"/>
      <c r="AG129" s="35"/>
    </row>
    <row r="130" spans="15:33" ht="20.100000000000001" customHeight="1" x14ac:dyDescent="0.25">
      <c r="O130" s="35"/>
      <c r="P130" s="35"/>
      <c r="AG130" s="35"/>
    </row>
    <row r="131" spans="15:33" ht="20.100000000000001" customHeight="1" x14ac:dyDescent="0.25">
      <c r="O131" s="35"/>
      <c r="P131" s="35"/>
      <c r="AG131" s="35"/>
    </row>
    <row r="132" spans="15:33" ht="20.100000000000001" customHeight="1" x14ac:dyDescent="0.25">
      <c r="O132" s="35"/>
      <c r="P132" s="35"/>
      <c r="AG132" s="35"/>
    </row>
    <row r="133" spans="15:33" ht="20.100000000000001" customHeight="1" x14ac:dyDescent="0.25">
      <c r="O133" s="35"/>
      <c r="P133" s="35"/>
      <c r="AG133" s="35"/>
    </row>
    <row r="134" spans="15:33" ht="20.100000000000001" customHeight="1" x14ac:dyDescent="0.25">
      <c r="O134" s="35"/>
      <c r="P134" s="35"/>
      <c r="AG134" s="35"/>
    </row>
    <row r="135" spans="15:33" ht="20.100000000000001" customHeight="1" x14ac:dyDescent="0.25">
      <c r="O135" s="35"/>
      <c r="P135" s="35"/>
      <c r="AG135" s="35"/>
    </row>
    <row r="136" spans="15:33" ht="20.100000000000001" customHeight="1" x14ac:dyDescent="0.25">
      <c r="O136" s="35"/>
      <c r="P136" s="35"/>
      <c r="AG136" s="35"/>
    </row>
    <row r="137" spans="15:33" ht="20.100000000000001" customHeight="1" x14ac:dyDescent="0.25">
      <c r="O137" s="35"/>
      <c r="P137" s="35"/>
      <c r="AG137" s="35"/>
    </row>
    <row r="138" spans="15:33" ht="20.100000000000001" customHeight="1" x14ac:dyDescent="0.25">
      <c r="O138" s="35"/>
      <c r="P138" s="35"/>
      <c r="AG138" s="35"/>
    </row>
    <row r="139" spans="15:33" ht="20.100000000000001" customHeight="1" x14ac:dyDescent="0.25">
      <c r="O139" s="35"/>
      <c r="P139" s="35"/>
      <c r="AG139" s="35"/>
    </row>
    <row r="140" spans="15:33" ht="20.100000000000001" customHeight="1" x14ac:dyDescent="0.25">
      <c r="O140" s="35"/>
      <c r="P140" s="35"/>
      <c r="AG140" s="35"/>
    </row>
    <row r="141" spans="15:33" ht="20.100000000000001" customHeight="1" x14ac:dyDescent="0.25">
      <c r="O141" s="35"/>
      <c r="P141" s="35"/>
      <c r="AG141" s="35"/>
    </row>
    <row r="142" spans="15:33" ht="20.100000000000001" customHeight="1" x14ac:dyDescent="0.25">
      <c r="O142" s="35"/>
      <c r="P142" s="35"/>
      <c r="AG142" s="35"/>
    </row>
    <row r="143" spans="15:33" ht="20.100000000000001" customHeight="1" x14ac:dyDescent="0.25">
      <c r="O143" s="35"/>
      <c r="P143" s="35"/>
      <c r="AG143" s="35"/>
    </row>
    <row r="144" spans="15:33" ht="20.100000000000001" customHeight="1" x14ac:dyDescent="0.25">
      <c r="O144" s="35"/>
      <c r="P144" s="35"/>
      <c r="AG144" s="35"/>
    </row>
    <row r="145" spans="15:33" ht="20.100000000000001" customHeight="1" x14ac:dyDescent="0.25">
      <c r="O145" s="35"/>
      <c r="P145" s="35"/>
      <c r="AG145" s="35"/>
    </row>
    <row r="146" spans="15:33" ht="20.100000000000001" customHeight="1" x14ac:dyDescent="0.25">
      <c r="O146" s="35"/>
      <c r="P146" s="35"/>
      <c r="AG146" s="35"/>
    </row>
    <row r="147" spans="15:33" ht="20.100000000000001" customHeight="1" x14ac:dyDescent="0.25">
      <c r="O147" s="35"/>
      <c r="P147" s="35"/>
      <c r="AG147" s="35"/>
    </row>
    <row r="148" spans="15:33" ht="20.100000000000001" customHeight="1" x14ac:dyDescent="0.25">
      <c r="O148" s="35"/>
      <c r="P148" s="35"/>
      <c r="AG148" s="35"/>
    </row>
    <row r="149" spans="15:33" ht="20.100000000000001" customHeight="1" x14ac:dyDescent="0.25">
      <c r="O149" s="35"/>
      <c r="P149" s="35"/>
      <c r="AG149" s="35"/>
    </row>
    <row r="150" spans="15:33" ht="20.100000000000001" customHeight="1" x14ac:dyDescent="0.25">
      <c r="O150" s="35"/>
      <c r="P150" s="35"/>
      <c r="AG150" s="35"/>
    </row>
    <row r="151" spans="15:33" ht="20.100000000000001" customHeight="1" x14ac:dyDescent="0.25">
      <c r="O151" s="35"/>
      <c r="P151" s="35"/>
      <c r="AG151" s="35"/>
    </row>
    <row r="152" spans="15:33" ht="20.100000000000001" customHeight="1" x14ac:dyDescent="0.25">
      <c r="O152" s="35"/>
      <c r="P152" s="35"/>
      <c r="AG152" s="35"/>
    </row>
    <row r="153" spans="15:33" ht="20.100000000000001" customHeight="1" x14ac:dyDescent="0.25">
      <c r="O153" s="35"/>
      <c r="P153" s="35"/>
      <c r="AG153" s="35"/>
    </row>
    <row r="154" spans="15:33" ht="20.100000000000001" customHeight="1" x14ac:dyDescent="0.25">
      <c r="O154" s="35"/>
      <c r="P154" s="35"/>
      <c r="AG154" s="35"/>
    </row>
    <row r="155" spans="15:33" ht="20.100000000000001" customHeight="1" x14ac:dyDescent="0.25">
      <c r="O155" s="35"/>
      <c r="P155" s="35"/>
      <c r="AG155" s="35"/>
    </row>
    <row r="156" spans="15:33" ht="20.100000000000001" customHeight="1" x14ac:dyDescent="0.25">
      <c r="O156" s="35"/>
      <c r="P156" s="35"/>
      <c r="AG156" s="35"/>
    </row>
    <row r="157" spans="15:33" ht="20.100000000000001" customHeight="1" x14ac:dyDescent="0.25">
      <c r="O157" s="35"/>
      <c r="P157" s="35"/>
      <c r="AG157" s="35"/>
    </row>
    <row r="158" spans="15:33" ht="20.100000000000001" customHeight="1" x14ac:dyDescent="0.25">
      <c r="O158" s="35"/>
      <c r="P158" s="35"/>
      <c r="AG158" s="35"/>
    </row>
    <row r="159" spans="15:33" ht="20.100000000000001" customHeight="1" x14ac:dyDescent="0.25">
      <c r="O159" s="35"/>
      <c r="P159" s="35"/>
      <c r="AG159" s="35"/>
    </row>
    <row r="160" spans="15:33" ht="20.100000000000001" customHeight="1" x14ac:dyDescent="0.25">
      <c r="O160" s="35"/>
      <c r="P160" s="35"/>
      <c r="AG160" s="35"/>
    </row>
    <row r="161" spans="15:33" ht="20.100000000000001" customHeight="1" x14ac:dyDescent="0.25">
      <c r="O161" s="35"/>
      <c r="P161" s="35"/>
      <c r="AG161" s="35"/>
    </row>
    <row r="162" spans="15:33" ht="20.100000000000001" customHeight="1" x14ac:dyDescent="0.25">
      <c r="O162" s="35"/>
      <c r="P162" s="35"/>
      <c r="AG162" s="35"/>
    </row>
    <row r="163" spans="15:33" ht="20.100000000000001" customHeight="1" x14ac:dyDescent="0.25">
      <c r="O163" s="35"/>
      <c r="P163" s="35"/>
      <c r="AG163" s="35"/>
    </row>
    <row r="164" spans="15:33" ht="20.100000000000001" customHeight="1" x14ac:dyDescent="0.25">
      <c r="O164" s="35"/>
      <c r="P164" s="35"/>
      <c r="AG164" s="35"/>
    </row>
    <row r="165" spans="15:33" ht="20.100000000000001" customHeight="1" x14ac:dyDescent="0.25">
      <c r="O165" s="35"/>
      <c r="P165" s="35"/>
      <c r="AG165" s="35"/>
    </row>
    <row r="166" spans="15:33" ht="20.100000000000001" customHeight="1" x14ac:dyDescent="0.25">
      <c r="O166" s="35"/>
      <c r="P166" s="35"/>
      <c r="AG166" s="35"/>
    </row>
    <row r="167" spans="15:33" ht="20.100000000000001" customHeight="1" x14ac:dyDescent="0.25">
      <c r="O167" s="35"/>
      <c r="P167" s="35"/>
      <c r="AG167" s="35"/>
    </row>
    <row r="168" spans="15:33" ht="20.100000000000001" customHeight="1" x14ac:dyDescent="0.25">
      <c r="O168" s="35"/>
      <c r="P168" s="35"/>
      <c r="AG168" s="35"/>
    </row>
    <row r="169" spans="15:33" ht="20.100000000000001" customHeight="1" x14ac:dyDescent="0.25">
      <c r="O169" s="35"/>
      <c r="P169" s="35"/>
      <c r="AG169" s="35"/>
    </row>
    <row r="170" spans="15:33" ht="20.100000000000001" customHeight="1" x14ac:dyDescent="0.25">
      <c r="O170" s="35"/>
      <c r="P170" s="35"/>
      <c r="AG170" s="35"/>
    </row>
    <row r="171" spans="15:33" ht="20.100000000000001" customHeight="1" x14ac:dyDescent="0.25">
      <c r="O171" s="35"/>
      <c r="P171" s="35"/>
      <c r="AG171" s="35"/>
    </row>
    <row r="172" spans="15:33" ht="20.100000000000001" customHeight="1" x14ac:dyDescent="0.25">
      <c r="O172" s="35"/>
      <c r="P172" s="35"/>
      <c r="AG172" s="35"/>
    </row>
    <row r="173" spans="15:33" ht="20.100000000000001" customHeight="1" x14ac:dyDescent="0.25">
      <c r="O173" s="35"/>
      <c r="P173" s="35"/>
      <c r="AG173" s="35"/>
    </row>
    <row r="174" spans="15:33" ht="20.100000000000001" customHeight="1" x14ac:dyDescent="0.25">
      <c r="O174" s="35"/>
      <c r="P174" s="35"/>
      <c r="AG174" s="35"/>
    </row>
    <row r="175" spans="15:33" ht="20.100000000000001" customHeight="1" x14ac:dyDescent="0.25">
      <c r="O175" s="35"/>
      <c r="P175" s="35"/>
      <c r="AG175" s="35"/>
    </row>
    <row r="176" spans="15:33" ht="20.100000000000001" customHeight="1" x14ac:dyDescent="0.25">
      <c r="O176" s="35"/>
      <c r="P176" s="35"/>
      <c r="AG176" s="35"/>
    </row>
    <row r="177" spans="15:33" ht="20.100000000000001" customHeight="1" x14ac:dyDescent="0.25">
      <c r="O177" s="35"/>
      <c r="P177" s="35"/>
      <c r="AG177" s="35"/>
    </row>
    <row r="178" spans="15:33" ht="20.100000000000001" customHeight="1" x14ac:dyDescent="0.25">
      <c r="O178" s="35"/>
      <c r="P178" s="35"/>
      <c r="AG178" s="35"/>
    </row>
    <row r="179" spans="15:33" ht="20.100000000000001" customHeight="1" x14ac:dyDescent="0.25">
      <c r="O179" s="35"/>
      <c r="P179" s="35"/>
      <c r="AG179" s="35"/>
    </row>
    <row r="180" spans="15:33" ht="20.100000000000001" customHeight="1" x14ac:dyDescent="0.25">
      <c r="O180" s="35"/>
      <c r="P180" s="35"/>
      <c r="AG180" s="35"/>
    </row>
    <row r="181" spans="15:33" ht="20.100000000000001" customHeight="1" x14ac:dyDescent="0.25">
      <c r="O181" s="35"/>
      <c r="P181" s="35"/>
      <c r="AG181" s="35"/>
    </row>
    <row r="182" spans="15:33" ht="20.100000000000001" customHeight="1" x14ac:dyDescent="0.25">
      <c r="O182" s="35"/>
      <c r="P182" s="35"/>
      <c r="AG182" s="35"/>
    </row>
    <row r="183" spans="15:33" ht="20.100000000000001" customHeight="1" x14ac:dyDescent="0.25">
      <c r="O183" s="35"/>
      <c r="P183" s="35"/>
      <c r="AG183" s="35"/>
    </row>
    <row r="184" spans="15:33" ht="20.100000000000001" customHeight="1" x14ac:dyDescent="0.25">
      <c r="O184" s="35"/>
      <c r="P184" s="35"/>
      <c r="AG184" s="35"/>
    </row>
    <row r="185" spans="15:33" ht="20.100000000000001" customHeight="1" x14ac:dyDescent="0.25">
      <c r="O185" s="35"/>
      <c r="P185" s="35"/>
      <c r="AG185" s="35"/>
    </row>
    <row r="186" spans="15:33" ht="20.100000000000001" customHeight="1" x14ac:dyDescent="0.25">
      <c r="O186" s="35"/>
      <c r="P186" s="35"/>
      <c r="AG186" s="35"/>
    </row>
    <row r="187" spans="15:33" ht="20.100000000000001" customHeight="1" x14ac:dyDescent="0.25">
      <c r="O187" s="35"/>
      <c r="P187" s="35"/>
      <c r="AG187" s="35"/>
    </row>
    <row r="188" spans="15:33" ht="20.100000000000001" customHeight="1" x14ac:dyDescent="0.25">
      <c r="O188" s="35"/>
      <c r="P188" s="35"/>
      <c r="AG188" s="35"/>
    </row>
    <row r="189" spans="15:33" ht="20.100000000000001" customHeight="1" x14ac:dyDescent="0.25">
      <c r="O189" s="35"/>
      <c r="P189" s="35"/>
      <c r="AG189" s="35"/>
    </row>
    <row r="190" spans="15:33" ht="20.100000000000001" customHeight="1" x14ac:dyDescent="0.25">
      <c r="O190" s="35"/>
      <c r="P190" s="35"/>
      <c r="AG190" s="35"/>
    </row>
    <row r="191" spans="15:33" ht="20.100000000000001" customHeight="1" x14ac:dyDescent="0.25">
      <c r="O191" s="35"/>
      <c r="P191" s="35"/>
      <c r="AG191" s="35"/>
    </row>
    <row r="192" spans="15:33" ht="20.100000000000001" customHeight="1" x14ac:dyDescent="0.25">
      <c r="O192" s="35"/>
      <c r="P192" s="35"/>
      <c r="AG192" s="35"/>
    </row>
  </sheetData>
  <phoneticPr fontId="6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Giulia Morettini</cp:lastModifiedBy>
  <dcterms:created xsi:type="dcterms:W3CDTF">2015-06-05T18:19:34Z</dcterms:created>
  <dcterms:modified xsi:type="dcterms:W3CDTF">2026-09-25T10:23:31Z</dcterms:modified>
</cp:coreProperties>
</file>