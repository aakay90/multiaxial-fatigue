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5F36B1D6-EA21-416B-AE1A-DD0F068842F8}" xr6:coauthVersionLast="47" xr6:coauthVersionMax="47" xr10:uidLastSave="{00000000-0000-0000-0000-000000000000}"/>
  <bookViews>
    <workbookView xWindow="28980" yWindow="390" windowWidth="28620" windowHeight="14190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2" l="1"/>
  <c r="AP7" i="2"/>
  <c r="AK2" i="2"/>
  <c r="AK3" i="2"/>
  <c r="AK4" i="2"/>
  <c r="AK5" i="2"/>
  <c r="AK6" i="2"/>
  <c r="AK7" i="2"/>
  <c r="AK8" i="2"/>
  <c r="AK9" i="2"/>
  <c r="AK10" i="2"/>
  <c r="AK11" i="2"/>
  <c r="AK12" i="2"/>
  <c r="AJ2" i="2"/>
  <c r="AJ3" i="2"/>
  <c r="AJ4" i="2"/>
  <c r="AJ5" i="2"/>
  <c r="AJ6" i="2"/>
  <c r="AJ7" i="2"/>
  <c r="AJ8" i="2"/>
  <c r="AJ9" i="2"/>
  <c r="AJ10" i="2"/>
  <c r="AJ11" i="2"/>
  <c r="AJ12" i="2"/>
  <c r="AI2" i="2"/>
  <c r="AI3" i="2"/>
  <c r="AI4" i="2"/>
  <c r="AI5" i="2"/>
  <c r="AI6" i="2"/>
  <c r="AI7" i="2"/>
  <c r="AI8" i="2"/>
  <c r="AI9" i="2"/>
  <c r="AI10" i="2"/>
  <c r="AI11" i="2"/>
  <c r="AI12" i="2"/>
  <c r="AH2" i="2"/>
  <c r="AH3" i="2"/>
  <c r="AH4" i="2"/>
  <c r="AH5" i="2"/>
  <c r="AH6" i="2"/>
  <c r="AH7" i="2"/>
  <c r="AH8" i="2"/>
  <c r="AH9" i="2"/>
  <c r="AH10" i="2"/>
  <c r="AH11" i="2"/>
  <c r="AH12" i="2"/>
  <c r="Z2" i="2"/>
  <c r="Z3" i="2"/>
  <c r="Z4" i="2"/>
  <c r="Z5" i="2"/>
  <c r="Z6" i="2"/>
  <c r="Z7" i="2"/>
  <c r="Z8" i="2"/>
  <c r="Z9" i="2"/>
  <c r="Z10" i="2"/>
  <c r="Z11" i="2"/>
  <c r="Z12" i="2"/>
  <c r="Y2" i="2"/>
  <c r="Y3" i="2"/>
  <c r="Y4" i="2"/>
  <c r="Y5" i="2"/>
  <c r="Y6" i="2"/>
  <c r="Y7" i="2"/>
  <c r="Y8" i="2"/>
  <c r="Y9" i="2"/>
  <c r="Y10" i="2"/>
  <c r="Y11" i="2"/>
  <c r="Y12" i="2"/>
  <c r="X2" i="2"/>
  <c r="X3" i="2"/>
  <c r="X4" i="2"/>
  <c r="X5" i="2"/>
  <c r="X6" i="2"/>
  <c r="X7" i="2"/>
  <c r="X8" i="2"/>
  <c r="X9" i="2"/>
  <c r="X10" i="2"/>
  <c r="X11" i="2"/>
  <c r="X12" i="2"/>
  <c r="O3" i="2"/>
  <c r="O4" i="2"/>
  <c r="O5" i="2"/>
  <c r="O6" i="2"/>
  <c r="O7" i="2"/>
  <c r="O8" i="2"/>
  <c r="O9" i="2"/>
  <c r="O10" i="2"/>
  <c r="O11" i="2"/>
  <c r="O12" i="2"/>
  <c r="O2" i="2"/>
  <c r="Q2" i="2"/>
  <c r="AO2" i="2" s="1"/>
  <c r="AQ3" i="2"/>
  <c r="AQ4" i="2"/>
  <c r="AQ5" i="2"/>
  <c r="AQ6" i="2"/>
  <c r="AQ7" i="2"/>
  <c r="AQ8" i="2"/>
  <c r="AQ9" i="2"/>
  <c r="AQ10" i="2"/>
  <c r="AQ11" i="2"/>
  <c r="AQ12" i="2"/>
  <c r="AN2" i="2" l="1"/>
  <c r="AP3" i="2"/>
  <c r="AP4" i="2"/>
  <c r="AP5" i="2"/>
  <c r="AP6" i="2"/>
  <c r="AP8" i="2"/>
  <c r="AP9" i="2"/>
  <c r="AP10" i="2"/>
  <c r="AP11" i="2"/>
  <c r="AP12" i="2"/>
  <c r="AP2" i="2"/>
  <c r="Q4" i="2"/>
  <c r="Q3" i="2"/>
  <c r="Q5" i="2"/>
  <c r="Q6" i="2"/>
  <c r="Q7" i="2"/>
  <c r="Q8" i="2"/>
  <c r="Q9" i="2"/>
  <c r="Q10" i="2"/>
  <c r="Q11" i="2"/>
  <c r="Q12" i="2"/>
  <c r="P2" i="2"/>
  <c r="P3" i="2"/>
  <c r="AL3" i="2" s="1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P12" i="2"/>
  <c r="AL12" i="2" s="1"/>
  <c r="M4" i="1"/>
  <c r="M3" i="1"/>
  <c r="AL2" i="2" l="1"/>
  <c r="AM2" i="2"/>
  <c r="AN3" i="2"/>
  <c r="AO3" i="2"/>
  <c r="AO12" i="2"/>
  <c r="AN12" i="2"/>
  <c r="AO5" i="2"/>
  <c r="AN5" i="2"/>
  <c r="AO11" i="2"/>
  <c r="AN11" i="2"/>
  <c r="AO10" i="2"/>
  <c r="AN10" i="2"/>
  <c r="AO4" i="2"/>
  <c r="AN4" i="2"/>
  <c r="AO9" i="2"/>
  <c r="AN9" i="2"/>
  <c r="AO8" i="2"/>
  <c r="AN8" i="2"/>
  <c r="AO7" i="2"/>
  <c r="AN7" i="2"/>
  <c r="AO6" i="2"/>
  <c r="AN6" i="2"/>
  <c r="AM10" i="2"/>
  <c r="AM5" i="2"/>
  <c r="AM4" i="2"/>
  <c r="AM11" i="2"/>
  <c r="AM3" i="2"/>
  <c r="AM12" i="2"/>
  <c r="AM9" i="2"/>
  <c r="AM8" i="2"/>
  <c r="AM7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<sst xmlns="http://schemas.openxmlformats.org/spreadsheetml/2006/main" count="175" uniqueCount="69">
  <si>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</si>
  <si>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</si>
  <si>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</si>
  <si>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</si>
  <si>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</si>
  <si>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</si>
  <si>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</si>
  <si>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</si>
  <si>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</si>
  <si>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</si>
  <si>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</si>
  <si>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</si>
  <si>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</si>
  <si>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</si>
  <si>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</si>
  <si>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</si>
  <si>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</si>
  <si>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</si>
  <si>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</si>
  <si>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</si>
  <si>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</si>
  <si>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</si>
  <si>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</si>
  <si>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</si>
  <si>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</si>
  <si>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</si>
  <si>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</si>
  <si>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</si>
  <si>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</si>
  <si>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</si>
  <si>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</si>
  <si>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</si>
  <si>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</si>
  <si>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</si>
  <si>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</si>
  <si>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</si>
  <si>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</si>
  <si>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</si>
  <si>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</si>
  <si>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</si>
  <si>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</si>
  <si>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Complete rupture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</si>
  <si>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</si>
  <si>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</si>
  <si>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</si>
  <si>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</si>
  <si>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</si>
  <si>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</si>
  <si>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</si>
  <si>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</si>
  <si>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</si>
  <si>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</si>
  <si>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</si>
  <si>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</si>
  <si>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</si>
  <si>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</si>
  <si>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</si>
  <si>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</si>
  <si>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</si>
  <si>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</si>
  <si>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</si>
  <si>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</si>
  <si>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</si>
  <si>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</si>
  <si>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</si>
  <si>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Bomas H, Bacher‐Höchst M, Kienzler R, et al. Crack initiation
and endurance limit of a hard steel under multiaxial cyclic
loads. Fatigue Fract Eng Mater Struct. 2010;33(2):126‐139.</t>
  </si>
  <si>
    <t>Bomas H</t>
  </si>
  <si>
    <t>S65A</t>
  </si>
  <si>
    <t>SPECIMEN_6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</si>
</sst>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2" fontId="0" fillId="2" borderId="0" xfId="0" applyNumberForma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11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 vertical="top" wrapText="1"/>
    </xf>
    <xf numFmtId="165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165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9" borderId="0" xfId="0" applyFill="1" applyBorder="1" applyAlignment="1">
      <alignment horizontal="center" vertical="center" wrapText="1"/>
    </xf>
    <xf numFmtId="164" fontId="7" fillId="12" borderId="18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2" borderId="0" xfId="0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/>
    <xf numFmtId="164" fontId="0" fillId="0" borderId="0" xfId="0" applyNumberFormat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0" borderId="16" xfId="0" applyBorder="1"/>
    <xf numFmtId="2" fontId="0" fillId="0" borderId="16" xfId="0" applyNumberFormat="1" applyBorder="1" applyAlignment="1">
      <alignment horizontal="center" vertical="center" wrapText="1"/>
    </xf>
  </cellXfs>
  <cellStyles count="1">
    <cellStyle name="Normale" xfId="0" builtinId="0"/>
  </cellStyles>
  <dxfs count="60"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Dataset!$E$2:$E$12</c:f>
              <c:numCache>
                <c:formatCode>0.0E+00</c:formatCode>
                <c:ptCount val="11"/>
                <c:pt idx="0">
                  <c:v>10000000</c:v>
                </c:pt>
                <c:pt idx="1">
                  <c:v>10000000</c:v>
                </c:pt>
                <c:pt idx="2">
                  <c:v>10000000</c:v>
                </c:pt>
                <c:pt idx="3">
                  <c:v>10000000</c:v>
                </c:pt>
                <c:pt idx="4">
                  <c:v>10000000</c:v>
                </c:pt>
                <c:pt idx="5">
                  <c:v>10000000</c:v>
                </c:pt>
                <c:pt idx="6">
                  <c:v>10000000</c:v>
                </c:pt>
                <c:pt idx="7">
                  <c:v>10000000</c:v>
                </c:pt>
                <c:pt idx="8">
                  <c:v>10000000</c:v>
                </c:pt>
                <c:pt idx="9">
                  <c:v>10000000</c:v>
                </c:pt>
                <c:pt idx="10">
                  <c:v>10000000</c:v>
                </c:pt>
              </c:numCache>
            </c:numRef>
          </c:xVal>
          <c:yVal>
            <c:numRef>
              <c:f>Dataset!$AQ$2:$AQ$12</c:f>
              <c:numCache>
                <c:formatCode>0.00</c:formatCode>
                <c:ptCount val="11"/>
                <c:pt idx="0">
                  <c:v>866</c:v>
                </c:pt>
                <c:pt idx="1">
                  <c:v>503</c:v>
                </c:pt>
                <c:pt idx="2">
                  <c:v>437</c:v>
                </c:pt>
                <c:pt idx="3">
                  <c:v>417</c:v>
                </c:pt>
                <c:pt idx="4">
                  <c:v>372</c:v>
                </c:pt>
                <c:pt idx="5">
                  <c:v>937.0394868947626</c:v>
                </c:pt>
                <c:pt idx="6">
                  <c:v>970.99073116070474</c:v>
                </c:pt>
                <c:pt idx="7">
                  <c:v>802.98552290810323</c:v>
                </c:pt>
                <c:pt idx="8">
                  <c:v>880</c:v>
                </c:pt>
                <c:pt idx="9">
                  <c:v>551.6391483569671</c:v>
                </c:pt>
                <c:pt idx="10">
                  <c:v>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26" dataDxfId="25">
  <autoFilter ref="A1:M5" xr:uid="{7EB9CA7B-F9F7-4B65-BAF9-0554C4DD3A3C}"/>
  <tableColumns count="13">
    <tableColumn id="1" xr3:uid="{8E3D1E9D-FBEE-441F-8710-5037CD4F23F4}" name="Article DOI / Reference" dataDxfId="24"/>
    <tableColumn id="11" xr3:uid="{DB748F3A-E0FD-40A7-AD76-C03A14000D6D}" name="Authors" dataDxfId="23"/>
    <tableColumn id="8" xr3:uid="{5AA73CAD-51B7-41DD-94EB-F60F774B9687}" name="Article year" dataDxfId="22"/>
    <tableColumn id="2" xr3:uid="{06FA6682-59D0-409F-9A0C-E6CD1808F355}" name="Material name" dataDxfId="21"/>
    <tableColumn id="3" xr3:uid="{576FC30A-97BD-425F-92F2-9A2823474F7C}" name="Young's modulus (MPa)" dataDxfId="20"/>
    <tableColumn id="4" xr3:uid="{63CF6BC0-ABE3-408E-84A9-EDA0B421D7E2}" name="Poisson's ratio (-)" dataDxfId="19"/>
    <tableColumn id="5" xr3:uid="{BF08D467-4D62-4CAB-A94F-0030F94E8A2E}" name="Tensile strength (MPa)" dataDxfId="18"/>
    <tableColumn id="6" xr3:uid="{CDCD2563-ECD7-4843-B859-5F7762FE830B}" name="Yield strength (MPa)" dataDxfId="17"/>
    <tableColumn id="7" xr3:uid="{7991DD6F-6040-4C6F-AEB4-2211698F999C}" name="Tensile fatigue limit (MPa)" dataDxfId="16"/>
    <tableColumn id="9" xr3:uid="{C339353B-B530-41A6-97D0-BD9E3EFB3E1B}" name="Torsional fatigue limit (MPa)" dataDxfId="15">
      <calculatedColumnFormula>845/2</calculatedColumnFormula>
    </tableColumn>
    <tableColumn id="13" xr3:uid="{61EEDB63-8EB1-4E68-8C73-6F3D35C9EEF7}" name="Number of Cycles (cycles)" dataDxfId="14"/>
    <tableColumn id="12" xr3:uid="{5EB3D6EA-60A8-471D-AB0E-73C0B9E22DD2}" name="Stress ratio R" dataDxfId="13"/>
    <tableColumn id="10" xr3:uid="{EC242BA9-DE01-42A2-8C6C-75459CDE529E}" name="K" dataDxfId="12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12" totalsRowShown="0" headerRowDxfId="59" dataDxfId="58">
  <autoFilter ref="A1:AQ12" xr:uid="{86243907-AA5D-4F4D-8699-490D77B21127}"/>
  <tableColumns count="43">
    <tableColumn id="31" xr3:uid="{05937513-BC98-44D1-A5DC-F19589B15DDF}" name="Authors" dataDxfId="57"/>
    <tableColumn id="32" xr3:uid="{DCBCBA66-A67E-429B-A752-67A81643133E}" name="Article year" dataDxfId="56"/>
    <tableColumn id="1" xr3:uid="{D75788C8-C867-4D50-A818-DADFA5044830}" name="Article DOI / Reference" dataDxfId="55"/>
    <tableColumn id="30" xr3:uid="{FA5CACDD-A594-4207-9BA7-C7F165153D5B}" name="Specimen name" dataDxfId="54"/>
    <tableColumn id="2" xr3:uid="{19DD8629-B305-4804-A689-1057FBADF71C}" name="Number of cycles to failure" dataDxfId="53"/>
    <tableColumn id="4" xr3:uid="{27575528-FAA3-4B4C-8860-7A7CFCB79DBE}" name="Run out (Yes/No)" dataDxfId="52"/>
    <tableColumn id="3" xr3:uid="{0CF78E1F-0EC3-474A-B3FD-519C01702157}" name="Failure type (complete rupture/stiffness decrease)" dataDxfId="51"/>
    <tableColumn id="26" xr3:uid="{05D9D755-9B11-40C9-8DCB-B9E39E20FA04}" name="Geometry picture" dataDxfId="5"/>
    <tableColumn id="33" xr3:uid="{936299CD-E030-4427-B1AB-D5CB204A04BE}" name="Geometry type (flat/cylindrical/hollow cylinder)" dataDxfId="50"/>
    <tableColumn id="34" xr3:uid="{09266E8F-9B14-40D4-88AB-80CC92F93BA2}" name="Notched" dataDxfId="11"/>
    <tableColumn id="39" xr3:uid="{108E1228-D670-44CE-87DA-2A1B0D22E417}" name="A (mm)" dataDxfId="49"/>
    <tableColumn id="38" xr3:uid="{D6414C63-3F42-4BCA-BB3F-506FCA7B7866}" name="B (mm)" dataDxfId="48"/>
    <tableColumn id="37" xr3:uid="{8138AA3A-CE2D-441D-907D-E35AD875EC90}" name="Hole diameter (mm)" dataDxfId="47"/>
    <tableColumn id="27" xr3:uid="{D5A8CCC0-542A-450B-8F88-B47472F29E40}" name="Diameter (mm)" dataDxfId="46"/>
    <tableColumn id="28" xr3:uid="{36725B61-E4CB-4B7E-AF40-7F3BC6BE6CB3}" name="Area (mm^2)" dataDxfId="45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44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4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43"/>
    <tableColumn id="40" xr3:uid="{FF54B50E-D6C4-4EF8-BED6-8558889E32B3}" name="Phase AXIAL load (°)" dataDxfId="42"/>
    <tableColumn id="22" xr3:uid="{9A8358C3-645B-4F7B-A800-BF2013564F31}" name="Phase TORSIONAL load (°)" dataDxfId="41"/>
    <tableColumn id="43" xr3:uid="{32E76D00-2B52-4D17-881F-6CB825346CD9}" name="Freq RADIAL load [Hz]" dataDxfId="40"/>
    <tableColumn id="42" xr3:uid="{A0DFAB77-F821-4A7F-A0A1-75075998D45D}" name="Freq AXIAL load[Hz]" dataDxfId="39"/>
    <tableColumn id="41" xr3:uid="{DEC77E42-D985-463A-B500-A8E16CF67856}" name="Freq TORSIONAL load [Hz]" dataDxfId="38"/>
    <tableColumn id="23" xr3:uid="{9724DA05-688A-43E5-9AAC-5035994CD3C7}" name="Load ratio (RADIAL)" dataDxfId="37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36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3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5"/>
    <tableColumn id="6" xr3:uid="{CFA41242-20EF-4D5D-9025-FC3F232CBE04}" name="Amplitute RADIAL stress  (MPa)" dataDxfId="34"/>
    <tableColumn id="16" xr3:uid="{F37D511D-F078-4171-84FD-3AE13D4078DC}" name="Mean AXIAL stress  (MPa)" dataDxfId="10"/>
    <tableColumn id="8" xr3:uid="{933ACC34-FA80-47BE-87CF-5D7D742564A2}" name="Amplitute AXIAL stress  (MPa)" dataDxfId="9"/>
    <tableColumn id="44" xr3:uid="{460C3648-EA91-4BC9-8C0D-58B3E19E1ED3}" name="derived from (AXIAL/BENDING) load" dataDxfId="33"/>
    <tableColumn id="19" xr3:uid="{06584471-CEAD-405D-A12E-5A2E79E8CA33}" name="Mean SHEAR stress  (MPa)" dataDxfId="8"/>
    <tableColumn id="10" xr3:uid="{2FCDB52E-3BD8-4D04-8689-303C003D64AE}" name="Amplitute SHEAR stress  (MPa)" dataDxfId="7"/>
    <tableColumn id="36" xr3:uid="{EF2440ED-01F8-493F-BD7F-BDBCFC67F43F}" name="Mean internal PRESSURE  (MPa)" dataDxfId="6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32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31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30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29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28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27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2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1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0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Normal="100" workbookViewId="0">
      <selection activeCell="A3" sqref="A3:L3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62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.100000000000001" customHeight="1" x14ac:dyDescent="0.25">
      <c r="A2" s="13" t="s">
        <v>65</v>
      </c>
      <c r="B2" s="62" t="s">
        <v>66</v>
      </c>
      <c r="C2" s="62">
        <v>2010</v>
      </c>
      <c r="D2" s="62" t="s">
        <v>67</v>
      </c>
      <c r="E2" s="62">
        <v>200637</v>
      </c>
      <c r="F2" s="62">
        <v>0.3</v>
      </c>
      <c r="G2" s="62">
        <v>1000.8</v>
      </c>
      <c r="H2" s="62">
        <v>946.7</v>
      </c>
      <c r="I2" s="62">
        <v>583.79999999999995</v>
      </c>
      <c r="J2" s="62">
        <v>370.7</v>
      </c>
      <c r="K2" s="63">
        <v>10000000</v>
      </c>
      <c r="L2" s="62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1.5748583760453196</v>
      </c>
    </row>
    <row r="3" spans="1:13" ht="20.100000000000001" customHeight="1" x14ac:dyDescent="0.25">
      <c r="A3" s="13"/>
      <c r="B3" s="1"/>
      <c r="C3" s="1"/>
      <c r="D3" s="1"/>
      <c r="E3" s="1"/>
      <c r="F3" s="1"/>
      <c r="G3" s="1"/>
      <c r="H3" s="1"/>
      <c r="I3" s="1"/>
      <c r="J3" s="1"/>
      <c r="K3" s="10"/>
      <c r="L3" s="1"/>
      <c r="M3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54" t="s">
        <v>24</v>
      </c>
      <c r="B6" s="55"/>
      <c r="C6" s="55"/>
      <c r="D6" s="56"/>
      <c r="E6" s="3">
        <f>IF(COUNT(Tabella1[Young''s modulus (MPa)])=0, "Null", AVERAGE(Tabella1[Young''s modulus (MPa)]))</f>
        <v>200637</v>
      </c>
      <c r="F6" s="3">
        <f>IF(COUNT(Tabella1[Poisson''s ratio (-)])=0, "Null", AVERAGE(Tabella1[Poisson''s ratio (-)]))</f>
        <v>0.3</v>
      </c>
      <c r="G6" s="3">
        <f>IF(COUNT(Tabella1[Tensile strength (MPa)])=0, "Null", AVERAGE(Tabella1[Tensile strength (MPa)]))</f>
        <v>1000.8</v>
      </c>
      <c r="H6" s="3">
        <f>IF(COUNT(Tabella1[Yield strength (MPa)])=0, "Null", AVERAGE(Tabella1[Yield strength (MPa)]))</f>
        <v>946.7</v>
      </c>
      <c r="I6" s="3">
        <f>IF(COUNT(Tabella1[Tensile fatigue limit (MPa)])=0, "Null", AVERAGE(Tabella1[Tensile fatigue limit (MPa)]))</f>
        <v>583.79999999999995</v>
      </c>
      <c r="J6" s="3">
        <f>IF(COUNT(Tabella1[Torsional fatigue limit (MPa)])=0, "Null", AVERAGE(Tabella1[Torsional fatigue limit (MPa)]))</f>
        <v>370.7</v>
      </c>
      <c r="K6" s="11"/>
      <c r="L6" s="9"/>
      <c r="M6" s="15">
        <f>IF(COUNT(Tabella1[K])=0, "Null", AVERAGE(Tabella1[K]))</f>
        <v>1.5748583760453196</v>
      </c>
    </row>
    <row r="7" spans="1:13" ht="20.100000000000001" customHeight="1" thickBot="1" x14ac:dyDescent="0.3">
      <c r="A7" s="57" t="s">
        <v>23</v>
      </c>
      <c r="B7" s="58"/>
      <c r="C7" s="58"/>
      <c r="D7" s="59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0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60" t="s">
        <v>29</v>
      </c>
      <c r="B13" s="5" t="s">
        <v>30</v>
      </c>
    </row>
    <row r="14" spans="1:13" ht="20.100000000000001" customHeight="1" thickBot="1" x14ac:dyDescent="0.3">
      <c r="A14" s="61"/>
      <c r="B14" s="6" t="s">
        <v>31</v>
      </c>
    </row>
    <row r="27" spans="4:4" x14ac:dyDescent="0.25">
      <c r="D27" s="7" t="s">
        <v>34</v>
      </c>
    </row>
    <row r="28" spans="4:4" x14ac:dyDescent="0.25">
      <c r="D28" s="8">
        <f>COUNTA(Tabella2[Authors])</f>
        <v>11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AK28" sqref="AK28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1" customWidth="1"/>
    <col min="4" max="4" width="54" style="1" customWidth="1"/>
    <col min="5" max="5" width="32.85546875" style="14" customWidth="1"/>
    <col min="6" max="6" width="24.5703125" style="1" customWidth="1"/>
    <col min="7" max="7" width="49.140625" style="69" customWidth="1"/>
    <col min="8" max="8" width="28.7109375" style="82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20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26" customWidth="1"/>
    <col min="22" max="22" width="40.7109375" style="31" customWidth="1"/>
    <col min="23" max="23" width="40" style="31" customWidth="1"/>
    <col min="24" max="24" width="35.140625" style="1" customWidth="1"/>
    <col min="25" max="25" width="34.28515625" style="1" customWidth="1"/>
    <col min="26" max="26" width="41.42578125" style="20" customWidth="1"/>
    <col min="27" max="27" width="28.7109375" style="74" customWidth="1"/>
    <col min="28" max="28" width="29.5703125" style="27" customWidth="1"/>
    <col min="29" max="29" width="27.42578125" style="27" customWidth="1"/>
    <col min="30" max="30" width="30.140625" style="27" customWidth="1"/>
    <col min="31" max="31" width="30.85546875" style="31" customWidth="1"/>
    <col min="32" max="32" width="25" style="27" customWidth="1"/>
    <col min="33" max="33" width="30.28515625" style="69" customWidth="1"/>
    <col min="34" max="34" width="28.5703125" style="50" customWidth="1"/>
    <col min="35" max="35" width="29.28515625" style="27" customWidth="1"/>
    <col min="36" max="36" width="20.140625" style="27" customWidth="1"/>
    <col min="37" max="37" width="23.140625" style="27" customWidth="1"/>
    <col min="38" max="38" width="23.28515625" style="27" customWidth="1"/>
    <col min="39" max="39" width="25.85546875" style="27" customWidth="1"/>
    <col min="40" max="40" width="23.85546875" style="27" customWidth="1"/>
    <col min="41" max="41" width="24" style="22" customWidth="1"/>
    <col min="42" max="42" width="34" style="42" customWidth="1"/>
    <col min="43" max="43" width="52.7109375" style="40"/>
    <col min="44" max="16384" width="52.7109375" style="1"/>
  </cols>
  <sheetData>
    <row r="1" spans="1:43" s="25" customFormat="1" ht="44.25" customHeight="1" x14ac:dyDescent="0.25">
      <c r="A1" s="24" t="s">
        <v>26</v>
      </c>
      <c r="B1" s="24" t="s">
        <v>25</v>
      </c>
      <c r="C1" s="24" t="s">
        <v>62</v>
      </c>
      <c r="D1" s="24" t="s">
        <v>19</v>
      </c>
      <c r="E1" s="45" t="s">
        <v>5</v>
      </c>
      <c r="F1" s="24" t="s">
        <v>6</v>
      </c>
      <c r="G1" s="80" t="s">
        <v>18</v>
      </c>
      <c r="H1" s="81" t="s">
        <v>16</v>
      </c>
      <c r="I1" s="30" t="s">
        <v>45</v>
      </c>
      <c r="J1" s="30" t="s">
        <v>28</v>
      </c>
      <c r="K1" s="35" t="s">
        <v>42</v>
      </c>
      <c r="L1" s="35" t="s">
        <v>43</v>
      </c>
      <c r="M1" s="35" t="s">
        <v>44</v>
      </c>
      <c r="N1" s="30" t="s">
        <v>17</v>
      </c>
      <c r="O1" s="36" t="s">
        <v>33</v>
      </c>
      <c r="P1" s="36" t="s">
        <v>59</v>
      </c>
      <c r="Q1" s="29" t="s">
        <v>58</v>
      </c>
      <c r="R1" s="28" t="s">
        <v>46</v>
      </c>
      <c r="S1" s="28" t="s">
        <v>47</v>
      </c>
      <c r="T1" s="28" t="s">
        <v>48</v>
      </c>
      <c r="U1" s="51" t="s">
        <v>49</v>
      </c>
      <c r="V1" s="37" t="s">
        <v>50</v>
      </c>
      <c r="W1" s="37" t="s">
        <v>51</v>
      </c>
      <c r="X1" s="33" t="s">
        <v>14</v>
      </c>
      <c r="Y1" s="33" t="s">
        <v>52</v>
      </c>
      <c r="Z1" s="86" t="s">
        <v>15</v>
      </c>
      <c r="AA1" s="85" t="s">
        <v>7</v>
      </c>
      <c r="AB1" s="43" t="s">
        <v>8</v>
      </c>
      <c r="AC1" s="43" t="s">
        <v>53</v>
      </c>
      <c r="AD1" s="43" t="s">
        <v>54</v>
      </c>
      <c r="AE1" s="47" t="s">
        <v>57</v>
      </c>
      <c r="AF1" s="46" t="s">
        <v>9</v>
      </c>
      <c r="AG1" s="77" t="s">
        <v>10</v>
      </c>
      <c r="AH1" s="78" t="s">
        <v>55</v>
      </c>
      <c r="AI1" s="49" t="s">
        <v>56</v>
      </c>
      <c r="AJ1" s="48" t="s">
        <v>60</v>
      </c>
      <c r="AK1" s="49" t="s">
        <v>64</v>
      </c>
      <c r="AL1" s="48" t="s">
        <v>35</v>
      </c>
      <c r="AM1" s="49" t="s">
        <v>36</v>
      </c>
      <c r="AN1" s="48" t="s">
        <v>12</v>
      </c>
      <c r="AO1" s="53" t="s">
        <v>11</v>
      </c>
      <c r="AP1" s="39" t="s">
        <v>13</v>
      </c>
      <c r="AQ1" s="88" t="s">
        <v>63</v>
      </c>
    </row>
    <row r="2" spans="1:43" ht="20.100000000000001" customHeight="1" x14ac:dyDescent="0.25">
      <c r="A2" s="1" t="s">
        <v>66</v>
      </c>
      <c r="B2" s="1">
        <v>2010</v>
      </c>
      <c r="C2" s="44" t="s">
        <v>65</v>
      </c>
      <c r="D2" s="1" t="s">
        <v>68</v>
      </c>
      <c r="E2" s="64">
        <v>10000000</v>
      </c>
      <c r="F2" s="1" t="s">
        <v>32</v>
      </c>
      <c r="G2" s="65" t="s">
        <v>41</v>
      </c>
      <c r="H2" s="82" t="e" vm="1">
        <v>#VALUE!</v>
      </c>
      <c r="I2" s="1" t="s">
        <v>27</v>
      </c>
      <c r="J2" s="1" t="s">
        <v>20</v>
      </c>
      <c r="K2" s="1" t="s">
        <v>21</v>
      </c>
      <c r="L2" s="1" t="s">
        <v>21</v>
      </c>
      <c r="M2" s="1">
        <v>0</v>
      </c>
      <c r="N2" s="1">
        <v>6</v>
      </c>
      <c r="O2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2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2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2" s="1">
        <v>0</v>
      </c>
      <c r="S2" s="1">
        <v>0</v>
      </c>
      <c r="T2" s="1">
        <v>0</v>
      </c>
      <c r="U2" s="26">
        <v>20</v>
      </c>
      <c r="V2" s="75">
        <v>20</v>
      </c>
      <c r="W2" s="75">
        <v>20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20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74">
        <v>0</v>
      </c>
      <c r="AB2" s="27">
        <v>0</v>
      </c>
      <c r="AC2" s="27">
        <v>0</v>
      </c>
      <c r="AD2" s="27">
        <v>866</v>
      </c>
      <c r="AE2" s="31" t="s">
        <v>61</v>
      </c>
      <c r="AF2" s="27">
        <v>0</v>
      </c>
      <c r="AG2" s="74">
        <v>0</v>
      </c>
      <c r="AH2" s="50">
        <f>IF(ISNUMBER(Tabella2[[#This Row],[Mean RADIAL stress  (MPa)]]), Tabella2[[#This Row],[Mean RADIAL stress  (MPa)]],"")</f>
        <v>0</v>
      </c>
      <c r="AI2" s="27">
        <f>IF(ISNUMBER(Tabella2[[#This Row],[Amplitute RADIAL stress  (MPa)]]), Tabella2[[#This Row],[Amplitute RADIAL stress  (MPa)]],"")</f>
        <v>0</v>
      </c>
      <c r="AJ2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24485.573142078847</v>
      </c>
      <c r="AL2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866</v>
      </c>
    </row>
    <row r="3" spans="1:43" ht="20.100000000000001" customHeight="1" x14ac:dyDescent="0.25">
      <c r="A3" s="1" t="s">
        <v>66</v>
      </c>
      <c r="B3" s="1">
        <v>2010</v>
      </c>
      <c r="C3" s="44" t="s">
        <v>65</v>
      </c>
      <c r="D3" s="1" t="s">
        <v>68</v>
      </c>
      <c r="E3" s="64">
        <v>10000000</v>
      </c>
      <c r="F3" s="1" t="s">
        <v>32</v>
      </c>
      <c r="G3" s="65" t="s">
        <v>41</v>
      </c>
      <c r="H3" s="82" t="e" vm="1">
        <v>#VALUE!</v>
      </c>
      <c r="I3" s="1" t="s">
        <v>27</v>
      </c>
      <c r="J3" s="1" t="s">
        <v>20</v>
      </c>
      <c r="K3" s="1" t="s">
        <v>21</v>
      </c>
      <c r="L3" s="1" t="s">
        <v>21</v>
      </c>
      <c r="M3" s="1">
        <v>0</v>
      </c>
      <c r="N3" s="1">
        <v>6</v>
      </c>
      <c r="O3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3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3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3" s="1">
        <v>0</v>
      </c>
      <c r="S3" s="1">
        <v>0</v>
      </c>
      <c r="T3" s="1">
        <v>0</v>
      </c>
      <c r="U3" s="26">
        <v>20</v>
      </c>
      <c r="V3" s="75">
        <v>20</v>
      </c>
      <c r="W3" s="75">
        <v>20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9.9937371387671142E-2</v>
      </c>
      <c r="Z3" s="20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74">
        <v>0</v>
      </c>
      <c r="AB3" s="27">
        <v>0</v>
      </c>
      <c r="AC3" s="27">
        <v>614.70000000000005</v>
      </c>
      <c r="AD3" s="27">
        <v>503</v>
      </c>
      <c r="AE3" s="31" t="s">
        <v>61</v>
      </c>
      <c r="AF3" s="27">
        <v>0</v>
      </c>
      <c r="AG3" s="74">
        <v>0</v>
      </c>
      <c r="AH3" s="50">
        <f>IF(ISNUMBER(Tabella2[[#This Row],[Mean RADIAL stress  (MPa)]]), Tabella2[[#This Row],[Mean RADIAL stress  (MPa)]],"")</f>
        <v>0</v>
      </c>
      <c r="AI3" s="27">
        <f>IF(ISNUMBER(Tabella2[[#This Row],[Amplitute RADIAL stress  (MPa)]]), Tabella2[[#This Row],[Amplitute RADIAL stress  (MPa)]],"")</f>
        <v>0</v>
      </c>
      <c r="AJ3" s="27">
        <f>IF(ISNUMBER(Tabella2[[#This Row],[Mean AXIAL stress  (MPa)]]), IF(Tabella2[[#This Row],[derived from (AXIAL/BENDING) load]]="AXIAL",Tabella2[[#This Row],[Mean AXIAL stress  (MPa)]]*Tabella2[[#This Row],[Area (mm^2)]],"Null"), "")</f>
        <v>17380.233037454815</v>
      </c>
      <c r="AK3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14221.989942800994</v>
      </c>
      <c r="AL3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503</v>
      </c>
    </row>
    <row r="4" spans="1:43" ht="20.100000000000001" customHeight="1" x14ac:dyDescent="0.25">
      <c r="A4" s="1" t="s">
        <v>66</v>
      </c>
      <c r="B4" s="1">
        <v>2010</v>
      </c>
      <c r="C4" s="44" t="s">
        <v>65</v>
      </c>
      <c r="D4" s="1" t="s">
        <v>68</v>
      </c>
      <c r="E4" s="64">
        <v>10000000</v>
      </c>
      <c r="F4" s="1" t="s">
        <v>32</v>
      </c>
      <c r="G4" s="65" t="s">
        <v>41</v>
      </c>
      <c r="H4" s="82" t="e" vm="1">
        <v>#VALUE!</v>
      </c>
      <c r="I4" s="1" t="s">
        <v>27</v>
      </c>
      <c r="J4" s="1" t="s">
        <v>20</v>
      </c>
      <c r="K4" s="1" t="s">
        <v>21</v>
      </c>
      <c r="L4" s="1" t="s">
        <v>21</v>
      </c>
      <c r="M4" s="1">
        <v>0</v>
      </c>
      <c r="N4" s="1">
        <v>6</v>
      </c>
      <c r="O4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4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4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4" s="1">
        <v>0</v>
      </c>
      <c r="S4" s="1">
        <v>0</v>
      </c>
      <c r="T4" s="1">
        <v>0</v>
      </c>
      <c r="U4" s="26">
        <v>20</v>
      </c>
      <c r="V4" s="75">
        <v>20</v>
      </c>
      <c r="W4" s="75">
        <v>20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0.4000137296629368</v>
      </c>
      <c r="Z4" s="20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" s="74">
        <v>0</v>
      </c>
      <c r="AB4" s="27">
        <v>0</v>
      </c>
      <c r="AC4" s="27">
        <v>1019.7</v>
      </c>
      <c r="AD4" s="27">
        <v>437</v>
      </c>
      <c r="AE4" s="31" t="s">
        <v>61</v>
      </c>
      <c r="AF4" s="27">
        <v>0</v>
      </c>
      <c r="AG4" s="74">
        <v>0</v>
      </c>
      <c r="AH4" s="50">
        <f>IF(ISNUMBER(Tabella2[[#This Row],[Mean RADIAL stress  (MPa)]]), Tabella2[[#This Row],[Mean RADIAL stress  (MPa)]],"")</f>
        <v>0</v>
      </c>
      <c r="AI4" s="27">
        <f>IF(ISNUMBER(Tabella2[[#This Row],[Amplitute RADIAL stress  (MPa)]]), Tabella2[[#This Row],[Amplitute RADIAL stress  (MPa)]],"")</f>
        <v>0</v>
      </c>
      <c r="AJ4" s="27">
        <f>IF(ISNUMBER(Tabella2[[#This Row],[Mean AXIAL stress  (MPa)]]), IF(Tabella2[[#This Row],[derived from (AXIAL/BENDING) load]]="AXIAL",Tabella2[[#This Row],[Mean AXIAL stress  (MPa)]]*Tabella2[[#This Row],[Area (mm^2)]],"Null"), "")</f>
        <v>28831.338259789609</v>
      </c>
      <c r="AK4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12355.883906568657</v>
      </c>
      <c r="AL4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437</v>
      </c>
    </row>
    <row r="5" spans="1:43" ht="20.100000000000001" customHeight="1" x14ac:dyDescent="0.25">
      <c r="A5" s="1" t="s">
        <v>66</v>
      </c>
      <c r="B5" s="1">
        <v>2010</v>
      </c>
      <c r="C5" s="44" t="s">
        <v>65</v>
      </c>
      <c r="D5" s="1" t="s">
        <v>68</v>
      </c>
      <c r="E5" s="64">
        <v>10000000</v>
      </c>
      <c r="F5" s="1" t="s">
        <v>32</v>
      </c>
      <c r="G5" s="65" t="s">
        <v>41</v>
      </c>
      <c r="H5" s="82" t="e" vm="1">
        <v>#VALUE!</v>
      </c>
      <c r="I5" s="1" t="s">
        <v>27</v>
      </c>
      <c r="J5" s="1" t="s">
        <v>20</v>
      </c>
      <c r="K5" s="1" t="s">
        <v>21</v>
      </c>
      <c r="L5" s="1" t="s">
        <v>21</v>
      </c>
      <c r="M5" s="1">
        <v>0</v>
      </c>
      <c r="N5" s="1">
        <v>6</v>
      </c>
      <c r="O5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5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5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5" s="1">
        <v>0</v>
      </c>
      <c r="S5" s="1">
        <v>0</v>
      </c>
      <c r="T5" s="1">
        <v>0</v>
      </c>
      <c r="U5" s="26">
        <v>20</v>
      </c>
      <c r="V5" s="75">
        <v>20</v>
      </c>
      <c r="W5" s="75">
        <v>20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0.6</v>
      </c>
      <c r="Z5" s="20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" s="74">
        <v>0</v>
      </c>
      <c r="AB5" s="27">
        <v>0</v>
      </c>
      <c r="AC5" s="27">
        <v>1668</v>
      </c>
      <c r="AD5" s="27">
        <v>417</v>
      </c>
      <c r="AE5" s="31" t="s">
        <v>61</v>
      </c>
      <c r="AF5" s="27">
        <v>0</v>
      </c>
      <c r="AG5" s="74">
        <v>0</v>
      </c>
      <c r="AH5" s="50">
        <f>IF(ISNUMBER(Tabella2[[#This Row],[Mean RADIAL stress  (MPa)]]), Tabella2[[#This Row],[Mean RADIAL stress  (MPa)]],"")</f>
        <v>0</v>
      </c>
      <c r="AI5" s="27">
        <f>IF(ISNUMBER(Tabella2[[#This Row],[Amplitute RADIAL stress  (MPa)]]), Tabella2[[#This Row],[Amplitute RADIAL stress  (MPa)]],"")</f>
        <v>0</v>
      </c>
      <c r="AJ5" s="27">
        <f>IF(ISNUMBER(Tabella2[[#This Row],[Mean AXIAL stress  (MPa)]]), IF(Tabella2[[#This Row],[derived from (AXIAL/BENDING) load]]="AXIAL",Tabella2[[#This Row],[Mean AXIAL stress  (MPa)]]*Tabella2[[#This Row],[Area (mm^2)]],"Null"), "")</f>
        <v>47161.588915689972</v>
      </c>
      <c r="AK5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11790.397228922493</v>
      </c>
      <c r="AL5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417</v>
      </c>
    </row>
    <row r="6" spans="1:43" ht="20.100000000000001" customHeight="1" x14ac:dyDescent="0.25">
      <c r="A6" s="1" t="s">
        <v>66</v>
      </c>
      <c r="B6" s="1">
        <v>2010</v>
      </c>
      <c r="C6" s="44" t="s">
        <v>65</v>
      </c>
      <c r="D6" s="1" t="s">
        <v>68</v>
      </c>
      <c r="E6" s="64">
        <v>10000000</v>
      </c>
      <c r="F6" s="1" t="s">
        <v>32</v>
      </c>
      <c r="G6" s="65" t="s">
        <v>41</v>
      </c>
      <c r="H6" s="82" t="e" vm="1">
        <v>#VALUE!</v>
      </c>
      <c r="I6" s="1" t="s">
        <v>27</v>
      </c>
      <c r="J6" s="1" t="s">
        <v>20</v>
      </c>
      <c r="K6" s="1" t="s">
        <v>21</v>
      </c>
      <c r="L6" s="1" t="s">
        <v>21</v>
      </c>
      <c r="M6" s="1">
        <v>0</v>
      </c>
      <c r="N6" s="1">
        <v>6</v>
      </c>
      <c r="O6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6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6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6" s="1">
        <v>0</v>
      </c>
      <c r="S6" s="1">
        <v>0</v>
      </c>
      <c r="T6" s="1">
        <v>0</v>
      </c>
      <c r="U6" s="26">
        <v>20</v>
      </c>
      <c r="V6" s="75">
        <v>20</v>
      </c>
      <c r="W6" s="75">
        <v>20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0.6</v>
      </c>
      <c r="Z6" s="20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74">
        <v>0</v>
      </c>
      <c r="AB6" s="27">
        <v>0</v>
      </c>
      <c r="AC6" s="27">
        <v>1488</v>
      </c>
      <c r="AD6" s="27">
        <v>372</v>
      </c>
      <c r="AE6" s="31" t="s">
        <v>61</v>
      </c>
      <c r="AF6" s="27">
        <v>0</v>
      </c>
      <c r="AG6" s="74">
        <v>0</v>
      </c>
      <c r="AH6" s="50">
        <f>IF(ISNUMBER(Tabella2[[#This Row],[Mean RADIAL stress  (MPa)]]), Tabella2[[#This Row],[Mean RADIAL stress  (MPa)]],"")</f>
        <v>0</v>
      </c>
      <c r="AI6" s="27">
        <f>IF(ISNUMBER(Tabella2[[#This Row],[Amplitute RADIAL stress  (MPa)]]), Tabella2[[#This Row],[Amplitute RADIAL stress  (MPa)]],"")</f>
        <v>0</v>
      </c>
      <c r="AJ6" s="27">
        <f>IF(ISNUMBER(Tabella2[[#This Row],[Mean AXIAL stress  (MPa)]]), IF(Tabella2[[#This Row],[derived from (AXIAL/BENDING) load]]="AXIAL",Tabella2[[#This Row],[Mean AXIAL stress  (MPa)]]*Tabella2[[#This Row],[Area (mm^2)]],"Null"), "")</f>
        <v>42072.20881687451</v>
      </c>
      <c r="AK6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10518.052204218628</v>
      </c>
      <c r="AL6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372</v>
      </c>
    </row>
    <row r="7" spans="1:43" ht="20.100000000000001" customHeight="1" x14ac:dyDescent="0.25">
      <c r="A7" s="1" t="s">
        <v>66</v>
      </c>
      <c r="B7" s="1">
        <v>2010</v>
      </c>
      <c r="C7" s="44" t="s">
        <v>65</v>
      </c>
      <c r="D7" s="1" t="s">
        <v>68</v>
      </c>
      <c r="E7" s="64">
        <v>10000000</v>
      </c>
      <c r="F7" s="1" t="s">
        <v>32</v>
      </c>
      <c r="G7" s="65" t="s">
        <v>41</v>
      </c>
      <c r="H7" s="82" t="e" vm="1">
        <v>#VALUE!</v>
      </c>
      <c r="I7" s="1" t="s">
        <v>27</v>
      </c>
      <c r="J7" s="1" t="s">
        <v>20</v>
      </c>
      <c r="K7" s="1" t="s">
        <v>21</v>
      </c>
      <c r="L7" s="1" t="s">
        <v>21</v>
      </c>
      <c r="M7" s="1">
        <v>0</v>
      </c>
      <c r="N7" s="1">
        <v>6</v>
      </c>
      <c r="O7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7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7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7" s="1">
        <v>0</v>
      </c>
      <c r="S7" s="1">
        <v>0</v>
      </c>
      <c r="T7" s="1">
        <v>0</v>
      </c>
      <c r="U7" s="26">
        <v>20</v>
      </c>
      <c r="V7" s="75">
        <v>20</v>
      </c>
      <c r="W7" s="75">
        <v>20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" s="20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" s="74">
        <v>0</v>
      </c>
      <c r="AB7" s="27">
        <v>0</v>
      </c>
      <c r="AC7" s="27">
        <v>0</v>
      </c>
      <c r="AD7" s="27">
        <v>0</v>
      </c>
      <c r="AE7" s="31" t="s">
        <v>61</v>
      </c>
      <c r="AF7" s="27">
        <v>0</v>
      </c>
      <c r="AG7" s="74">
        <v>541</v>
      </c>
      <c r="AH7" s="50">
        <f>IF(ISNUMBER(Tabella2[[#This Row],[Mean RADIAL stress  (MPa)]]), Tabella2[[#This Row],[Mean RADIAL stress  (MPa)]],"")</f>
        <v>0</v>
      </c>
      <c r="AI7" s="27">
        <f>IF(ISNUMBER(Tabella2[[#This Row],[Amplitute RADIAL stress  (MPa)]]), Tabella2[[#This Row],[Amplitute RADIAL stress  (MPa)]],"")</f>
        <v>0</v>
      </c>
      <c r="AJ7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22944.621945493054</v>
      </c>
      <c r="AP7" s="4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937.0394868947626</v>
      </c>
    </row>
    <row r="8" spans="1:43" ht="20.100000000000001" customHeight="1" x14ac:dyDescent="0.25">
      <c r="A8" s="1" t="s">
        <v>66</v>
      </c>
      <c r="B8" s="1">
        <v>2010</v>
      </c>
      <c r="C8" s="44" t="s">
        <v>65</v>
      </c>
      <c r="D8" s="1" t="s">
        <v>68</v>
      </c>
      <c r="E8" s="64">
        <v>10000000</v>
      </c>
      <c r="F8" s="1" t="s">
        <v>32</v>
      </c>
      <c r="G8" s="65" t="s">
        <v>41</v>
      </c>
      <c r="H8" s="82" t="e" vm="1">
        <v>#VALUE!</v>
      </c>
      <c r="I8" s="1" t="s">
        <v>27</v>
      </c>
      <c r="J8" s="1" t="s">
        <v>20</v>
      </c>
      <c r="K8" s="1" t="s">
        <v>21</v>
      </c>
      <c r="L8" s="1" t="s">
        <v>21</v>
      </c>
      <c r="M8" s="1">
        <v>0</v>
      </c>
      <c r="N8" s="1">
        <v>6</v>
      </c>
      <c r="O8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8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8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8" s="1">
        <v>0</v>
      </c>
      <c r="S8" s="1">
        <v>0</v>
      </c>
      <c r="T8" s="1">
        <v>0</v>
      </c>
      <c r="U8" s="26">
        <v>20</v>
      </c>
      <c r="V8" s="75">
        <v>20</v>
      </c>
      <c r="W8" s="75">
        <v>20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20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" s="74">
        <v>0</v>
      </c>
      <c r="AB8" s="27">
        <v>0</v>
      </c>
      <c r="AC8" s="27">
        <v>0</v>
      </c>
      <c r="AD8" s="27">
        <v>734</v>
      </c>
      <c r="AE8" s="31" t="s">
        <v>61</v>
      </c>
      <c r="AF8" s="27">
        <v>0</v>
      </c>
      <c r="AG8" s="74">
        <v>367</v>
      </c>
      <c r="AH8" s="50">
        <f>IF(ISNUMBER(Tabella2[[#This Row],[Mean RADIAL stress  (MPa)]]), Tabella2[[#This Row],[Mean RADIAL stress  (MPa)]],"")</f>
        <v>0</v>
      </c>
      <c r="AI8" s="27">
        <f>IF(ISNUMBER(Tabella2[[#This Row],[Amplitute RADIAL stress  (MPa)]]), Tabella2[[#This Row],[Amplitute RADIAL stress  (MPa)]],"")</f>
        <v>0</v>
      </c>
      <c r="AJ8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20753.361069614173</v>
      </c>
      <c r="AL8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15565.020802210629</v>
      </c>
      <c r="AP8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8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970.99073116070474</v>
      </c>
    </row>
    <row r="9" spans="1:43" ht="20.100000000000001" customHeight="1" x14ac:dyDescent="0.25">
      <c r="A9" s="1" t="s">
        <v>66</v>
      </c>
      <c r="B9" s="1">
        <v>2010</v>
      </c>
      <c r="C9" s="44" t="s">
        <v>65</v>
      </c>
      <c r="D9" s="1" t="s">
        <v>68</v>
      </c>
      <c r="E9" s="64">
        <v>10000000</v>
      </c>
      <c r="F9" s="1" t="s">
        <v>32</v>
      </c>
      <c r="G9" s="65" t="s">
        <v>41</v>
      </c>
      <c r="H9" s="82" t="e" vm="1">
        <v>#VALUE!</v>
      </c>
      <c r="I9" s="1" t="s">
        <v>27</v>
      </c>
      <c r="J9" s="1" t="s">
        <v>20</v>
      </c>
      <c r="K9" s="1" t="s">
        <v>21</v>
      </c>
      <c r="L9" s="1" t="s">
        <v>21</v>
      </c>
      <c r="M9" s="1">
        <v>0</v>
      </c>
      <c r="N9" s="1">
        <v>6</v>
      </c>
      <c r="O9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9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9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9" s="1">
        <v>0</v>
      </c>
      <c r="S9" s="1">
        <v>0</v>
      </c>
      <c r="T9" s="1">
        <v>90</v>
      </c>
      <c r="U9" s="26">
        <v>20</v>
      </c>
      <c r="V9" s="75">
        <v>20</v>
      </c>
      <c r="W9" s="75">
        <v>20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20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" s="74">
        <v>0</v>
      </c>
      <c r="AB9" s="27">
        <v>0</v>
      </c>
      <c r="AC9" s="27">
        <v>0</v>
      </c>
      <c r="AD9" s="27">
        <v>607</v>
      </c>
      <c r="AE9" s="31" t="s">
        <v>61</v>
      </c>
      <c r="AF9" s="27">
        <v>0</v>
      </c>
      <c r="AG9" s="74">
        <v>303.5</v>
      </c>
      <c r="AH9" s="50">
        <f>IF(ISNUMBER(Tabella2[[#This Row],[Mean RADIAL stress  (MPa)]]), Tabella2[[#This Row],[Mean RADIAL stress  (MPa)]],"")</f>
        <v>0</v>
      </c>
      <c r="AI9" s="27">
        <f>IF(ISNUMBER(Tabella2[[#This Row],[Amplitute RADIAL stress  (MPa)]]), Tabella2[[#This Row],[Amplitute RADIAL stress  (MPa)]],"")</f>
        <v>0</v>
      </c>
      <c r="AJ9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17162.520666561039</v>
      </c>
      <c r="AL9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12871.890499920779</v>
      </c>
      <c r="AP9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9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802.98552290810323</v>
      </c>
    </row>
    <row r="10" spans="1:43" ht="20.100000000000001" customHeight="1" x14ac:dyDescent="0.25">
      <c r="A10" s="1" t="s">
        <v>66</v>
      </c>
      <c r="B10" s="1">
        <v>2010</v>
      </c>
      <c r="C10" s="44" t="s">
        <v>65</v>
      </c>
      <c r="D10" s="1" t="s">
        <v>68</v>
      </c>
      <c r="E10" s="64">
        <v>10000000</v>
      </c>
      <c r="F10" s="1" t="s">
        <v>32</v>
      </c>
      <c r="G10" s="65" t="s">
        <v>41</v>
      </c>
      <c r="H10" s="82" t="e" vm="1">
        <v>#VALUE!</v>
      </c>
      <c r="I10" s="1" t="s">
        <v>27</v>
      </c>
      <c r="J10" s="1" t="s">
        <v>20</v>
      </c>
      <c r="K10" s="1" t="s">
        <v>21</v>
      </c>
      <c r="L10" s="1" t="s">
        <v>21</v>
      </c>
      <c r="M10" s="1">
        <v>0</v>
      </c>
      <c r="N10" s="1">
        <v>6</v>
      </c>
      <c r="O10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10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10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10" s="1">
        <v>0</v>
      </c>
      <c r="S10" s="1">
        <v>0</v>
      </c>
      <c r="T10" s="1">
        <v>90</v>
      </c>
      <c r="U10" s="26">
        <v>20</v>
      </c>
      <c r="V10" s="75">
        <v>20</v>
      </c>
      <c r="W10" s="75">
        <v>20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20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" s="74">
        <v>0</v>
      </c>
      <c r="AB10" s="27">
        <v>0</v>
      </c>
      <c r="AC10" s="27">
        <v>0</v>
      </c>
      <c r="AD10" s="27">
        <v>440</v>
      </c>
      <c r="AE10" s="31" t="s">
        <v>61</v>
      </c>
      <c r="AF10" s="27">
        <v>0</v>
      </c>
      <c r="AG10" s="74">
        <v>440</v>
      </c>
      <c r="AH10" s="50">
        <f>IF(ISNUMBER(Tabella2[[#This Row],[Mean RADIAL stress  (MPa)]]), Tabella2[[#This Row],[Mean RADIAL stress  (MPa)]],"")</f>
        <v>0</v>
      </c>
      <c r="AI10" s="27">
        <f>IF(ISNUMBER(Tabella2[[#This Row],[Amplitute RADIAL stress  (MPa)]]), Tabella2[[#This Row],[Amplitute RADIAL stress  (MPa)]],"")</f>
        <v>0</v>
      </c>
      <c r="AJ10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12440.706908215581</v>
      </c>
      <c r="AL10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18661.060362323369</v>
      </c>
      <c r="AP10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880</v>
      </c>
    </row>
    <row r="11" spans="1:43" s="69" customFormat="1" ht="20.100000000000001" customHeight="1" x14ac:dyDescent="0.25">
      <c r="A11" s="69" t="s">
        <v>66</v>
      </c>
      <c r="B11" s="69">
        <v>2010</v>
      </c>
      <c r="C11" s="70" t="s">
        <v>65</v>
      </c>
      <c r="D11" s="69" t="s">
        <v>68</v>
      </c>
      <c r="E11" s="71">
        <v>10000000</v>
      </c>
      <c r="F11" s="69" t="s">
        <v>32</v>
      </c>
      <c r="G11" s="72" t="s">
        <v>41</v>
      </c>
      <c r="H11" s="82" t="e" vm="1">
        <v>#VALUE!</v>
      </c>
      <c r="I11" s="69" t="s">
        <v>27</v>
      </c>
      <c r="J11" s="1" t="s">
        <v>20</v>
      </c>
      <c r="K11" s="69" t="s">
        <v>21</v>
      </c>
      <c r="L11" s="69" t="s">
        <v>21</v>
      </c>
      <c r="M11" s="69">
        <v>0</v>
      </c>
      <c r="N11" s="1">
        <v>6</v>
      </c>
      <c r="O11" s="73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11" s="73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11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11" s="69">
        <v>0</v>
      </c>
      <c r="S11" s="69">
        <v>0</v>
      </c>
      <c r="T11" s="1">
        <v>90</v>
      </c>
      <c r="U11" s="26">
        <v>20</v>
      </c>
      <c r="V11" s="75">
        <v>20</v>
      </c>
      <c r="W11" s="75">
        <v>20</v>
      </c>
      <c r="X11" s="6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6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0.1000323729362253</v>
      </c>
      <c r="Z11" s="20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74">
        <v>0</v>
      </c>
      <c r="AB11" s="74">
        <v>0</v>
      </c>
      <c r="AC11" s="74">
        <v>509.7</v>
      </c>
      <c r="AD11" s="74">
        <v>417</v>
      </c>
      <c r="AE11" s="31" t="s">
        <v>61</v>
      </c>
      <c r="AF11" s="74">
        <v>0</v>
      </c>
      <c r="AG11" s="74">
        <v>208.5</v>
      </c>
      <c r="AH11" s="50">
        <f>IF(ISNUMBER(Tabella2[[#This Row],[Mean RADIAL stress  (MPa)]]), Tabella2[[#This Row],[Mean RADIAL stress  (MPa)]],"")</f>
        <v>0</v>
      </c>
      <c r="AI11" s="74">
        <f>IF(ISNUMBER(Tabella2[[#This Row],[Amplitute RADIAL stress  (MPa)]]), Tabella2[[#This Row],[Amplitute RADIAL stress  (MPa)]],"")</f>
        <v>0</v>
      </c>
      <c r="AJ11" s="74">
        <f>IF(ISNUMBER(Tabella2[[#This Row],[Mean AXIAL stress  (MPa)]]), IF(Tabella2[[#This Row],[derived from (AXIAL/BENDING) load]]="AXIAL",Tabella2[[#This Row],[Mean AXIAL stress  (MPa)]]*Tabella2[[#This Row],[Area (mm^2)]],"Null"), "")</f>
        <v>14411.427979812457</v>
      </c>
      <c r="AK11" s="74">
        <f>IF(ISNUMBER(Tabella2[[#This Row],[Amplitute AXIAL stress  (MPa)]]),    IF(Tabella2[[#This Row],[derived from (AXIAL/BENDING) load]]="AXIAL",Tabella2[[#This Row],[Amplitute AXIAL stress  (MPa)]]*Tabella2[[#This Row],[Area (mm^2)]],"Null"), "")</f>
        <v>11790.397228922493</v>
      </c>
      <c r="AL11" s="74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74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74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8842.7979216918702</v>
      </c>
      <c r="AP11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11" s="4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551.6391483569671</v>
      </c>
    </row>
    <row r="12" spans="1:43" s="17" customFormat="1" ht="20.100000000000001" customHeight="1" thickBot="1" x14ac:dyDescent="0.3">
      <c r="A12" s="17" t="s">
        <v>66</v>
      </c>
      <c r="B12" s="17">
        <v>2010</v>
      </c>
      <c r="C12" s="66" t="s">
        <v>65</v>
      </c>
      <c r="D12" s="17" t="s">
        <v>68</v>
      </c>
      <c r="E12" s="67">
        <v>10000000</v>
      </c>
      <c r="F12" s="17" t="s">
        <v>32</v>
      </c>
      <c r="G12" s="68" t="s">
        <v>41</v>
      </c>
      <c r="H12" s="83" t="e" vm="1">
        <v>#VALUE!</v>
      </c>
      <c r="I12" s="17" t="s">
        <v>27</v>
      </c>
      <c r="J12" s="17" t="s">
        <v>20</v>
      </c>
      <c r="K12" s="17" t="s">
        <v>21</v>
      </c>
      <c r="L12" s="17" t="s">
        <v>21</v>
      </c>
      <c r="M12" s="17">
        <v>0</v>
      </c>
      <c r="N12" s="17">
        <v>6</v>
      </c>
      <c r="O12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28.274333882308138</v>
      </c>
      <c r="P12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63.617251235193308</v>
      </c>
      <c r="Q12" s="3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127.23450247038662</v>
      </c>
      <c r="R12" s="17">
        <v>0</v>
      </c>
      <c r="S12" s="17">
        <v>0</v>
      </c>
      <c r="T12" s="17">
        <v>0</v>
      </c>
      <c r="U12" s="18">
        <v>20</v>
      </c>
      <c r="V12" s="76">
        <v>20</v>
      </c>
      <c r="W12" s="76">
        <v>20</v>
      </c>
      <c r="X12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" s="2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" s="19">
        <v>0</v>
      </c>
      <c r="AB12" s="19">
        <v>0</v>
      </c>
      <c r="AC12" s="19">
        <v>0</v>
      </c>
      <c r="AD12" s="19">
        <v>464</v>
      </c>
      <c r="AE12" s="32" t="s">
        <v>61</v>
      </c>
      <c r="AF12" s="19">
        <v>0</v>
      </c>
      <c r="AG12" s="19">
        <v>464</v>
      </c>
      <c r="AH12" s="52">
        <f>IF(ISNUMBER(Tabella2[[#This Row],[Mean RADIAL stress  (MPa)]]), Tabella2[[#This Row],[Mean RADIAL stress  (MPa)]],"")</f>
        <v>0</v>
      </c>
      <c r="AI12" s="19">
        <f>IF(ISNUMBER(Tabella2[[#This Row],[Amplitute RADIAL stress  (MPa)]]), Tabella2[[#This Row],[Amplitute RADIAL stress  (MPa)]],"")</f>
        <v>0</v>
      </c>
      <c r="AJ12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19">
        <f>IF(ISNUMBER(Tabella2[[#This Row],[Amplitute AXIAL stress  (MPa)]]),    IF(Tabella2[[#This Row],[derived from (AXIAL/BENDING) load]]="AXIAL",Tabella2[[#This Row],[Amplitute AXIAL stress  (MPa)]]*Tabella2[[#This Row],[Area (mm^2)]],"Null"), "")</f>
        <v>13119.290921390975</v>
      </c>
      <c r="AL12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19678.936382086464</v>
      </c>
      <c r="AP12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2" s="4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928</v>
      </c>
    </row>
    <row r="13" spans="1:43" ht="20.100000000000001" customHeight="1" x14ac:dyDescent="0.25">
      <c r="O13" s="26"/>
      <c r="P13" s="26"/>
      <c r="Q13" s="23"/>
      <c r="AG13" s="74"/>
      <c r="AP13" s="40"/>
    </row>
    <row r="14" spans="1:43" customFormat="1" ht="20.100000000000001" customHeight="1" x14ac:dyDescent="0.25">
      <c r="H14" s="79"/>
      <c r="Q14" s="84"/>
      <c r="Z14" s="84"/>
      <c r="AH14" s="79"/>
      <c r="AO14" s="84"/>
      <c r="AP14" s="87"/>
      <c r="AQ14" s="87"/>
    </row>
    <row r="15" spans="1:43" customFormat="1" ht="20.100000000000001" customHeight="1" x14ac:dyDescent="0.25">
      <c r="H15" s="79"/>
      <c r="Q15" s="84"/>
      <c r="Z15" s="84"/>
      <c r="AH15" s="79"/>
      <c r="AO15" s="84"/>
      <c r="AP15" s="87"/>
      <c r="AQ15" s="87"/>
    </row>
    <row r="16" spans="1:43" customFormat="1" ht="20.100000000000001" customHeight="1" x14ac:dyDescent="0.25">
      <c r="H16" s="79"/>
      <c r="Q16" s="84"/>
      <c r="Z16" s="84"/>
      <c r="AH16" s="79"/>
      <c r="AO16" s="84"/>
      <c r="AP16" s="87"/>
      <c r="AQ16" s="87"/>
    </row>
    <row r="17" spans="8:43" customFormat="1" ht="20.100000000000001" customHeight="1" x14ac:dyDescent="0.25">
      <c r="H17" s="79"/>
      <c r="Q17" s="84"/>
      <c r="Z17" s="84"/>
      <c r="AH17" s="79"/>
      <c r="AO17" s="84"/>
      <c r="AP17" s="87"/>
      <c r="AQ17" s="87"/>
    </row>
    <row r="18" spans="8:43" customFormat="1" ht="20.100000000000001" customHeight="1" x14ac:dyDescent="0.25">
      <c r="H18" s="79"/>
      <c r="Q18" s="84"/>
      <c r="Z18" s="84"/>
      <c r="AH18" s="79"/>
      <c r="AO18" s="84"/>
      <c r="AP18" s="87"/>
      <c r="AQ18" s="87"/>
    </row>
    <row r="19" spans="8:43" customFormat="1" ht="20.100000000000001" customHeight="1" x14ac:dyDescent="0.25">
      <c r="H19" s="79"/>
      <c r="Q19" s="84"/>
      <c r="Z19" s="84"/>
      <c r="AH19" s="79"/>
      <c r="AO19" s="84"/>
      <c r="AP19" s="87"/>
      <c r="AQ19" s="87"/>
    </row>
    <row r="20" spans="8:43" customFormat="1" ht="20.100000000000001" customHeight="1" x14ac:dyDescent="0.25">
      <c r="H20" s="79"/>
      <c r="Q20" s="84"/>
      <c r="Z20" s="84"/>
      <c r="AH20" s="79"/>
      <c r="AO20" s="84"/>
      <c r="AP20" s="87"/>
      <c r="AQ20" s="87"/>
    </row>
    <row r="21" spans="8:43" customFormat="1" ht="20.100000000000001" customHeight="1" x14ac:dyDescent="0.25">
      <c r="H21" s="79"/>
      <c r="Q21" s="84"/>
      <c r="Z21" s="84"/>
      <c r="AH21" s="79"/>
      <c r="AO21" s="84"/>
      <c r="AP21" s="87"/>
      <c r="AQ21" s="87"/>
    </row>
    <row r="22" spans="8:43" customFormat="1" ht="20.100000000000001" customHeight="1" x14ac:dyDescent="0.25">
      <c r="H22" s="79"/>
      <c r="Q22" s="84"/>
      <c r="Z22" s="84"/>
      <c r="AH22" s="79"/>
      <c r="AO22" s="84"/>
      <c r="AP22" s="87"/>
      <c r="AQ22" s="87"/>
    </row>
    <row r="23" spans="8:43" customFormat="1" ht="20.100000000000001" customHeight="1" x14ac:dyDescent="0.25">
      <c r="H23" s="79"/>
      <c r="Q23" s="84"/>
      <c r="Z23" s="84"/>
      <c r="AH23" s="79"/>
      <c r="AO23" s="84"/>
      <c r="AP23" s="87"/>
      <c r="AQ23" s="87"/>
    </row>
    <row r="24" spans="8:43" customFormat="1" ht="20.100000000000001" customHeight="1" x14ac:dyDescent="0.25">
      <c r="H24" s="79"/>
      <c r="Q24" s="84"/>
      <c r="Z24" s="84"/>
      <c r="AH24" s="79"/>
      <c r="AO24" s="84"/>
      <c r="AP24" s="87"/>
      <c r="AQ24" s="87"/>
    </row>
    <row r="25" spans="8:43" customFormat="1" ht="20.100000000000001" customHeight="1" x14ac:dyDescent="0.25">
      <c r="H25" s="79"/>
      <c r="Q25" s="84"/>
      <c r="Z25" s="84"/>
      <c r="AH25" s="79"/>
      <c r="AO25" s="84"/>
      <c r="AP25" s="87"/>
      <c r="AQ25" s="87"/>
    </row>
    <row r="26" spans="8:43" customFormat="1" ht="20.100000000000001" customHeight="1" x14ac:dyDescent="0.25">
      <c r="H26" s="79"/>
      <c r="Q26" s="84"/>
      <c r="Z26" s="84"/>
      <c r="AH26" s="79"/>
      <c r="AO26" s="84"/>
      <c r="AP26" s="87"/>
      <c r="AQ26" s="87"/>
    </row>
    <row r="27" spans="8:43" customFormat="1" ht="20.100000000000001" customHeight="1" x14ac:dyDescent="0.25">
      <c r="H27" s="79"/>
      <c r="Q27" s="84"/>
      <c r="Z27" s="84"/>
      <c r="AH27" s="79"/>
      <c r="AO27" s="84"/>
      <c r="AP27" s="87"/>
      <c r="AQ27" s="87"/>
    </row>
    <row r="28" spans="8:43" customFormat="1" ht="20.100000000000001" customHeight="1" x14ac:dyDescent="0.25">
      <c r="H28" s="79"/>
      <c r="Q28" s="84"/>
      <c r="Z28" s="84"/>
      <c r="AH28" s="79"/>
      <c r="AO28" s="84"/>
      <c r="AP28" s="87"/>
      <c r="AQ28" s="87"/>
    </row>
    <row r="29" spans="8:43" customFormat="1" ht="20.100000000000001" customHeight="1" x14ac:dyDescent="0.25">
      <c r="H29" s="79"/>
      <c r="Q29" s="84"/>
      <c r="Z29" s="84"/>
      <c r="AH29" s="79"/>
      <c r="AO29" s="84"/>
      <c r="AP29" s="87"/>
      <c r="AQ29" s="87"/>
    </row>
    <row r="30" spans="8:43" customFormat="1" ht="20.100000000000001" customHeight="1" x14ac:dyDescent="0.25">
      <c r="H30" s="79"/>
      <c r="Q30" s="84"/>
      <c r="Z30" s="84"/>
      <c r="AH30" s="79"/>
      <c r="AO30" s="84"/>
      <c r="AP30" s="87"/>
      <c r="AQ30" s="87"/>
    </row>
    <row r="31" spans="8:43" customFormat="1" ht="20.100000000000001" customHeight="1" x14ac:dyDescent="0.25">
      <c r="H31" s="79"/>
      <c r="Q31" s="84"/>
      <c r="Z31" s="84"/>
      <c r="AH31" s="79"/>
      <c r="AO31" s="84"/>
      <c r="AP31" s="87"/>
      <c r="AQ31" s="87"/>
    </row>
    <row r="32" spans="8:43" customFormat="1" ht="20.100000000000001" customHeight="1" x14ac:dyDescent="0.25">
      <c r="H32" s="79"/>
      <c r="Q32" s="84"/>
      <c r="Z32" s="84"/>
      <c r="AH32" s="79"/>
      <c r="AO32" s="84"/>
      <c r="AP32" s="87"/>
      <c r="AQ32" s="87"/>
    </row>
    <row r="33" spans="8:43" customFormat="1" ht="20.100000000000001" customHeight="1" x14ac:dyDescent="0.25">
      <c r="H33" s="79"/>
      <c r="Q33" s="84"/>
      <c r="Z33" s="84"/>
      <c r="AH33" s="79"/>
      <c r="AO33" s="84"/>
      <c r="AP33" s="87"/>
      <c r="AQ33" s="87"/>
    </row>
    <row r="34" spans="8:43" customFormat="1" ht="20.100000000000001" customHeight="1" x14ac:dyDescent="0.25">
      <c r="H34" s="79"/>
      <c r="Q34" s="84"/>
      <c r="Z34" s="84"/>
      <c r="AH34" s="79"/>
      <c r="AO34" s="84"/>
      <c r="AP34" s="87"/>
      <c r="AQ34" s="87"/>
    </row>
    <row r="35" spans="8:43" customFormat="1" ht="20.100000000000001" customHeight="1" x14ac:dyDescent="0.25">
      <c r="H35" s="79"/>
      <c r="Q35" s="84"/>
      <c r="Z35" s="84"/>
      <c r="AH35" s="79"/>
      <c r="AO35" s="84"/>
      <c r="AP35" s="87"/>
      <c r="AQ35" s="87"/>
    </row>
    <row r="36" spans="8:43" customFormat="1" ht="20.100000000000001" customHeight="1" x14ac:dyDescent="0.25">
      <c r="H36" s="79"/>
      <c r="Q36" s="84"/>
      <c r="Z36" s="84"/>
      <c r="AH36" s="79"/>
      <c r="AO36" s="84"/>
      <c r="AP36" s="87"/>
      <c r="AQ36" s="87"/>
    </row>
    <row r="37" spans="8:43" customFormat="1" ht="20.100000000000001" customHeight="1" x14ac:dyDescent="0.25">
      <c r="H37" s="79"/>
      <c r="Q37" s="84"/>
      <c r="Z37" s="84"/>
      <c r="AH37" s="79"/>
      <c r="AO37" s="84"/>
      <c r="AP37" s="87"/>
      <c r="AQ37" s="87"/>
    </row>
    <row r="38" spans="8:43" customFormat="1" ht="20.100000000000001" customHeight="1" x14ac:dyDescent="0.25">
      <c r="H38" s="79"/>
      <c r="Q38" s="84"/>
      <c r="Z38" s="84"/>
      <c r="AH38" s="79"/>
      <c r="AO38" s="84"/>
      <c r="AP38" s="87"/>
      <c r="AQ38" s="87"/>
    </row>
    <row r="39" spans="8:43" customFormat="1" ht="20.100000000000001" customHeight="1" x14ac:dyDescent="0.25">
      <c r="H39" s="79"/>
      <c r="Q39" s="84"/>
      <c r="Z39" s="84"/>
      <c r="AH39" s="79"/>
      <c r="AO39" s="84"/>
      <c r="AP39" s="87"/>
      <c r="AQ39" s="87"/>
    </row>
    <row r="40" spans="8:43" customFormat="1" ht="20.100000000000001" customHeight="1" x14ac:dyDescent="0.25">
      <c r="H40" s="79"/>
      <c r="Q40" s="84"/>
      <c r="Z40" s="84"/>
      <c r="AH40" s="79"/>
      <c r="AO40" s="84"/>
      <c r="AP40" s="87"/>
      <c r="AQ40" s="87"/>
    </row>
    <row r="41" spans="8:43" customFormat="1" ht="20.100000000000001" customHeight="1" x14ac:dyDescent="0.25">
      <c r="H41" s="79"/>
      <c r="Q41" s="84"/>
      <c r="Z41" s="84"/>
      <c r="AH41" s="79"/>
      <c r="AO41" s="84"/>
      <c r="AP41" s="87"/>
      <c r="AQ41" s="87"/>
    </row>
    <row r="42" spans="8:43" customFormat="1" ht="20.100000000000001" customHeight="1" x14ac:dyDescent="0.25">
      <c r="H42" s="79"/>
      <c r="Q42" s="84"/>
      <c r="Z42" s="84"/>
      <c r="AH42" s="79"/>
      <c r="AO42" s="84"/>
      <c r="AP42" s="87"/>
      <c r="AQ42" s="87"/>
    </row>
    <row r="43" spans="8:43" customFormat="1" ht="20.100000000000001" customHeight="1" x14ac:dyDescent="0.25">
      <c r="H43" s="79"/>
      <c r="Q43" s="84"/>
      <c r="Z43" s="84"/>
      <c r="AH43" s="79"/>
      <c r="AO43" s="84"/>
      <c r="AP43" s="87"/>
      <c r="AQ43" s="87"/>
    </row>
    <row r="44" spans="8:43" customFormat="1" ht="20.100000000000001" customHeight="1" x14ac:dyDescent="0.25">
      <c r="H44" s="79"/>
      <c r="Q44" s="84"/>
      <c r="Z44" s="84"/>
      <c r="AH44" s="79"/>
      <c r="AO44" s="84"/>
      <c r="AP44" s="87"/>
      <c r="AQ44" s="87"/>
    </row>
    <row r="45" spans="8:43" customFormat="1" ht="20.100000000000001" customHeight="1" x14ac:dyDescent="0.25">
      <c r="H45" s="79"/>
      <c r="Q45" s="84"/>
      <c r="Z45" s="84"/>
      <c r="AH45" s="79"/>
      <c r="AO45" s="84"/>
      <c r="AP45" s="87"/>
      <c r="AQ45" s="87"/>
    </row>
    <row r="46" spans="8:43" customFormat="1" ht="20.100000000000001" customHeight="1" x14ac:dyDescent="0.25">
      <c r="H46" s="79"/>
      <c r="Q46" s="84"/>
      <c r="Z46" s="84"/>
      <c r="AH46" s="79"/>
      <c r="AO46" s="84"/>
      <c r="AP46" s="87"/>
      <c r="AQ46" s="87"/>
    </row>
    <row r="47" spans="8:43" customFormat="1" ht="20.100000000000001" customHeight="1" x14ac:dyDescent="0.25">
      <c r="H47" s="79"/>
      <c r="Q47" s="84"/>
      <c r="Z47" s="84"/>
      <c r="AH47" s="79"/>
      <c r="AO47" s="84"/>
      <c r="AP47" s="87"/>
      <c r="AQ47" s="87"/>
    </row>
    <row r="48" spans="8:43" customFormat="1" ht="20.100000000000001" customHeight="1" x14ac:dyDescent="0.25">
      <c r="H48" s="79"/>
      <c r="Q48" s="84"/>
      <c r="Z48" s="84"/>
      <c r="AH48" s="79"/>
      <c r="AO48" s="84"/>
      <c r="AP48" s="87"/>
      <c r="AQ48" s="87"/>
    </row>
    <row r="49" spans="8:43" customFormat="1" ht="20.100000000000001" customHeight="1" x14ac:dyDescent="0.25">
      <c r="H49" s="79"/>
      <c r="Q49" s="84"/>
      <c r="Z49" s="84"/>
      <c r="AH49" s="79"/>
      <c r="AO49" s="84"/>
      <c r="AP49" s="87"/>
      <c r="AQ49" s="87"/>
    </row>
    <row r="50" spans="8:43" customFormat="1" ht="20.100000000000001" customHeight="1" x14ac:dyDescent="0.25">
      <c r="H50" s="79"/>
      <c r="Q50" s="84"/>
      <c r="Z50" s="84"/>
      <c r="AH50" s="79"/>
      <c r="AO50" s="84"/>
      <c r="AP50" s="87"/>
      <c r="AQ50" s="87"/>
    </row>
    <row r="51" spans="8:43" customFormat="1" ht="20.100000000000001" customHeight="1" x14ac:dyDescent="0.25">
      <c r="H51" s="79"/>
      <c r="Q51" s="84"/>
      <c r="Z51" s="84"/>
      <c r="AH51" s="79"/>
      <c r="AO51" s="84"/>
      <c r="AP51" s="87"/>
      <c r="AQ51" s="87"/>
    </row>
    <row r="52" spans="8:43" customFormat="1" ht="20.100000000000001" customHeight="1" x14ac:dyDescent="0.25">
      <c r="H52" s="79"/>
      <c r="Q52" s="84"/>
      <c r="Z52" s="84"/>
      <c r="AH52" s="79"/>
      <c r="AO52" s="84"/>
      <c r="AP52" s="87"/>
      <c r="AQ52" s="87"/>
    </row>
    <row r="53" spans="8:43" customFormat="1" ht="20.100000000000001" customHeight="1" x14ac:dyDescent="0.25">
      <c r="H53" s="79"/>
      <c r="Q53" s="84"/>
      <c r="Z53" s="84"/>
      <c r="AH53" s="79"/>
      <c r="AO53" s="84"/>
      <c r="AP53" s="87"/>
      <c r="AQ53" s="87"/>
    </row>
    <row r="54" spans="8:43" customFormat="1" ht="20.100000000000001" customHeight="1" x14ac:dyDescent="0.25">
      <c r="H54" s="79"/>
      <c r="Q54" s="84"/>
      <c r="Z54" s="84"/>
      <c r="AH54" s="79"/>
      <c r="AO54" s="84"/>
      <c r="AP54" s="87"/>
      <c r="AQ54" s="87"/>
    </row>
    <row r="55" spans="8:43" customFormat="1" ht="20.100000000000001" customHeight="1" x14ac:dyDescent="0.25">
      <c r="H55" s="79"/>
      <c r="Q55" s="84"/>
      <c r="Z55" s="84"/>
      <c r="AH55" s="79"/>
      <c r="AO55" s="84"/>
      <c r="AP55" s="87"/>
      <c r="AQ55" s="87"/>
    </row>
    <row r="56" spans="8:43" customFormat="1" ht="19.5" customHeight="1" x14ac:dyDescent="0.25">
      <c r="H56" s="79"/>
      <c r="Q56" s="84"/>
      <c r="Z56" s="84"/>
      <c r="AH56" s="79"/>
      <c r="AO56" s="84"/>
      <c r="AP56" s="87"/>
      <c r="AQ56" s="87"/>
    </row>
    <row r="57" spans="8:43" customFormat="1" ht="20.100000000000001" customHeight="1" x14ac:dyDescent="0.25">
      <c r="H57" s="79"/>
      <c r="Q57" s="84"/>
      <c r="Z57" s="84"/>
      <c r="AH57" s="79"/>
      <c r="AO57" s="84"/>
      <c r="AP57" s="87"/>
      <c r="AQ57" s="87"/>
    </row>
    <row r="58" spans="8:43" customFormat="1" ht="20.100000000000001" customHeight="1" x14ac:dyDescent="0.25">
      <c r="H58" s="79"/>
      <c r="Q58" s="84"/>
      <c r="Z58" s="84"/>
      <c r="AH58" s="79"/>
      <c r="AO58" s="84"/>
      <c r="AP58" s="87"/>
      <c r="AQ58" s="87"/>
    </row>
    <row r="59" spans="8:43" customFormat="1" ht="20.100000000000001" customHeight="1" x14ac:dyDescent="0.25">
      <c r="H59" s="79"/>
      <c r="Q59" s="84"/>
      <c r="Z59" s="84"/>
      <c r="AH59" s="79"/>
      <c r="AO59" s="84"/>
      <c r="AP59" s="87"/>
      <c r="AQ59" s="87"/>
    </row>
    <row r="60" spans="8:43" customFormat="1" ht="20.100000000000001" customHeight="1" x14ac:dyDescent="0.25">
      <c r="H60" s="79"/>
      <c r="Q60" s="84"/>
      <c r="Z60" s="84"/>
      <c r="AH60" s="79"/>
      <c r="AO60" s="84"/>
      <c r="AP60" s="87"/>
      <c r="AQ60" s="87"/>
    </row>
    <row r="61" spans="8:43" customFormat="1" ht="20.100000000000001" customHeight="1" x14ac:dyDescent="0.25">
      <c r="H61" s="79"/>
      <c r="Q61" s="84"/>
      <c r="Z61" s="84"/>
      <c r="AH61" s="79"/>
      <c r="AO61" s="84"/>
      <c r="AP61" s="87"/>
      <c r="AQ61" s="87"/>
    </row>
    <row r="62" spans="8:43" customFormat="1" x14ac:dyDescent="0.25">
      <c r="H62" s="79"/>
      <c r="Q62" s="84"/>
      <c r="Z62" s="84"/>
      <c r="AH62" s="79"/>
      <c r="AO62" s="84"/>
      <c r="AP62" s="87"/>
      <c r="AQ62" s="87"/>
    </row>
    <row r="63" spans="8:43" customFormat="1" x14ac:dyDescent="0.25">
      <c r="H63" s="79"/>
      <c r="Q63" s="84"/>
      <c r="Z63" s="84"/>
      <c r="AH63" s="79"/>
      <c r="AO63" s="84"/>
      <c r="AP63" s="87"/>
      <c r="AQ63" s="87"/>
    </row>
    <row r="64" spans="8:43" customFormat="1" x14ac:dyDescent="0.25">
      <c r="H64" s="79"/>
      <c r="Q64" s="84"/>
      <c r="Z64" s="84"/>
      <c r="AH64" s="79"/>
      <c r="AO64" s="84"/>
      <c r="AP64" s="87"/>
      <c r="AQ64" s="87"/>
    </row>
    <row r="65" spans="8:43" customFormat="1" x14ac:dyDescent="0.25">
      <c r="H65" s="79"/>
      <c r="Q65" s="84"/>
      <c r="Z65" s="84"/>
      <c r="AH65" s="79"/>
      <c r="AO65" s="84"/>
      <c r="AP65" s="87"/>
      <c r="AQ65" s="87"/>
    </row>
    <row r="66" spans="8:43" customFormat="1" x14ac:dyDescent="0.25">
      <c r="H66" s="79"/>
      <c r="Q66" s="84"/>
      <c r="Z66" s="84"/>
      <c r="AH66" s="79"/>
      <c r="AO66" s="84"/>
      <c r="AP66" s="87"/>
      <c r="AQ66" s="87"/>
    </row>
    <row r="67" spans="8:43" customFormat="1" x14ac:dyDescent="0.25">
      <c r="H67" s="79"/>
      <c r="Q67" s="84"/>
      <c r="Z67" s="84"/>
      <c r="AH67" s="79"/>
      <c r="AO67" s="84"/>
      <c r="AP67" s="87"/>
      <c r="AQ67" s="87"/>
    </row>
    <row r="68" spans="8:43" customFormat="1" ht="13.5" customHeight="1" x14ac:dyDescent="0.25">
      <c r="H68" s="79"/>
      <c r="Q68" s="84"/>
      <c r="Z68" s="84"/>
      <c r="AH68" s="79"/>
      <c r="AO68" s="84"/>
      <c r="AP68" s="87"/>
      <c r="AQ68" s="87"/>
    </row>
    <row r="69" spans="8:43" customFormat="1" x14ac:dyDescent="0.25">
      <c r="H69" s="79"/>
      <c r="Q69" s="84"/>
      <c r="Z69" s="84"/>
      <c r="AH69" s="79"/>
      <c r="AO69" s="84"/>
      <c r="AP69" s="87"/>
      <c r="AQ69" s="87"/>
    </row>
    <row r="70" spans="8:43" customFormat="1" x14ac:dyDescent="0.25">
      <c r="H70" s="79"/>
      <c r="Q70" s="84"/>
      <c r="Z70" s="84"/>
      <c r="AH70" s="79"/>
      <c r="AO70" s="84"/>
      <c r="AP70" s="87"/>
      <c r="AQ70" s="87"/>
    </row>
    <row r="71" spans="8:43" customFormat="1" x14ac:dyDescent="0.25">
      <c r="H71" s="79"/>
      <c r="Q71" s="84"/>
      <c r="Z71" s="84"/>
      <c r="AH71" s="79"/>
      <c r="AO71" s="84"/>
      <c r="AP71" s="87"/>
      <c r="AQ71" s="87"/>
    </row>
    <row r="72" spans="8:43" customFormat="1" x14ac:dyDescent="0.25">
      <c r="H72" s="79"/>
      <c r="Q72" s="84"/>
      <c r="Z72" s="84"/>
      <c r="AH72" s="79"/>
      <c r="AO72" s="84"/>
      <c r="AP72" s="87"/>
      <c r="AQ72" s="87"/>
    </row>
    <row r="73" spans="8:43" customFormat="1" x14ac:dyDescent="0.25">
      <c r="H73" s="79"/>
      <c r="Q73" s="84"/>
      <c r="Z73" s="84"/>
      <c r="AH73" s="79"/>
      <c r="AO73" s="84"/>
      <c r="AP73" s="87"/>
      <c r="AQ73" s="87"/>
    </row>
    <row r="74" spans="8:43" customFormat="1" x14ac:dyDescent="0.25">
      <c r="H74" s="79"/>
      <c r="Q74" s="84"/>
      <c r="Z74" s="84"/>
      <c r="AH74" s="79"/>
      <c r="AO74" s="84"/>
      <c r="AP74" s="87"/>
      <c r="AQ74" s="87"/>
    </row>
    <row r="75" spans="8:43" customFormat="1" x14ac:dyDescent="0.25">
      <c r="H75" s="79"/>
      <c r="Q75" s="84"/>
      <c r="Z75" s="84"/>
      <c r="AH75" s="79"/>
      <c r="AO75" s="84"/>
      <c r="AP75" s="87"/>
      <c r="AQ75" s="87"/>
    </row>
    <row r="76" spans="8:43" customFormat="1" x14ac:dyDescent="0.25">
      <c r="H76" s="79"/>
      <c r="Q76" s="84"/>
      <c r="Z76" s="84"/>
      <c r="AH76" s="79"/>
      <c r="AO76" s="84"/>
      <c r="AP76" s="87"/>
      <c r="AQ76" s="87"/>
    </row>
    <row r="77" spans="8:43" customFormat="1" x14ac:dyDescent="0.25">
      <c r="H77" s="79"/>
      <c r="Q77" s="84"/>
      <c r="Z77" s="84"/>
      <c r="AH77" s="79"/>
      <c r="AO77" s="84"/>
      <c r="AP77" s="87"/>
      <c r="AQ77" s="87"/>
    </row>
    <row r="78" spans="8:43" customFormat="1" x14ac:dyDescent="0.25">
      <c r="H78" s="79"/>
      <c r="Q78" s="84"/>
      <c r="Z78" s="84"/>
      <c r="AH78" s="79"/>
      <c r="AO78" s="84"/>
      <c r="AP78" s="87"/>
      <c r="AQ78" s="87"/>
    </row>
    <row r="79" spans="8:43" customFormat="1" x14ac:dyDescent="0.25">
      <c r="H79" s="79"/>
      <c r="Q79" s="84"/>
      <c r="Z79" s="84"/>
      <c r="AH79" s="79"/>
      <c r="AO79" s="84"/>
      <c r="AP79" s="87"/>
      <c r="AQ79" s="87"/>
    </row>
    <row r="80" spans="8:43" customFormat="1" x14ac:dyDescent="0.25">
      <c r="H80" s="79"/>
      <c r="Q80" s="84"/>
      <c r="Z80" s="84"/>
      <c r="AH80" s="79"/>
      <c r="AO80" s="84"/>
      <c r="AP80" s="87"/>
      <c r="AQ80" s="87"/>
    </row>
    <row r="81" spans="8:43" customFormat="1" x14ac:dyDescent="0.25">
      <c r="H81" s="79"/>
      <c r="Q81" s="84"/>
      <c r="Z81" s="84"/>
      <c r="AH81" s="79"/>
      <c r="AO81" s="84"/>
      <c r="AP81" s="87"/>
      <c r="AQ81" s="87"/>
    </row>
    <row r="82" spans="8:43" customFormat="1" x14ac:dyDescent="0.25">
      <c r="H82" s="79"/>
      <c r="Q82" s="84"/>
      <c r="Z82" s="84"/>
      <c r="AH82" s="79"/>
      <c r="AO82" s="84"/>
      <c r="AP82" s="87"/>
      <c r="AQ82" s="87"/>
    </row>
    <row r="83" spans="8:43" customFormat="1" x14ac:dyDescent="0.25">
      <c r="H83" s="79"/>
      <c r="Q83" s="84"/>
      <c r="Z83" s="84"/>
      <c r="AH83" s="79"/>
      <c r="AO83" s="84"/>
      <c r="AP83" s="87"/>
      <c r="AQ83" s="87"/>
    </row>
    <row r="84" spans="8:43" customFormat="1" x14ac:dyDescent="0.25">
      <c r="H84" s="79"/>
      <c r="Q84" s="84"/>
      <c r="Z84" s="84"/>
      <c r="AH84" s="79"/>
      <c r="AO84" s="84"/>
      <c r="AP84" s="87"/>
      <c r="AQ84" s="87"/>
    </row>
    <row r="85" spans="8:43" customFormat="1" x14ac:dyDescent="0.25">
      <c r="H85" s="79"/>
      <c r="Q85" s="84"/>
      <c r="Z85" s="84"/>
      <c r="AH85" s="79"/>
      <c r="AO85" s="84"/>
      <c r="AP85" s="87"/>
      <c r="AQ85" s="87"/>
    </row>
    <row r="86" spans="8:43" customFormat="1" x14ac:dyDescent="0.25">
      <c r="H86" s="79"/>
      <c r="Q86" s="84"/>
      <c r="Z86" s="84"/>
      <c r="AH86" s="79"/>
      <c r="AO86" s="84"/>
      <c r="AP86" s="87"/>
      <c r="AQ86" s="87"/>
    </row>
    <row r="87" spans="8:43" customFormat="1" ht="17.45" customHeight="1" x14ac:dyDescent="0.25">
      <c r="H87" s="79"/>
      <c r="Q87" s="84"/>
      <c r="Z87" s="84"/>
      <c r="AH87" s="79"/>
      <c r="AO87" s="84"/>
      <c r="AP87" s="87"/>
      <c r="AQ87" s="87"/>
    </row>
    <row r="88" spans="8:43" customFormat="1" x14ac:dyDescent="0.25">
      <c r="H88" s="79"/>
      <c r="Q88" s="84"/>
      <c r="Z88" s="84"/>
      <c r="AH88" s="79"/>
      <c r="AO88" s="84"/>
      <c r="AP88" s="87"/>
      <c r="AQ88" s="87"/>
    </row>
    <row r="89" spans="8:43" customFormat="1" x14ac:dyDescent="0.25">
      <c r="H89" s="79"/>
      <c r="Q89" s="84"/>
      <c r="Z89" s="84"/>
      <c r="AH89" s="79"/>
      <c r="AO89" s="84"/>
      <c r="AP89" s="87"/>
      <c r="AQ89" s="87"/>
    </row>
    <row r="90" spans="8:43" customFormat="1" x14ac:dyDescent="0.25">
      <c r="H90" s="79"/>
      <c r="Q90" s="84"/>
      <c r="Z90" s="84"/>
      <c r="AH90" s="79"/>
      <c r="AO90" s="84"/>
      <c r="AP90" s="87"/>
      <c r="AQ90" s="87"/>
    </row>
    <row r="91" spans="8:43" customFormat="1" x14ac:dyDescent="0.25">
      <c r="H91" s="79"/>
      <c r="Q91" s="84"/>
      <c r="Z91" s="84"/>
      <c r="AH91" s="79"/>
      <c r="AO91" s="84"/>
      <c r="AP91" s="87"/>
      <c r="AQ91" s="87"/>
    </row>
    <row r="92" spans="8:43" customFormat="1" x14ac:dyDescent="0.25">
      <c r="H92" s="79"/>
      <c r="Q92" s="84"/>
      <c r="Z92" s="84"/>
      <c r="AH92" s="79"/>
      <c r="AO92" s="84"/>
      <c r="AP92" s="87"/>
      <c r="AQ92" s="87"/>
    </row>
    <row r="93" spans="8:43" customFormat="1" x14ac:dyDescent="0.25">
      <c r="H93" s="79"/>
      <c r="Q93" s="84"/>
      <c r="Z93" s="84"/>
      <c r="AH93" s="79"/>
      <c r="AO93" s="84"/>
      <c r="AP93" s="87"/>
      <c r="AQ93" s="87"/>
    </row>
    <row r="94" spans="8:43" customFormat="1" x14ac:dyDescent="0.25">
      <c r="H94" s="79"/>
      <c r="Q94" s="84"/>
      <c r="Z94" s="84"/>
      <c r="AH94" s="79"/>
      <c r="AO94" s="84"/>
      <c r="AP94" s="87"/>
      <c r="AQ94" s="87"/>
    </row>
    <row r="95" spans="8:43" customFormat="1" x14ac:dyDescent="0.25">
      <c r="H95" s="79"/>
      <c r="Q95" s="84"/>
      <c r="Z95" s="84"/>
      <c r="AH95" s="79"/>
      <c r="AO95" s="84"/>
      <c r="AP95" s="87"/>
      <c r="AQ95" s="87"/>
    </row>
    <row r="96" spans="8:43" customFormat="1" ht="17.45" customHeight="1" x14ac:dyDescent="0.25">
      <c r="H96" s="79"/>
      <c r="Q96" s="84"/>
      <c r="Z96" s="84"/>
      <c r="AH96" s="79"/>
      <c r="AO96" s="84"/>
      <c r="AP96" s="87"/>
      <c r="AQ96" s="87"/>
    </row>
    <row r="97" spans="8:43" customFormat="1" x14ac:dyDescent="0.25">
      <c r="H97" s="79"/>
      <c r="Q97" s="84"/>
      <c r="Z97" s="84"/>
      <c r="AH97" s="79"/>
      <c r="AO97" s="84"/>
      <c r="AP97" s="87"/>
      <c r="AQ97" s="87"/>
    </row>
    <row r="98" spans="8:43" customFormat="1" x14ac:dyDescent="0.25">
      <c r="H98" s="79"/>
      <c r="Q98" s="84"/>
      <c r="Z98" s="84"/>
      <c r="AH98" s="79"/>
      <c r="AO98" s="84"/>
      <c r="AP98" s="87"/>
      <c r="AQ98" s="87"/>
    </row>
    <row r="99" spans="8:43" customFormat="1" x14ac:dyDescent="0.25">
      <c r="H99" s="79"/>
      <c r="Q99" s="84"/>
      <c r="Z99" s="84"/>
      <c r="AH99" s="79"/>
      <c r="AO99" s="84"/>
      <c r="AP99" s="87"/>
      <c r="AQ99" s="87"/>
    </row>
    <row r="100" spans="8:43" customFormat="1" x14ac:dyDescent="0.25">
      <c r="H100" s="79"/>
      <c r="Q100" s="84"/>
      <c r="Z100" s="84"/>
      <c r="AH100" s="79"/>
      <c r="AO100" s="84"/>
      <c r="AP100" s="87"/>
      <c r="AQ100" s="87"/>
    </row>
    <row r="101" spans="8:43" customFormat="1" x14ac:dyDescent="0.25">
      <c r="H101" s="79"/>
      <c r="Q101" s="84"/>
      <c r="Z101" s="84"/>
      <c r="AH101" s="79"/>
      <c r="AO101" s="84"/>
      <c r="AP101" s="87"/>
      <c r="AQ101" s="87"/>
    </row>
    <row r="102" spans="8:43" customFormat="1" x14ac:dyDescent="0.25">
      <c r="H102" s="79"/>
      <c r="Q102" s="84"/>
      <c r="Z102" s="84"/>
      <c r="AH102" s="79"/>
      <c r="AO102" s="84"/>
      <c r="AP102" s="87"/>
      <c r="AQ102" s="87"/>
    </row>
    <row r="103" spans="8:43" customFormat="1" x14ac:dyDescent="0.25">
      <c r="H103" s="79"/>
      <c r="Q103" s="84"/>
      <c r="Z103" s="84"/>
      <c r="AH103" s="79"/>
      <c r="AO103" s="84"/>
      <c r="AP103" s="87"/>
      <c r="AQ103" s="87"/>
    </row>
    <row r="104" spans="8:43" customFormat="1" x14ac:dyDescent="0.25">
      <c r="H104" s="79"/>
      <c r="Q104" s="84"/>
      <c r="Z104" s="84"/>
      <c r="AH104" s="79"/>
      <c r="AO104" s="84"/>
      <c r="AP104" s="87"/>
      <c r="AQ104" s="87"/>
    </row>
    <row r="105" spans="8:43" customFormat="1" x14ac:dyDescent="0.25">
      <c r="H105" s="79"/>
      <c r="Q105" s="84"/>
      <c r="Z105" s="84"/>
      <c r="AH105" s="79"/>
      <c r="AO105" s="84"/>
      <c r="AP105" s="87"/>
      <c r="AQ105" s="87"/>
    </row>
    <row r="106" spans="8:43" customFormat="1" x14ac:dyDescent="0.25">
      <c r="H106" s="79"/>
      <c r="Q106" s="84"/>
      <c r="Z106" s="84"/>
      <c r="AH106" s="79"/>
      <c r="AO106" s="84"/>
      <c r="AP106" s="87"/>
      <c r="AQ106" s="87"/>
    </row>
    <row r="107" spans="8:43" customFormat="1" x14ac:dyDescent="0.25">
      <c r="H107" s="79"/>
      <c r="Q107" s="84"/>
      <c r="Z107" s="84"/>
      <c r="AH107" s="79"/>
      <c r="AO107" s="84"/>
      <c r="AP107" s="87"/>
      <c r="AQ107" s="87"/>
    </row>
    <row r="108" spans="8:43" customFormat="1" x14ac:dyDescent="0.25">
      <c r="H108" s="79"/>
      <c r="Q108" s="84"/>
      <c r="Z108" s="84"/>
      <c r="AH108" s="79"/>
      <c r="AO108" s="84"/>
      <c r="AP108" s="87"/>
      <c r="AQ108" s="87"/>
    </row>
    <row r="109" spans="8:43" customFormat="1" x14ac:dyDescent="0.25">
      <c r="H109" s="79"/>
      <c r="Q109" s="84"/>
      <c r="Z109" s="84"/>
      <c r="AH109" s="79"/>
      <c r="AO109" s="84"/>
      <c r="AP109" s="87"/>
      <c r="AQ109" s="87"/>
    </row>
    <row r="110" spans="8:43" customFormat="1" x14ac:dyDescent="0.25">
      <c r="H110" s="79"/>
      <c r="Q110" s="84"/>
      <c r="Z110" s="84"/>
      <c r="AH110" s="79"/>
      <c r="AO110" s="84"/>
      <c r="AP110" s="87"/>
      <c r="AQ110" s="87"/>
    </row>
    <row r="111" spans="8:43" customFormat="1" x14ac:dyDescent="0.25">
      <c r="H111" s="79"/>
      <c r="Q111" s="84"/>
      <c r="Z111" s="84"/>
      <c r="AH111" s="79"/>
      <c r="AO111" s="84"/>
      <c r="AP111" s="87"/>
      <c r="AQ111" s="87"/>
    </row>
    <row r="112" spans="8:43" customFormat="1" x14ac:dyDescent="0.25">
      <c r="H112" s="79"/>
      <c r="Q112" s="84"/>
      <c r="Z112" s="84"/>
      <c r="AH112" s="79"/>
      <c r="AO112" s="84"/>
      <c r="AP112" s="87"/>
      <c r="AQ112" s="87"/>
    </row>
    <row r="113" spans="8:43" customFormat="1" x14ac:dyDescent="0.25">
      <c r="H113" s="79"/>
      <c r="Q113" s="84"/>
      <c r="Z113" s="84"/>
      <c r="AH113" s="79"/>
      <c r="AO113" s="84"/>
      <c r="AP113" s="87"/>
      <c r="AQ113" s="87"/>
    </row>
    <row r="114" spans="8:43" customFormat="1" x14ac:dyDescent="0.25">
      <c r="H114" s="79"/>
      <c r="Q114" s="84"/>
      <c r="Z114" s="84"/>
      <c r="AH114" s="79"/>
      <c r="AO114" s="84"/>
      <c r="AP114" s="87"/>
      <c r="AQ114" s="87"/>
    </row>
    <row r="115" spans="8:43" customFormat="1" x14ac:dyDescent="0.25">
      <c r="H115" s="79"/>
      <c r="Q115" s="84"/>
      <c r="Z115" s="84"/>
      <c r="AH115" s="79"/>
      <c r="AO115" s="84"/>
      <c r="AP115" s="87"/>
      <c r="AQ115" s="87"/>
    </row>
    <row r="116" spans="8:43" customFormat="1" x14ac:dyDescent="0.25">
      <c r="H116" s="79"/>
      <c r="Q116" s="84"/>
      <c r="Z116" s="84"/>
      <c r="AH116" s="79"/>
      <c r="AO116" s="84"/>
      <c r="AP116" s="87"/>
      <c r="AQ116" s="87"/>
    </row>
    <row r="117" spans="8:43" customFormat="1" x14ac:dyDescent="0.25">
      <c r="H117" s="79"/>
      <c r="Q117" s="84"/>
      <c r="Z117" s="84"/>
      <c r="AH117" s="79"/>
      <c r="AO117" s="84"/>
      <c r="AP117" s="87"/>
      <c r="AQ117" s="87"/>
    </row>
    <row r="118" spans="8:43" customFormat="1" x14ac:dyDescent="0.25">
      <c r="H118" s="79"/>
      <c r="Q118" s="84"/>
      <c r="Z118" s="84"/>
      <c r="AH118" s="79"/>
      <c r="AO118" s="84"/>
      <c r="AP118" s="87"/>
      <c r="AQ118" s="87"/>
    </row>
    <row r="119" spans="8:43" customFormat="1" x14ac:dyDescent="0.25">
      <c r="H119" s="79"/>
      <c r="Q119" s="84"/>
      <c r="Z119" s="84"/>
      <c r="AH119" s="79"/>
      <c r="AO119" s="84"/>
      <c r="AP119" s="87"/>
      <c r="AQ119" s="87"/>
    </row>
    <row r="120" spans="8:43" customFormat="1" x14ac:dyDescent="0.25">
      <c r="H120" s="79"/>
      <c r="Q120" s="84"/>
      <c r="Z120" s="84"/>
      <c r="AH120" s="79"/>
      <c r="AO120" s="84"/>
      <c r="AP120" s="87"/>
      <c r="AQ120" s="87"/>
    </row>
    <row r="121" spans="8:43" customFormat="1" x14ac:dyDescent="0.25">
      <c r="H121" s="79"/>
      <c r="Q121" s="84"/>
      <c r="Z121" s="84"/>
      <c r="AH121" s="79"/>
      <c r="AO121" s="84"/>
      <c r="AP121" s="87"/>
      <c r="AQ121" s="87"/>
    </row>
    <row r="122" spans="8:43" customFormat="1" x14ac:dyDescent="0.25">
      <c r="H122" s="79"/>
      <c r="Q122" s="84"/>
      <c r="Z122" s="84"/>
      <c r="AH122" s="79"/>
      <c r="AO122" s="84"/>
      <c r="AP122" s="87"/>
      <c r="AQ122" s="87"/>
    </row>
    <row r="123" spans="8:43" customFormat="1" x14ac:dyDescent="0.25">
      <c r="H123" s="79"/>
      <c r="Q123" s="84"/>
      <c r="Z123" s="84"/>
      <c r="AH123" s="79"/>
      <c r="AO123" s="84"/>
      <c r="AP123" s="87"/>
      <c r="AQ123" s="87"/>
    </row>
    <row r="124" spans="8:43" customFormat="1" x14ac:dyDescent="0.25">
      <c r="H124" s="79"/>
      <c r="Q124" s="84"/>
      <c r="Z124" s="84"/>
      <c r="AH124" s="79"/>
      <c r="AO124" s="84"/>
      <c r="AP124" s="87"/>
      <c r="AQ124" s="87"/>
    </row>
    <row r="125" spans="8:43" customFormat="1" x14ac:dyDescent="0.25">
      <c r="H125" s="79"/>
      <c r="Q125" s="84"/>
      <c r="Z125" s="84"/>
      <c r="AH125" s="79"/>
      <c r="AO125" s="84"/>
      <c r="AP125" s="87"/>
      <c r="AQ125" s="87"/>
    </row>
    <row r="126" spans="8:43" customFormat="1" x14ac:dyDescent="0.25">
      <c r="H126" s="79"/>
      <c r="Q126" s="84"/>
      <c r="Z126" s="84"/>
      <c r="AH126" s="79"/>
      <c r="AO126" s="84"/>
      <c r="AP126" s="87"/>
      <c r="AQ126" s="87"/>
    </row>
    <row r="127" spans="8:43" customFormat="1" x14ac:dyDescent="0.25">
      <c r="H127" s="79"/>
      <c r="Q127" s="84"/>
      <c r="Z127" s="84"/>
      <c r="AH127" s="79"/>
      <c r="AO127" s="84"/>
      <c r="AP127" s="87"/>
      <c r="AQ127" s="87"/>
    </row>
    <row r="128" spans="8:43" customFormat="1" x14ac:dyDescent="0.25">
      <c r="H128" s="79"/>
      <c r="Q128" s="84"/>
      <c r="Z128" s="84"/>
      <c r="AH128" s="79"/>
      <c r="AO128" s="84"/>
      <c r="AP128" s="87"/>
      <c r="AQ128" s="87"/>
    </row>
    <row r="129" spans="8:43" customFormat="1" x14ac:dyDescent="0.25">
      <c r="H129" s="79"/>
      <c r="Q129" s="84"/>
      <c r="Z129" s="84"/>
      <c r="AH129" s="79"/>
      <c r="AO129" s="84"/>
      <c r="AP129" s="87"/>
      <c r="AQ129" s="87"/>
    </row>
    <row r="130" spans="8:43" customFormat="1" x14ac:dyDescent="0.25">
      <c r="H130" s="79"/>
      <c r="Q130" s="84"/>
      <c r="Z130" s="84"/>
      <c r="AH130" s="79"/>
      <c r="AO130" s="84"/>
      <c r="AP130" s="87"/>
      <c r="AQ130" s="87"/>
    </row>
    <row r="131" spans="8:43" customFormat="1" x14ac:dyDescent="0.25">
      <c r="H131" s="79"/>
      <c r="Q131" s="84"/>
      <c r="Z131" s="84"/>
      <c r="AH131" s="79"/>
      <c r="AO131" s="84"/>
      <c r="AP131" s="87"/>
      <c r="AQ131" s="87"/>
    </row>
    <row r="132" spans="8:43" customFormat="1" x14ac:dyDescent="0.25">
      <c r="H132" s="79"/>
      <c r="Q132" s="84"/>
      <c r="Z132" s="84"/>
      <c r="AH132" s="79"/>
      <c r="AO132" s="84"/>
      <c r="AP132" s="87"/>
      <c r="AQ132" s="87"/>
    </row>
    <row r="133" spans="8:43" customFormat="1" x14ac:dyDescent="0.25">
      <c r="H133" s="79"/>
      <c r="Q133" s="84"/>
      <c r="Z133" s="84"/>
      <c r="AH133" s="79"/>
      <c r="AO133" s="84"/>
      <c r="AP133" s="87"/>
      <c r="AQ133" s="87"/>
    </row>
    <row r="134" spans="8:43" customFormat="1" x14ac:dyDescent="0.25">
      <c r="H134" s="79"/>
      <c r="Q134" s="84"/>
      <c r="Z134" s="84"/>
      <c r="AH134" s="79"/>
      <c r="AO134" s="84"/>
      <c r="AP134" s="87"/>
      <c r="AQ134" s="87"/>
    </row>
    <row r="135" spans="8:43" customFormat="1" x14ac:dyDescent="0.25">
      <c r="H135" s="79"/>
      <c r="Q135" s="84"/>
      <c r="Z135" s="84"/>
      <c r="AH135" s="79"/>
      <c r="AO135" s="84"/>
      <c r="AP135" s="87"/>
      <c r="AQ135" s="87"/>
    </row>
    <row r="136" spans="8:43" customFormat="1" x14ac:dyDescent="0.25">
      <c r="H136" s="79"/>
      <c r="Q136" s="84"/>
      <c r="Z136" s="84"/>
      <c r="AH136" s="79"/>
      <c r="AO136" s="84"/>
      <c r="AP136" s="87"/>
      <c r="AQ136" s="87"/>
    </row>
    <row r="137" spans="8:43" customFormat="1" x14ac:dyDescent="0.25">
      <c r="H137" s="79"/>
      <c r="Q137" s="84"/>
      <c r="Z137" s="84"/>
      <c r="AH137" s="79"/>
      <c r="AO137" s="84"/>
      <c r="AP137" s="87"/>
      <c r="AQ137" s="87"/>
    </row>
    <row r="138" spans="8:43" customFormat="1" x14ac:dyDescent="0.25">
      <c r="H138" s="79"/>
      <c r="Q138" s="84"/>
      <c r="Z138" s="84"/>
      <c r="AH138" s="79"/>
      <c r="AO138" s="84"/>
      <c r="AP138" s="87"/>
      <c r="AQ138" s="87"/>
    </row>
    <row r="139" spans="8:43" customFormat="1" x14ac:dyDescent="0.25">
      <c r="H139" s="79"/>
      <c r="Q139" s="84"/>
      <c r="Z139" s="84"/>
      <c r="AH139" s="79"/>
      <c r="AO139" s="84"/>
      <c r="AP139" s="87"/>
      <c r="AQ139" s="87"/>
    </row>
    <row r="140" spans="8:43" customFormat="1" x14ac:dyDescent="0.25">
      <c r="H140" s="79"/>
      <c r="Q140" s="84"/>
      <c r="Z140" s="84"/>
      <c r="AH140" s="79"/>
      <c r="AO140" s="84"/>
      <c r="AP140" s="87"/>
      <c r="AQ140" s="87"/>
    </row>
    <row r="141" spans="8:43" customFormat="1" x14ac:dyDescent="0.25">
      <c r="H141" s="79"/>
      <c r="Q141" s="84"/>
      <c r="Z141" s="84"/>
      <c r="AH141" s="79"/>
      <c r="AO141" s="84"/>
      <c r="AP141" s="87"/>
      <c r="AQ141" s="87"/>
    </row>
    <row r="142" spans="8:43" customFormat="1" x14ac:dyDescent="0.25">
      <c r="H142" s="79"/>
      <c r="Q142" s="84"/>
      <c r="Z142" s="84"/>
      <c r="AH142" s="79"/>
      <c r="AO142" s="84"/>
      <c r="AP142" s="87"/>
      <c r="AQ142" s="87"/>
    </row>
    <row r="143" spans="8:43" customFormat="1" x14ac:dyDescent="0.25">
      <c r="H143" s="79"/>
      <c r="Q143" s="84"/>
      <c r="Z143" s="84"/>
      <c r="AH143" s="79"/>
      <c r="AO143" s="84"/>
      <c r="AP143" s="87"/>
      <c r="AQ143" s="87"/>
    </row>
    <row r="144" spans="8:43" customFormat="1" x14ac:dyDescent="0.25">
      <c r="H144" s="79"/>
      <c r="Q144" s="84"/>
      <c r="Z144" s="84"/>
      <c r="AH144" s="79"/>
      <c r="AO144" s="84"/>
      <c r="AP144" s="87"/>
      <c r="AQ144" s="87"/>
    </row>
    <row r="145" spans="8:43" customFormat="1" x14ac:dyDescent="0.25">
      <c r="H145" s="79"/>
      <c r="Q145" s="84"/>
      <c r="Z145" s="84"/>
      <c r="AH145" s="79"/>
      <c r="AO145" s="84"/>
      <c r="AP145" s="87"/>
      <c r="AQ145" s="87"/>
    </row>
    <row r="146" spans="8:43" customFormat="1" x14ac:dyDescent="0.25">
      <c r="H146" s="79"/>
      <c r="Q146" s="84"/>
      <c r="Z146" s="84"/>
      <c r="AH146" s="79"/>
      <c r="AO146" s="84"/>
      <c r="AP146" s="87"/>
      <c r="AQ146" s="87"/>
    </row>
    <row r="147" spans="8:43" x14ac:dyDescent="0.25">
      <c r="O147" s="26"/>
      <c r="P147" s="26"/>
      <c r="AG147" s="73"/>
    </row>
    <row r="148" spans="8:43" x14ac:dyDescent="0.25">
      <c r="O148" s="26"/>
      <c r="P148" s="26"/>
      <c r="AG148" s="73"/>
    </row>
    <row r="149" spans="8:43" ht="13.15" customHeight="1" x14ac:dyDescent="0.25">
      <c r="O149" s="26"/>
      <c r="P149" s="26"/>
      <c r="AG149" s="73"/>
    </row>
    <row r="150" spans="8:43" x14ac:dyDescent="0.25">
      <c r="O150" s="26"/>
      <c r="P150" s="26"/>
      <c r="AG150" s="73"/>
    </row>
    <row r="151" spans="8:43" x14ac:dyDescent="0.25">
      <c r="O151" s="26"/>
      <c r="P151" s="26"/>
      <c r="AG151" s="73"/>
    </row>
    <row r="152" spans="8:43" x14ac:dyDescent="0.25">
      <c r="O152" s="26"/>
      <c r="P152" s="26"/>
      <c r="AG152" s="73"/>
    </row>
    <row r="153" spans="8:43" x14ac:dyDescent="0.25">
      <c r="O153" s="26"/>
      <c r="P153" s="26"/>
      <c r="AG153" s="73"/>
    </row>
    <row r="154" spans="8:43" x14ac:dyDescent="0.25">
      <c r="O154" s="26"/>
      <c r="P154" s="26"/>
      <c r="AG154" s="73"/>
    </row>
    <row r="155" spans="8:43" x14ac:dyDescent="0.25">
      <c r="O155" s="26"/>
      <c r="P155" s="26"/>
      <c r="AG155" s="73"/>
    </row>
    <row r="156" spans="8:43" x14ac:dyDescent="0.25">
      <c r="O156" s="26"/>
      <c r="P156" s="26"/>
      <c r="AG156" s="73"/>
    </row>
    <row r="157" spans="8:43" x14ac:dyDescent="0.25">
      <c r="O157" s="26"/>
      <c r="P157" s="26"/>
      <c r="AG157" s="73"/>
    </row>
    <row r="158" spans="8:43" ht="13.9" customHeight="1" x14ac:dyDescent="0.25">
      <c r="O158" s="26"/>
      <c r="P158" s="26"/>
      <c r="AG158" s="73"/>
    </row>
    <row r="159" spans="8:43" x14ac:dyDescent="0.25">
      <c r="O159" s="26"/>
      <c r="P159" s="26"/>
      <c r="AG159" s="73"/>
    </row>
    <row r="160" spans="8:43" x14ac:dyDescent="0.25">
      <c r="O160" s="26"/>
      <c r="P160" s="26"/>
      <c r="AG160" s="73"/>
    </row>
    <row r="161" spans="15:33" x14ac:dyDescent="0.25">
      <c r="O161" s="26"/>
      <c r="P161" s="26"/>
      <c r="AG161" s="73"/>
    </row>
    <row r="162" spans="15:33" x14ac:dyDescent="0.25">
      <c r="O162" s="26"/>
      <c r="P162" s="26"/>
      <c r="AG162" s="73"/>
    </row>
    <row r="163" spans="15:33" x14ac:dyDescent="0.25">
      <c r="O163" s="26"/>
      <c r="P163" s="26"/>
      <c r="AG163" s="73"/>
    </row>
    <row r="164" spans="15:33" x14ac:dyDescent="0.25">
      <c r="O164" s="26"/>
      <c r="P164" s="26"/>
      <c r="AG164" s="73"/>
    </row>
    <row r="165" spans="15:33" x14ac:dyDescent="0.25">
      <c r="O165" s="26"/>
      <c r="P165" s="26"/>
      <c r="AG165" s="73"/>
    </row>
    <row r="166" spans="15:33" x14ac:dyDescent="0.25">
      <c r="O166" s="26"/>
      <c r="P166" s="26"/>
      <c r="AG166" s="73"/>
    </row>
    <row r="167" spans="15:33" x14ac:dyDescent="0.25">
      <c r="O167" s="26"/>
      <c r="P167" s="26"/>
      <c r="AG167" s="73"/>
    </row>
    <row r="168" spans="15:33" x14ac:dyDescent="0.25">
      <c r="O168" s="26"/>
      <c r="P168" s="26"/>
      <c r="AG168" s="73"/>
    </row>
    <row r="169" spans="15:33" x14ac:dyDescent="0.25">
      <c r="O169" s="26"/>
      <c r="P169" s="26"/>
      <c r="AG169" s="73"/>
    </row>
    <row r="170" spans="15:33" x14ac:dyDescent="0.25">
      <c r="O170" s="26"/>
      <c r="P170" s="26"/>
      <c r="AG170" s="73"/>
    </row>
    <row r="171" spans="15:33" x14ac:dyDescent="0.25">
      <c r="O171" s="26"/>
      <c r="P171" s="26"/>
      <c r="AG171" s="73"/>
    </row>
    <row r="172" spans="15:33" x14ac:dyDescent="0.25">
      <c r="O172" s="26"/>
      <c r="P172" s="26"/>
      <c r="AG172" s="73"/>
    </row>
    <row r="173" spans="15:33" x14ac:dyDescent="0.25">
      <c r="O173" s="26"/>
      <c r="P173" s="26"/>
      <c r="AG173" s="73"/>
    </row>
    <row r="174" spans="15:33" x14ac:dyDescent="0.25">
      <c r="O174" s="26"/>
      <c r="P174" s="26"/>
      <c r="AG174" s="73"/>
    </row>
    <row r="175" spans="15:33" x14ac:dyDescent="0.25">
      <c r="O175" s="26"/>
      <c r="P175" s="26"/>
      <c r="AG175" s="73"/>
    </row>
    <row r="176" spans="15:33" x14ac:dyDescent="0.25">
      <c r="O176" s="26"/>
      <c r="P176" s="26"/>
      <c r="AG176" s="73"/>
    </row>
    <row r="177" spans="15:33" x14ac:dyDescent="0.25">
      <c r="O177" s="26"/>
      <c r="P177" s="26"/>
      <c r="AG177" s="73"/>
    </row>
    <row r="178" spans="15:33" x14ac:dyDescent="0.25">
      <c r="O178" s="26"/>
      <c r="P178" s="26"/>
      <c r="AG178" s="73"/>
    </row>
    <row r="179" spans="15:33" x14ac:dyDescent="0.25">
      <c r="O179" s="26"/>
      <c r="P179" s="26"/>
      <c r="AG179" s="73"/>
    </row>
    <row r="180" spans="15:33" x14ac:dyDescent="0.25">
      <c r="O180" s="26"/>
      <c r="P180" s="26"/>
      <c r="AG180" s="73"/>
    </row>
    <row r="181" spans="15:33" x14ac:dyDescent="0.25">
      <c r="O181" s="26"/>
      <c r="P181" s="26"/>
      <c r="AG181" s="73"/>
    </row>
    <row r="182" spans="15:33" x14ac:dyDescent="0.25">
      <c r="O182" s="26"/>
      <c r="P182" s="26"/>
      <c r="AG182" s="73"/>
    </row>
    <row r="183" spans="15:33" x14ac:dyDescent="0.25">
      <c r="O183" s="26"/>
      <c r="P183" s="26"/>
      <c r="AG183" s="73"/>
    </row>
    <row r="184" spans="15:33" x14ac:dyDescent="0.25">
      <c r="O184" s="26"/>
      <c r="P184" s="26"/>
      <c r="AG184" s="73"/>
    </row>
    <row r="185" spans="15:33" x14ac:dyDescent="0.25">
      <c r="O185" s="26"/>
      <c r="P185" s="26"/>
      <c r="AG185" s="73"/>
    </row>
    <row r="186" spans="15:33" x14ac:dyDescent="0.25">
      <c r="O186" s="26"/>
      <c r="P186" s="26"/>
      <c r="AG186" s="73"/>
    </row>
    <row r="187" spans="15:33" x14ac:dyDescent="0.25">
      <c r="O187" s="26"/>
      <c r="P187" s="26"/>
      <c r="AG187" s="73"/>
    </row>
    <row r="188" spans="15:33" x14ac:dyDescent="0.25">
      <c r="O188" s="26"/>
      <c r="P188" s="26"/>
      <c r="AG188" s="73"/>
    </row>
    <row r="189" spans="15:33" x14ac:dyDescent="0.25">
      <c r="O189" s="26"/>
      <c r="P189" s="26"/>
      <c r="AG189" s="73"/>
    </row>
    <row r="190" spans="15:33" x14ac:dyDescent="0.25">
      <c r="O190" s="26"/>
      <c r="P190" s="26"/>
      <c r="AG190" s="73"/>
    </row>
    <row r="191" spans="15:33" x14ac:dyDescent="0.25">
      <c r="O191" s="26"/>
      <c r="P191" s="26"/>
      <c r="AG191" s="73"/>
    </row>
    <row r="192" spans="15:33" x14ac:dyDescent="0.25">
      <c r="O192" s="26"/>
      <c r="P192" s="26"/>
      <c r="AG192" s="73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2026-10-01T10:55:23Z</dcterms:modified>
</cp:coreProperties>
</file>