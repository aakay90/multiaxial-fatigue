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Simula\Desktop\DATA_SET\"/>
    </mc:Choice>
  </mc:AlternateContent>
  <xr:revisionPtr revIDLastSave="0" documentId="13_ncr:1_{BB6C2BDC-9E54-4D5E-B338-7A4DCF4BD73E}" xr6:coauthVersionLast="47" xr6:coauthVersionMax="47" xr10:uidLastSave="{00000000-0000-0000-0000-000000000000}"/>
  <bookViews>
    <workbookView xWindow="28680" yWindow="-120" windowWidth="29040" windowHeight="15840" tabRatio="189" xr2:uid="{00000000-000D-0000-FFFF-FFFF00000000}"/>
  </bookViews>
  <sheets>
    <sheet name="Summary" sheetId="1" r:id="rId1"/>
    <sheet name="Datase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Q2" i="2" l="1"/>
  <c r="AP7" i="2"/>
  <c r="AK2" i="2"/>
  <c r="AK3" i="2"/>
  <c r="AK4" i="2"/>
  <c r="AK5" i="2"/>
  <c r="AK6" i="2"/>
  <c r="AK7" i="2"/>
  <c r="AK8" i="2"/>
  <c r="AK9" i="2"/>
  <c r="AK10" i="2"/>
  <c r="AK11" i="2"/>
  <c r="AJ2" i="2"/>
  <c r="AJ3" i="2"/>
  <c r="AJ4" i="2"/>
  <c r="AJ5" i="2"/>
  <c r="AJ6" i="2"/>
  <c r="AJ7" i="2"/>
  <c r="AJ8" i="2"/>
  <c r="AJ9" i="2"/>
  <c r="AJ10" i="2"/>
  <c r="AJ11" i="2"/>
  <c r="AI2" i="2"/>
  <c r="AI3" i="2"/>
  <c r="AI4" i="2"/>
  <c r="AI5" i="2"/>
  <c r="AI6" i="2"/>
  <c r="AI7" i="2"/>
  <c r="AI8" i="2"/>
  <c r="AI9" i="2"/>
  <c r="AI10" i="2"/>
  <c r="AI11" i="2"/>
  <c r="AH2" i="2"/>
  <c r="AH3" i="2"/>
  <c r="AH4" i="2"/>
  <c r="AH5" i="2"/>
  <c r="AH6" i="2"/>
  <c r="AH7" i="2"/>
  <c r="AH8" i="2"/>
  <c r="AH9" i="2"/>
  <c r="AH10" i="2"/>
  <c r="AH11" i="2"/>
  <c r="Z2" i="2"/>
  <c r="Z3" i="2"/>
  <c r="Z4" i="2"/>
  <c r="Z5" i="2"/>
  <c r="Z6" i="2"/>
  <c r="Z7" i="2"/>
  <c r="Z8" i="2"/>
  <c r="Z9" i="2"/>
  <c r="Z10" i="2"/>
  <c r="Z11" i="2"/>
  <c r="Y2" i="2"/>
  <c r="Y3" i="2"/>
  <c r="Y4" i="2"/>
  <c r="Y5" i="2"/>
  <c r="Y6" i="2"/>
  <c r="Y7" i="2"/>
  <c r="Y8" i="2"/>
  <c r="Y9" i="2"/>
  <c r="Y10" i="2"/>
  <c r="Y11" i="2"/>
  <c r="X2" i="2"/>
  <c r="X3" i="2"/>
  <c r="X4" i="2"/>
  <c r="X5" i="2"/>
  <c r="X6" i="2"/>
  <c r="X7" i="2"/>
  <c r="X8" i="2"/>
  <c r="X9" i="2"/>
  <c r="X10" i="2"/>
  <c r="X11" i="2"/>
  <c r="O3" i="2"/>
  <c r="O4" i="2"/>
  <c r="O5" i="2"/>
  <c r="O6" i="2"/>
  <c r="O7" i="2"/>
  <c r="O8" i="2"/>
  <c r="O9" i="2"/>
  <c r="O10" i="2"/>
  <c r="O11" i="2"/>
  <c r="O2" i="2"/>
  <c r="Q2" i="2"/>
  <c r="AO2" i="2" s="1"/>
  <c r="AQ3" i="2"/>
  <c r="AQ4" i="2"/>
  <c r="AQ5" i="2"/>
  <c r="AQ6" i="2"/>
  <c r="AQ7" i="2"/>
  <c r="AQ8" i="2"/>
  <c r="AQ9" i="2"/>
  <c r="AQ10" i="2"/>
  <c r="AQ11" i="2"/>
  <c r="AN2" i="2" l="1"/>
  <c r="AP3" i="2"/>
  <c r="AP4" i="2"/>
  <c r="AP5" i="2"/>
  <c r="AP6" i="2"/>
  <c r="AP8" i="2"/>
  <c r="AP9" i="2"/>
  <c r="AP10" i="2"/>
  <c r="AP11" i="2"/>
  <c r="AP2" i="2"/>
  <c r="Q4" i="2"/>
  <c r="Q3" i="2"/>
  <c r="Q5" i="2"/>
  <c r="Q6" i="2"/>
  <c r="Q7" i="2"/>
  <c r="Q8" i="2"/>
  <c r="Q9" i="2"/>
  <c r="Q10" i="2"/>
  <c r="Q11" i="2"/>
  <c r="P2" i="2"/>
  <c r="P3" i="2"/>
  <c r="AL3" i="2" s="1"/>
  <c r="P4" i="2"/>
  <c r="AL4" i="2" s="1"/>
  <c r="P5" i="2"/>
  <c r="AL5" i="2" s="1"/>
  <c r="P6" i="2"/>
  <c r="AL6" i="2" s="1"/>
  <c r="P7" i="2"/>
  <c r="AL7" i="2" s="1"/>
  <c r="P8" i="2"/>
  <c r="AL8" i="2" s="1"/>
  <c r="P9" i="2"/>
  <c r="AL9" i="2" s="1"/>
  <c r="P10" i="2"/>
  <c r="AL10" i="2" s="1"/>
  <c r="P11" i="2"/>
  <c r="AL11" i="2" s="1"/>
  <c r="AM2" i="2" l="1"/>
  <c r="AL2" i="2"/>
  <c r="AN3" i="2"/>
  <c r="AO3" i="2"/>
  <c r="AO5" i="2"/>
  <c r="AN5" i="2"/>
  <c r="AO11" i="2"/>
  <c r="AN11" i="2"/>
  <c r="AO10" i="2"/>
  <c r="AN10" i="2"/>
  <c r="AO4" i="2"/>
  <c r="AN4" i="2"/>
  <c r="AO9" i="2"/>
  <c r="AN9" i="2"/>
  <c r="AO8" i="2"/>
  <c r="AN8" i="2"/>
  <c r="AO7" i="2"/>
  <c r="AN7" i="2"/>
  <c r="AO6" i="2"/>
  <c r="AN6" i="2"/>
  <c r="AM10" i="2"/>
  <c r="AM5" i="2"/>
  <c r="AM4" i="2"/>
  <c r="AM11" i="2"/>
  <c r="AM3" i="2"/>
  <c r="AM9" i="2"/>
  <c r="AM8" i="2"/>
  <c r="AM7" i="2"/>
  <c r="AM6" i="2"/>
  <c r="F6" i="1" l="1"/>
  <c r="G6" i="1"/>
  <c r="H6" i="1"/>
  <c r="I6" i="1"/>
  <c r="E6" i="1"/>
  <c r="J6" i="1"/>
  <c r="D27" i="1"/>
  <c r="F5" i="1" l="1"/>
  <c r="E5" i="1" l="1"/>
  <c r="M2" i="1" l="1"/>
  <c r="G5" i="1"/>
  <c r="H5" i="1"/>
  <c r="I5" i="1"/>
  <c r="J5" i="1"/>
  <c r="M5" i="1" l="1"/>
  <c r="M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Simula</author>
    <author>Andrea Chiocca</author>
  </authors>
  <commentList>
    <comment ref="K1" authorId="0" shapeId="0" xr:uid="{6F04C3C2-FECD-4FFF-AA88-91952C0B68F1}">
      <text>
        <r>
          <rPr>
            <b/>
            <sz val="14"/>
            <color indexed="81"/>
            <rFont val="Tahoma"/>
            <family val="2"/>
          </rPr>
          <t>Simula:</t>
        </r>
        <r>
          <rPr>
            <sz val="14"/>
            <color indexed="81"/>
            <rFont val="Tahoma"/>
            <family val="2"/>
          </rPr>
          <t xml:space="preserve">
long side</t>
        </r>
      </text>
    </comment>
    <comment ref="L1" authorId="0" shapeId="0" xr:uid="{66E3A68F-8EB9-44F9-874B-239CE193C68B}">
      <text>
        <r>
          <rPr>
            <b/>
            <sz val="14"/>
            <color indexed="81"/>
            <rFont val="Tahoma"/>
            <family val="2"/>
          </rPr>
          <t>Simula:</t>
        </r>
        <r>
          <rPr>
            <sz val="14"/>
            <color indexed="81"/>
            <rFont val="Tahoma"/>
            <family val="2"/>
          </rPr>
          <t xml:space="preserve">
short side</t>
        </r>
      </text>
    </comment>
    <comment ref="O1" authorId="1" shapeId="0" xr:uid="{1CC4F29A-57B3-44F7-965B-DA237098AC81}">
      <text>
        <r>
          <rPr>
            <b/>
            <sz val="14"/>
            <color indexed="81"/>
            <rFont val="Tahoma"/>
            <family val="2"/>
          </rPr>
          <t>Net</t>
        </r>
        <r>
          <rPr>
            <sz val="14"/>
            <color indexed="81"/>
            <rFont val="Tahoma"/>
            <family val="2"/>
          </rPr>
          <t xml:space="preserve"> or </t>
        </r>
        <r>
          <rPr>
            <b/>
            <sz val="14"/>
            <color indexed="81"/>
            <rFont val="Tahoma"/>
            <family val="2"/>
          </rPr>
          <t>gross</t>
        </r>
        <r>
          <rPr>
            <sz val="14"/>
            <color indexed="81"/>
            <rFont val="Tahoma"/>
            <family val="2"/>
          </rPr>
          <t xml:space="preserve"> area depending on what the author used to evaluate the nominal stresses</t>
        </r>
      </text>
    </comment>
    <comment ref="P1" authorId="0" shapeId="0" xr:uid="{679AC68E-6E1E-49D7-95C8-CB4738B37734}">
      <text>
        <r>
          <rPr>
            <b/>
            <sz val="14"/>
            <color indexed="81"/>
            <rFont val="Tahoma"/>
            <family val="2"/>
          </rPr>
          <t>Simula:</t>
        </r>
        <r>
          <rPr>
            <sz val="14"/>
            <color indexed="81"/>
            <rFont val="Tahoma"/>
            <family val="2"/>
          </rPr>
          <t xml:space="preserve">
if Flat with neutral-axis bending // along the long sideo</t>
        </r>
      </text>
    </comment>
    <comment ref="AB1" authorId="0" shapeId="0" xr:uid="{F0DA867F-3D3D-465D-BB43-47CFC5DF21E7}">
      <text>
        <r>
          <rPr>
            <b/>
            <sz val="9"/>
            <color indexed="81"/>
            <rFont val="Tahoma"/>
            <family val="2"/>
          </rPr>
          <t>Simula: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>It is hypothesized that the radial stress (second axial stress) can be generated solely by internal pressure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<sst xmlns="http://schemas.openxmlformats.org/spreadsheetml/2006/main" count="166" uniqueCount="69">
  <si>
    <t>Material name</t>
  </si>
  <si>
    <t>Poisson's ratio (-)</t>
  </si>
  <si>
    <t>Tensile strength (MPa)</t>
  </si>
  <si>
    <t>Yield strength (MPa)</t>
  </si>
  <si>
    <t>K</t>
  </si>
  <si>
    <t>Number of cycles to failure</t>
  </si>
  <si>
    <t>Run out (Yes/No)</t>
  </si>
  <si>
    <t>Mean RADIAL stress  (MPa)</t>
  </si>
  <si>
    <t>Amplitute RADIAL stress  (MPa)</t>
  </si>
  <si>
    <t>Mean SHEAR stress  (MPa)</t>
  </si>
  <si>
    <t>Amplitute SHEAR stress  (MPa)</t>
  </si>
  <si>
    <t>Amplitude TORQUE (Nmm)</t>
  </si>
  <si>
    <t>Mean TORQUE (Nmm)</t>
  </si>
  <si>
    <t>Lambda (tauA/sigmaA)</t>
  </si>
  <si>
    <t>Load ratio (RADIAL)</t>
  </si>
  <si>
    <t>Load ratio (TORSIONAL)</t>
  </si>
  <si>
    <t>Geometry picture</t>
  </si>
  <si>
    <t>Diameter (mm)</t>
  </si>
  <si>
    <t>Failure type (complete rupture/stiffness decrease)</t>
  </si>
  <si>
    <t>Specimen name</t>
  </si>
  <si>
    <t>No</t>
  </si>
  <si>
    <t>Null</t>
  </si>
  <si>
    <t>Young's modulus (MPa)</t>
  </si>
  <si>
    <t>Standard deviation</t>
  </si>
  <si>
    <t>Average</t>
  </si>
  <si>
    <t>Article year</t>
  </si>
  <si>
    <t>Authors</t>
  </si>
  <si>
    <t>cylindrical</t>
  </si>
  <si>
    <t>Notched</t>
  </si>
  <si>
    <t>LEGEND:</t>
  </si>
  <si>
    <r>
      <rPr>
        <b/>
        <u/>
        <sz val="11"/>
        <color theme="0"/>
        <rFont val="Calibri"/>
        <family val="2"/>
        <scheme val="minor"/>
      </rPr>
      <t>INPUT</t>
    </r>
    <r>
      <rPr>
        <b/>
        <sz val="11"/>
        <color theme="0"/>
        <rFont val="Calibri"/>
        <family val="2"/>
        <scheme val="minor"/>
      </rPr>
      <t xml:space="preserve"> to be inserted by the user</t>
    </r>
  </si>
  <si>
    <r>
      <rPr>
        <b/>
        <u/>
        <sz val="11"/>
        <color theme="0"/>
        <rFont val="Calibri"/>
        <family val="2"/>
        <scheme val="minor"/>
      </rPr>
      <t>OUTPUT</t>
    </r>
    <r>
      <rPr>
        <b/>
        <sz val="11"/>
        <color theme="0"/>
        <rFont val="Calibri"/>
        <family val="2"/>
        <scheme val="minor"/>
      </rPr>
      <t xml:space="preserve"> automatically provided by the excel table</t>
    </r>
  </si>
  <si>
    <t>Yes</t>
  </si>
  <si>
    <t>Area (mm^2)</t>
  </si>
  <si>
    <t>Data count</t>
  </si>
  <si>
    <t>Mean BENDING moment (Nmm)</t>
  </si>
  <si>
    <t>Amplitude BENDING moment (Nmm)</t>
  </si>
  <si>
    <t>Number of Cycles (cycles)</t>
  </si>
  <si>
    <t>Stress ratio R</t>
  </si>
  <si>
    <t>Tensile fatigue limit (MPa)</t>
  </si>
  <si>
    <t>Torsional fatigue limit (MPa)</t>
  </si>
  <si>
    <t>A (mm)</t>
  </si>
  <si>
    <t>B (mm)</t>
  </si>
  <si>
    <t>Hole diameter (mm)</t>
  </si>
  <si>
    <t>Geometry type (flat/cylindrical/hollow cylinder)</t>
  </si>
  <si>
    <t>Phase RADIAL load (°)</t>
  </si>
  <si>
    <t>Phase AXIAL load (°)</t>
  </si>
  <si>
    <t>Phase TORSIONAL load (°)</t>
  </si>
  <si>
    <t>Freq RADIAL load [Hz]</t>
  </si>
  <si>
    <t>Freq AXIAL load[Hz]</t>
  </si>
  <si>
    <t>Freq TORSIONAL load [Hz]</t>
  </si>
  <si>
    <t>Load ratio (AXIAL)</t>
  </si>
  <si>
    <t>Mean AXIAL stress  (MPa)</t>
  </si>
  <si>
    <t>Amplitute AXIAL stress  (MPa)</t>
  </si>
  <si>
    <t>Mean internal PRESSURE  (MPa)</t>
  </si>
  <si>
    <t>Amplitute internal PRESSURE (MPa)</t>
  </si>
  <si>
    <t>derived from (AXIAL/BENDING) load</t>
  </si>
  <si>
    <t>BENDING</t>
  </si>
  <si>
    <t>torsional momento of inertia (mm^4)</t>
  </si>
  <si>
    <t>flessional momento of inertia (mm^4)</t>
  </si>
  <si>
    <t>Mean AXIAL load (N)</t>
  </si>
  <si>
    <t>Article DOI / Reference</t>
  </si>
  <si>
    <t>Amplitude von Mises (MPa)</t>
  </si>
  <si>
    <t>Amplitute AXIAL load (N)</t>
  </si>
  <si>
    <t>Nishihara T, Kawamoto M. The strength of metals under combined
alternating bending and torsion with phase difference.
Mem College Engng, Kyoto Imperial University. 1945;11:85‐112.</t>
  </si>
  <si>
    <t>Nishihara T</t>
  </si>
  <si>
    <t>982FA (hard steel)</t>
  </si>
  <si>
    <t>SPECIMEN_4</t>
  </si>
  <si>
    <t>complete rupture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</si>
</sst>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E+00"/>
  </numFmts>
  <fonts count="11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u/>
      <sz val="11"/>
      <color theme="0"/>
      <name val="Calibri"/>
      <family val="2"/>
      <scheme val="minor"/>
    </font>
    <font>
      <b/>
      <sz val="9"/>
      <color indexed="81"/>
      <name val="Tahoma"/>
      <family val="2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color indexed="81"/>
      <name val="Tahoma"/>
      <family val="2"/>
    </font>
    <font>
      <sz val="14"/>
      <color indexed="81"/>
      <name val="Tahoma"/>
      <family val="2"/>
    </font>
  </fonts>
  <fills count="1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42A2A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12" xfId="0" applyBorder="1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11" fontId="0" fillId="0" borderId="12" xfId="0" applyNumberFormat="1" applyBorder="1" applyAlignment="1">
      <alignment horizontal="center" vertical="center"/>
    </xf>
    <xf numFmtId="11" fontId="0" fillId="0" borderId="5" xfId="0" applyNumberFormat="1" applyBorder="1" applyAlignment="1">
      <alignment horizontal="center" vertical="center"/>
    </xf>
    <xf numFmtId="0" fontId="0" fillId="0" borderId="0" xfId="0" applyAlignment="1">
      <alignment horizontal="center" vertical="top" wrapText="1"/>
    </xf>
    <xf numFmtId="2" fontId="0" fillId="0" borderId="0" xfId="0" applyNumberFormat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1" fontId="0" fillId="0" borderId="13" xfId="0" applyNumberFormat="1" applyBorder="1" applyAlignment="1">
      <alignment horizontal="center" vertical="center"/>
    </xf>
    <xf numFmtId="164" fontId="0" fillId="0" borderId="13" xfId="0" applyNumberFormat="1" applyBorder="1" applyAlignment="1">
      <alignment horizontal="center" vertical="center"/>
    </xf>
    <xf numFmtId="2" fontId="0" fillId="0" borderId="13" xfId="0" applyNumberForma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4" fontId="0" fillId="0" borderId="14" xfId="0" applyNumberFormat="1" applyBorder="1" applyAlignment="1">
      <alignment horizontal="center" vertical="center"/>
    </xf>
    <xf numFmtId="1" fontId="0" fillId="0" borderId="14" xfId="0" applyNumberFormat="1" applyBorder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6" borderId="0" xfId="0" applyFill="1" applyAlignment="1">
      <alignment horizontal="center" vertical="center" wrapText="1"/>
    </xf>
    <xf numFmtId="0" fontId="7" fillId="5" borderId="14" xfId="0" applyFont="1" applyFill="1" applyBorder="1" applyAlignment="1">
      <alignment horizontal="center" vertical="center" wrapText="1"/>
    </xf>
    <xf numFmtId="0" fontId="7" fillId="4" borderId="0" xfId="0" applyFont="1" applyFill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49" fontId="0" fillId="0" borderId="13" xfId="0" applyNumberFormat="1" applyBorder="1" applyAlignment="1">
      <alignment horizontal="center" vertical="center"/>
    </xf>
    <xf numFmtId="0" fontId="0" fillId="8" borderId="0" xfId="0" applyFill="1" applyAlignment="1">
      <alignment horizontal="center" vertical="center" wrapText="1"/>
    </xf>
    <xf numFmtId="1" fontId="0" fillId="0" borderId="15" xfId="0" applyNumberFormat="1" applyBorder="1" applyAlignment="1">
      <alignment horizontal="center" vertical="center"/>
    </xf>
    <xf numFmtId="0" fontId="8" fillId="4" borderId="0" xfId="0" applyFont="1" applyFill="1" applyAlignment="1">
      <alignment horizontal="center" vertical="center" wrapText="1"/>
    </xf>
    <xf numFmtId="0" fontId="7" fillId="5" borderId="0" xfId="0" applyFont="1" applyFill="1" applyAlignment="1">
      <alignment horizontal="center" vertical="center" wrapText="1"/>
    </xf>
    <xf numFmtId="49" fontId="8" fillId="13" borderId="0" xfId="0" applyNumberFormat="1" applyFont="1" applyFill="1" applyAlignment="1">
      <alignment horizontal="center" vertical="center" wrapText="1"/>
    </xf>
    <xf numFmtId="164" fontId="0" fillId="0" borderId="15" xfId="0" applyNumberFormat="1" applyBorder="1" applyAlignment="1">
      <alignment horizontal="center" vertical="center"/>
    </xf>
    <xf numFmtId="0" fontId="7" fillId="4" borderId="16" xfId="0" applyFont="1" applyFill="1" applyBorder="1" applyAlignment="1">
      <alignment horizontal="center" vertical="center" wrapText="1"/>
    </xf>
    <xf numFmtId="2" fontId="0" fillId="0" borderId="16" xfId="0" applyNumberFormat="1" applyBorder="1" applyAlignment="1">
      <alignment horizontal="center" vertical="center"/>
    </xf>
    <xf numFmtId="2" fontId="0" fillId="0" borderId="17" xfId="0" applyNumberForma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164" fontId="0" fillId="9" borderId="0" xfId="0" applyNumberFormat="1" applyFill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2" fontId="0" fillId="2" borderId="0" xfId="0" applyNumberFormat="1" applyFill="1" applyAlignment="1">
      <alignment horizontal="center" vertical="center" wrapText="1"/>
    </xf>
    <xf numFmtId="164" fontId="7" fillId="0" borderId="0" xfId="0" applyNumberFormat="1" applyFont="1" applyAlignment="1">
      <alignment horizontal="center" vertical="center"/>
    </xf>
    <xf numFmtId="164" fontId="7" fillId="10" borderId="0" xfId="0" applyNumberFormat="1" applyFont="1" applyFill="1" applyAlignment="1">
      <alignment horizontal="center" vertical="center" wrapText="1"/>
    </xf>
    <xf numFmtId="49" fontId="7" fillId="11" borderId="0" xfId="0" applyNumberFormat="1" applyFont="1" applyFill="1" applyAlignment="1">
      <alignment horizontal="center" vertical="center" wrapText="1"/>
    </xf>
    <xf numFmtId="164" fontId="7" fillId="12" borderId="0" xfId="0" applyNumberFormat="1" applyFont="1" applyFill="1" applyAlignment="1">
      <alignment horizontal="center" vertical="center" wrapText="1"/>
    </xf>
    <xf numFmtId="164" fontId="7" fillId="7" borderId="0" xfId="0" applyNumberFormat="1" applyFont="1" applyFill="1" applyAlignment="1">
      <alignment horizontal="center" vertical="center" wrapText="1"/>
    </xf>
    <xf numFmtId="164" fontId="0" fillId="0" borderId="18" xfId="0" applyNumberFormat="1" applyBorder="1" applyAlignment="1">
      <alignment horizontal="center" vertical="center"/>
    </xf>
    <xf numFmtId="1" fontId="8" fillId="13" borderId="0" xfId="0" applyNumberFormat="1" applyFont="1" applyFill="1" applyAlignment="1">
      <alignment horizontal="center" vertical="center" wrapText="1"/>
    </xf>
    <xf numFmtId="164" fontId="0" fillId="0" borderId="19" xfId="0" applyNumberFormat="1" applyBorder="1" applyAlignment="1">
      <alignment horizontal="center" vertical="center"/>
    </xf>
    <xf numFmtId="164" fontId="7" fillId="7" borderId="14" xfId="0" applyNumberFormat="1" applyFont="1" applyFill="1" applyBorder="1" applyAlignment="1">
      <alignment horizontal="center" vertical="center" wrapText="1"/>
    </xf>
    <xf numFmtId="164" fontId="0" fillId="0" borderId="18" xfId="0" applyNumberFormat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2" fontId="0" fillId="0" borderId="0" xfId="0" applyNumberFormat="1" applyBorder="1" applyAlignment="1">
      <alignment horizontal="center" vertical="center"/>
    </xf>
    <xf numFmtId="1" fontId="0" fillId="0" borderId="0" xfId="0" applyNumberFormat="1" applyBorder="1" applyAlignment="1">
      <alignment horizontal="center" vertical="center"/>
    </xf>
    <xf numFmtId="49" fontId="0" fillId="0" borderId="0" xfId="0" applyNumberFormat="1" applyBorder="1" applyAlignment="1">
      <alignment horizontal="center" vertical="center"/>
    </xf>
    <xf numFmtId="164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horizontal="left" vertical="top" wrapText="1"/>
    </xf>
    <xf numFmtId="0" fontId="0" fillId="0" borderId="0" xfId="0" applyBorder="1" applyAlignment="1">
      <alignment horizontal="left" vertical="top"/>
    </xf>
    <xf numFmtId="165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3" xfId="0" applyBorder="1" applyAlignment="1">
      <alignment horizontal="left" vertical="top" wrapText="1"/>
    </xf>
    <xf numFmtId="165" fontId="0" fillId="0" borderId="13" xfId="0" applyNumberFormat="1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0" fillId="9" borderId="0" xfId="0" applyFill="1" applyBorder="1" applyAlignment="1">
      <alignment horizontal="center" vertical="center" wrapText="1"/>
    </xf>
    <xf numFmtId="164" fontId="7" fillId="12" borderId="18" xfId="0" applyNumberFormat="1" applyFont="1" applyFill="1" applyBorder="1" applyAlignment="1">
      <alignment horizontal="center" vertical="center" wrapText="1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2" borderId="0" xfId="0" applyFill="1" applyBorder="1" applyAlignment="1">
      <alignment horizontal="center" vertical="center" wrapText="1"/>
    </xf>
    <xf numFmtId="0" fontId="7" fillId="4" borderId="18" xfId="0" applyFont="1" applyFill="1" applyBorder="1" applyAlignment="1">
      <alignment horizontal="center" vertical="center" wrapText="1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</cellXfs>
  <cellStyles count="1">
    <cellStyle name="Normale" xfId="0" builtinId="0"/>
  </cellStyles>
  <dxfs count="60"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numFmt numFmtId="164" formatCode="0.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numFmt numFmtId="164" formatCode="0.0"/>
      <alignment horizontal="center" vertical="center" textRotation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numFmt numFmtId="164" formatCode="0.0"/>
      <alignment horizontal="center" vertical="bottom" textRotation="0" wrapText="0" indent="0" justifyLastLine="0" shrinkToFit="0" readingOrder="0"/>
    </dxf>
    <dxf>
      <numFmt numFmtId="164" formatCode="0.0"/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4" formatCode="0.0"/>
      <alignment horizontal="center" vertical="bottom" textRotation="0" wrapText="0" indent="0" justifyLastLine="0" shrinkToFit="0" readingOrder="0"/>
    </dxf>
    <dxf>
      <numFmt numFmtId="164" formatCode="0.0"/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4" formatCode="0.0"/>
      <alignment horizontal="center" vertical="bottom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color auto="1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</border>
    </dxf>
    <dxf>
      <alignment horizontal="center" vertical="center" textRotation="0" wrapText="0" indent="0" justifyLastLine="0" shrinkToFit="0" readingOrder="0"/>
    </dxf>
    <dxf>
      <numFmt numFmtId="165" formatCode="0.0E+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top" textRotation="0" wrapText="1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5" formatCode="0.00E+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i val="0"/>
      </font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</border>
    </dxf>
    <dxf>
      <numFmt numFmtId="164" formatCode="0.0"/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</border>
    </dxf>
    <dxf>
      <numFmt numFmtId="164" formatCode="0.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</border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F42A2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Summary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Dataset!$E$2:$E$11</c:f>
              <c:numCache>
                <c:formatCode>0.0E+00</c:formatCode>
                <c:ptCount val="10"/>
                <c:pt idx="0">
                  <c:v>10000000</c:v>
                </c:pt>
                <c:pt idx="1">
                  <c:v>10000000</c:v>
                </c:pt>
                <c:pt idx="2">
                  <c:v>10000000</c:v>
                </c:pt>
                <c:pt idx="3">
                  <c:v>10000000</c:v>
                </c:pt>
                <c:pt idx="4">
                  <c:v>10000000</c:v>
                </c:pt>
                <c:pt idx="5">
                  <c:v>10000000</c:v>
                </c:pt>
                <c:pt idx="6">
                  <c:v>10000000</c:v>
                </c:pt>
                <c:pt idx="7">
                  <c:v>10000000</c:v>
                </c:pt>
                <c:pt idx="8">
                  <c:v>10000000</c:v>
                </c:pt>
                <c:pt idx="9">
                  <c:v>10000000</c:v>
                </c:pt>
              </c:numCache>
            </c:numRef>
          </c:xVal>
          <c:yVal>
            <c:numRef>
              <c:f>Dataset!$AQ$2:$AQ$11</c:f>
              <c:numCache>
                <c:formatCode>0.00</c:formatCode>
                <c:ptCount val="10"/>
                <c:pt idx="0">
                  <c:v>317.64103953991838</c:v>
                </c:pt>
                <c:pt idx="1">
                  <c:v>324.36911073651879</c:v>
                </c:pt>
                <c:pt idx="2">
                  <c:v>320.05980691114587</c:v>
                </c:pt>
                <c:pt idx="3">
                  <c:v>330.1897636208609</c:v>
                </c:pt>
                <c:pt idx="4">
                  <c:v>325.38414220733006</c:v>
                </c:pt>
                <c:pt idx="5">
                  <c:v>333.81822898098301</c:v>
                </c:pt>
                <c:pt idx="6">
                  <c:v>338.76546459165519</c:v>
                </c:pt>
                <c:pt idx="7">
                  <c:v>323.42571017159412</c:v>
                </c:pt>
                <c:pt idx="8">
                  <c:v>341.22633251260078</c:v>
                </c:pt>
                <c:pt idx="9">
                  <c:v>347.89413619663088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D58-439C-BD78-518C8A90A1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6816096"/>
        <c:axId val="406816456"/>
      </c:scatterChart>
      <c:valAx>
        <c:axId val="406816096"/>
        <c:scaling>
          <c:logBase val="10"/>
          <c:orientation val="minMax"/>
          <c:max val="250000000"/>
          <c:min val="100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Number</a:t>
                </a:r>
                <a:r>
                  <a:rPr lang="en-GB" baseline="0"/>
                  <a:t> of cycles to failure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0.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6816456"/>
        <c:crosses val="autoZero"/>
        <c:crossBetween val="midCat"/>
      </c:valAx>
      <c:valAx>
        <c:axId val="406816456"/>
        <c:scaling>
          <c:logBase val="10"/>
          <c:orientation val="minMax"/>
          <c:max val="3000"/>
          <c:min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Amplitude von MIses (MPa)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68160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25</xdr:row>
      <xdr:rowOff>0</xdr:rowOff>
    </xdr:from>
    <xdr:to>
      <xdr:col>2</xdr:col>
      <xdr:colOff>917865</xdr:colOff>
      <xdr:row>40</xdr:row>
      <xdr:rowOff>72390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660A1232-E067-4380-A306-8D17032AE7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B9CA7B-F9F7-4B65-BAF9-0554C4DD3A3C}" name="Tabella1" displayName="Tabella1" ref="A1:M4" totalsRowShown="0" headerRowDxfId="41" dataDxfId="40">
  <autoFilter ref="A1:M4" xr:uid="{7EB9CA7B-F9F7-4B65-BAF9-0554C4DD3A3C}"/>
  <tableColumns count="13">
    <tableColumn id="1" xr3:uid="{8E3D1E9D-FBEE-441F-8710-5037CD4F23F4}" name="Article DOI / Reference" dataDxfId="39"/>
    <tableColumn id="11" xr3:uid="{DB748F3A-E0FD-40A7-AD76-C03A14000D6D}" name="Authors" dataDxfId="38"/>
    <tableColumn id="8" xr3:uid="{5AA73CAD-51B7-41DD-94EB-F60F774B9687}" name="Article year" dataDxfId="37"/>
    <tableColumn id="2" xr3:uid="{06FA6682-59D0-409F-9A0C-E6CD1808F355}" name="Material name" dataDxfId="36"/>
    <tableColumn id="3" xr3:uid="{576FC30A-97BD-425F-92F2-9A2823474F7C}" name="Young's modulus (MPa)" dataDxfId="35"/>
    <tableColumn id="4" xr3:uid="{63CF6BC0-ABE3-408E-84A9-EDA0B421D7E2}" name="Poisson's ratio (-)" dataDxfId="34"/>
    <tableColumn id="5" xr3:uid="{BF08D467-4D62-4CAB-A94F-0030F94E8A2E}" name="Tensile strength (MPa)" dataDxfId="33"/>
    <tableColumn id="6" xr3:uid="{CDCD2563-ECD7-4843-B859-5F7762FE830B}" name="Yield strength (MPa)" dataDxfId="32"/>
    <tableColumn id="7" xr3:uid="{7991DD6F-6040-4C6F-AEB4-2211698F999C}" name="Tensile fatigue limit (MPa)" dataDxfId="31"/>
    <tableColumn id="9" xr3:uid="{C339353B-B530-41A6-97D0-BD9E3EFB3E1B}" name="Torsional fatigue limit (MPa)" dataDxfId="30">
      <calculatedColumnFormula>845/2</calculatedColumnFormula>
    </tableColumn>
    <tableColumn id="13" xr3:uid="{61EEDB63-8EB1-4E68-8C73-6F3D35C9EEF7}" name="Number of Cycles (cycles)" dataDxfId="29"/>
    <tableColumn id="12" xr3:uid="{5EB3D6EA-60A8-471D-AB0E-73C0B9E22DD2}" name="Stress ratio R" dataDxfId="28"/>
    <tableColumn id="10" xr3:uid="{EC242BA9-DE01-42A2-8C6C-75459CDE529E}" name="K" dataDxfId="27">
      <calculatedColumnFormula>IF(COUNTIF(Tabella1[[#This Row],[Tensile fatigue limit (MPa)]:[Torsional fatigue limit (MPa)]],"Null")&gt;0, "Null", IF(COUNT(Tabella1[[#This Row],[Tensile fatigue limit (MPa)]:[Torsional fatigue limit (MPa)]])=0, "Null", Tabella1[[#This Row],[Tensile fatigue limit (MPa)]]/Tabella1[[#This Row],[Torsional fatigue limit (MPa)]]))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6243907-AA5D-4F4D-8699-490D77B21127}" name="Tabella2" displayName="Tabella2" ref="A1:AQ11" totalsRowShown="0" headerRowDxfId="59" dataDxfId="58">
  <autoFilter ref="A1:AQ11" xr:uid="{86243907-AA5D-4F4D-8699-490D77B21127}"/>
  <tableColumns count="43">
    <tableColumn id="31" xr3:uid="{05937513-BC98-44D1-A5DC-F19589B15DDF}" name="Authors" dataDxfId="26"/>
    <tableColumn id="32" xr3:uid="{DCBCBA66-A67E-429B-A752-67A81643133E}" name="Article year" dataDxfId="25"/>
    <tableColumn id="1" xr3:uid="{D75788C8-C867-4D50-A818-DADFA5044830}" name="Article DOI / Reference" dataDxfId="24"/>
    <tableColumn id="30" xr3:uid="{FA5CACDD-A594-4207-9BA7-C7F165153D5B}" name="Specimen name" dataDxfId="23"/>
    <tableColumn id="2" xr3:uid="{19DD8629-B305-4804-A689-1057FBADF71C}" name="Number of cycles to failure" dataDxfId="22"/>
    <tableColumn id="4" xr3:uid="{27575528-FAA3-4B4C-8860-7A7CFCB79DBE}" name="Run out (Yes/No)" dataDxfId="21"/>
    <tableColumn id="3" xr3:uid="{0CF78E1F-0EC3-474A-B3FD-519C01702157}" name="Failure type (complete rupture/stiffness decrease)" dataDxfId="20"/>
    <tableColumn id="26" xr3:uid="{05D9D755-9B11-40C9-8DCB-B9E39E20FA04}" name="Geometry picture" dataDxfId="0"/>
    <tableColumn id="33" xr3:uid="{936299CD-E030-4427-B1AB-D5CB204A04BE}" name="Geometry type (flat/cylindrical/hollow cylinder)" dataDxfId="19"/>
    <tableColumn id="34" xr3:uid="{09266E8F-9B14-40D4-88AB-80CC92F93BA2}" name="Notched" dataDxfId="18"/>
    <tableColumn id="39" xr3:uid="{108E1228-D670-44CE-87DA-2A1B0D22E417}" name="A (mm)" dataDxfId="17"/>
    <tableColumn id="38" xr3:uid="{D6414C63-3F42-4BCA-BB3F-506FCA7B7866}" name="B (mm)" dataDxfId="16"/>
    <tableColumn id="37" xr3:uid="{8138AA3A-CE2D-441D-907D-E35AD875EC90}" name="Hole diameter (mm)" dataDxfId="15"/>
    <tableColumn id="27" xr3:uid="{D5A8CCC0-542A-450B-8F88-B47472F29E40}" name="Diameter (mm)" dataDxfId="14"/>
    <tableColumn id="28" xr3:uid="{36725B61-E4CB-4B7E-AF40-7F3BC6BE6CB3}" name="Area (mm^2)" dataDxfId="57">
      <calculatedColumnFormula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calculatedColumnFormula>
    </tableColumn>
    <tableColumn id="45" xr3:uid="{127345D3-F57D-4266-B1E4-4F059E8B31BE}" name="flessional momento of inertia (mm^4)" dataDxfId="56">
      <calculatedColumnFormula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calculatedColumnFormula>
    </tableColumn>
    <tableColumn id="29" xr3:uid="{ADA51E38-565E-4B07-AA7F-4531D7FB559A}" name="torsional momento of inertia (mm^4)" dataDxfId="55">
      <calculatedColumnFormula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calculatedColumnFormula>
    </tableColumn>
    <tableColumn id="21" xr3:uid="{C8363B8B-B0C3-4670-AE9B-A3DF1F1D9748}" name="Phase RADIAL load (°)" dataDxfId="13"/>
    <tableColumn id="40" xr3:uid="{FF54B50E-D6C4-4EF8-BED6-8558889E32B3}" name="Phase AXIAL load (°)" dataDxfId="12"/>
    <tableColumn id="22" xr3:uid="{9A8358C3-645B-4F7B-A800-BF2013564F31}" name="Phase TORSIONAL load (°)" dataDxfId="11"/>
    <tableColumn id="43" xr3:uid="{32E76D00-2B52-4D17-881F-6CB825346CD9}" name="Freq RADIAL load [Hz]" dataDxfId="10"/>
    <tableColumn id="42" xr3:uid="{A0DFAB77-F821-4A7F-A0A1-75075998D45D}" name="Freq AXIAL load[Hz]" dataDxfId="9"/>
    <tableColumn id="41" xr3:uid="{DEC77E42-D985-463A-B500-A8E16CF67856}" name="Freq TORSIONAL load [Hz]" dataDxfId="8"/>
    <tableColumn id="23" xr3:uid="{9724DA05-688A-43E5-9AAC-5035994CD3C7}" name="Load ratio (RADIAL)" dataDxfId="54">
      <calculatedColumnFormula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calculatedColumnFormula>
    </tableColumn>
    <tableColumn id="24" xr3:uid="{5794A9BC-D825-4DEA-82F2-22B1FB825367}" name="Load ratio (AXIAL)" dataDxfId="53">
      <calculatedColumnFormula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calculatedColumnFormula>
    </tableColumn>
    <tableColumn id="25" xr3:uid="{A209A6A1-8B94-4DAE-9AD9-68A32BB08635}" name="Load ratio (TORSIONAL)" dataDxfId="52">
      <calculatedColumnFormula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calculatedColumnFormula>
    </tableColumn>
    <tableColumn id="15" xr3:uid="{79C3F669-131B-420A-8FF5-9D61125EAD7C}" name="Mean RADIAL stress  (MPa)" dataDxfId="1"/>
    <tableColumn id="6" xr3:uid="{CFA41242-20EF-4D5D-9025-FC3F232CBE04}" name="Amplitute RADIAL stress  (MPa)" dataDxfId="7"/>
    <tableColumn id="16" xr3:uid="{F37D511D-F078-4171-84FD-3AE13D4078DC}" name="Mean AXIAL stress  (MPa)" dataDxfId="6"/>
    <tableColumn id="8" xr3:uid="{933ACC34-FA80-47BE-87CF-5D7D742564A2}" name="Amplitute AXIAL stress  (MPa)" dataDxfId="5"/>
    <tableColumn id="44" xr3:uid="{460C3648-EA91-4BC9-8C0D-58B3E19E1ED3}" name="derived from (AXIAL/BENDING) load" dataDxfId="51"/>
    <tableColumn id="19" xr3:uid="{06584471-CEAD-405D-A12E-5A2E79E8CA33}" name="Mean SHEAR stress  (MPa)" dataDxfId="4"/>
    <tableColumn id="10" xr3:uid="{2FCDB52E-3BD8-4D04-8689-303C003D64AE}" name="Amplitute SHEAR stress  (MPa)" dataDxfId="3"/>
    <tableColumn id="36" xr3:uid="{EF2440ED-01F8-493F-BD7F-BDBCFC67F43F}" name="Mean internal PRESSURE  (MPa)" dataDxfId="2">
      <calculatedColumnFormula>IF(ISNUMBER(Tabella2[[#This Row],[Mean RADIAL stress  (MPa)]]), Tabella2[[#This Row],[Mean RADIAL stress  (MPa)]],"")</calculatedColumnFormula>
    </tableColumn>
    <tableColumn id="12" xr3:uid="{A3A206A7-7207-472E-A9D8-013B3CFCAFCB}" name="Amplitute internal PRESSURE (MPa)" dataDxfId="50">
      <calculatedColumnFormula>IF(ISNUMBER(Tabella2[[#This Row],[Amplitute RADIAL stress  (MPa)]]), Tabella2[[#This Row],[Amplitute RADIAL stress  (MPa)]],"")</calculatedColumnFormula>
    </tableColumn>
    <tableColumn id="47" xr3:uid="{2D0E8715-4DDF-44E6-8D9C-9880A8CC9001}" name="Mean AXIAL load (N)" dataDxfId="49">
      <calculatedColumnFormula>IF(ISNUMBER(Tabella2[[#This Row],[Mean AXIAL stress  (MPa)]]), IF(Tabella2[[#This Row],[derived from (AXIAL/BENDING) load]]="AXIAL",Tabella2[[#This Row],[Mean AXIAL stress  (MPa)]]*Tabella2[[#This Row],[Area (mm^2)]],"Null"), "")</calculatedColumnFormula>
    </tableColumn>
    <tableColumn id="46" xr3:uid="{74D06968-9F0E-4F66-B0FC-A6FDF325A23C}" name="Amplitute AXIAL load (N)" dataDxfId="48">
      <calculatedColumnFormula>IF(ISNUMBER(Tabella2[[#This Row],[Amplitute AXIAL stress  (MPa)]]),    IF(Tabella2[[#This Row],[derived from (AXIAL/BENDING) load]]="AXIAL",Tabella2[[#This Row],[Amplitute AXIAL stress  (MPa)]]*Tabella2[[#This Row],[Area (mm^2)]],"Null"), "")</calculatedColumnFormula>
    </tableColumn>
    <tableColumn id="14" xr3:uid="{B1691BE1-3E2F-4716-9F3A-1870C13BFA59}" name="Mean BENDING moment (Nmm)" dataDxfId="47">
      <calculatedColumnFormula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calculatedColumnFormula>
    </tableColumn>
    <tableColumn id="48" xr3:uid="{879D775B-56C1-4C8B-B0F2-AB881BBC76CB}" name="Amplitude BENDING moment (Nmm)" dataDxfId="46">
      <calculatedColumnFormula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calculatedColumnFormula>
    </tableColumn>
    <tableColumn id="17" xr3:uid="{B9FCDDAE-82CF-4FB8-907C-A1558D43EF84}" name="Mean TORQUE (Nmm)" dataDxfId="45">
      <calculatedColumnFormula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calculatedColumnFormula>
    </tableColumn>
    <tableColumn id="18" xr3:uid="{C66D42EC-66DD-4028-A153-9A90E5649F9D}" name="Amplitude TORQUE (Nmm)" dataDxfId="44">
      <calculatedColumnFormula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calculatedColumnFormula>
    </tableColumn>
    <tableColumn id="20" xr3:uid="{D27EA8AC-AA88-4708-8985-FCB1FE48E26F}" name="Lambda (tauA/sigmaA)" dataDxfId="43">
      <calculatedColumnFormula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calculatedColumnFormula>
    </tableColumn>
    <tableColumn id="13" xr3:uid="{202EB95B-F464-428F-A067-490417EBEC52}" name="Amplitude von Mises (MPa)" dataDxfId="42">
      <calculatedColumnFormula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7"/>
  <sheetViews>
    <sheetView tabSelected="1" zoomScaleNormal="100" workbookViewId="0">
      <selection activeCell="C39" sqref="C39"/>
    </sheetView>
  </sheetViews>
  <sheetFormatPr defaultRowHeight="15" x14ac:dyDescent="0.25"/>
  <cols>
    <col min="1" max="1" width="29.140625" bestFit="1" customWidth="1"/>
    <col min="2" max="2" width="68.42578125" customWidth="1"/>
    <col min="3" max="3" width="42.28515625" bestFit="1" customWidth="1"/>
    <col min="4" max="4" width="31.7109375" customWidth="1"/>
    <col min="5" max="5" width="41.85546875" customWidth="1"/>
    <col min="6" max="6" width="31.140625" customWidth="1"/>
    <col min="7" max="7" width="35" customWidth="1"/>
    <col min="8" max="8" width="33.140625" customWidth="1"/>
    <col min="9" max="9" width="38" customWidth="1"/>
    <col min="10" max="10" width="40.85546875" customWidth="1"/>
    <col min="11" max="11" width="41.140625" customWidth="1"/>
    <col min="12" max="12" width="30.7109375" customWidth="1"/>
    <col min="13" max="13" width="9.5703125" bestFit="1" customWidth="1"/>
  </cols>
  <sheetData>
    <row r="1" spans="1:13" ht="20.100000000000001" customHeight="1" x14ac:dyDescent="0.25">
      <c r="A1" s="2" t="s">
        <v>61</v>
      </c>
      <c r="B1" s="2" t="s">
        <v>26</v>
      </c>
      <c r="C1" s="2" t="s">
        <v>25</v>
      </c>
      <c r="D1" s="2" t="s">
        <v>0</v>
      </c>
      <c r="E1" s="2" t="s">
        <v>22</v>
      </c>
      <c r="F1" s="2" t="s">
        <v>1</v>
      </c>
      <c r="G1" s="2" t="s">
        <v>2</v>
      </c>
      <c r="H1" s="2" t="s">
        <v>3</v>
      </c>
      <c r="I1" s="2" t="s">
        <v>39</v>
      </c>
      <c r="J1" s="2" t="s">
        <v>40</v>
      </c>
      <c r="K1" s="2" t="s">
        <v>37</v>
      </c>
      <c r="L1" s="2" t="s">
        <v>38</v>
      </c>
      <c r="M1" s="1" t="s">
        <v>4</v>
      </c>
    </row>
    <row r="2" spans="1:13" ht="20.100000000000001" customHeight="1" x14ac:dyDescent="0.25">
      <c r="A2" s="13" t="s">
        <v>64</v>
      </c>
      <c r="B2" s="1" t="s">
        <v>65</v>
      </c>
      <c r="C2" s="1">
        <v>1945</v>
      </c>
      <c r="D2" s="1" t="s">
        <v>66</v>
      </c>
      <c r="E2" s="1">
        <v>212000</v>
      </c>
      <c r="F2" s="1" t="s">
        <v>21</v>
      </c>
      <c r="G2" s="1">
        <v>681.1</v>
      </c>
      <c r="H2" s="1">
        <v>401.3</v>
      </c>
      <c r="I2" s="1">
        <v>313.8</v>
      </c>
      <c r="J2" s="1">
        <v>196.1</v>
      </c>
      <c r="K2" s="10">
        <v>10000000</v>
      </c>
      <c r="L2" s="27">
        <v>-1</v>
      </c>
      <c r="M2" s="14">
        <f>IF(COUNTIF(Tabella1[[#This Row],[Tensile fatigue limit (MPa)]:[Torsional fatigue limit (MPa)]],"Null")&gt;0, "Null", IF(COUNT(Tabella1[[#This Row],[Tensile fatigue limit (MPa)]:[Torsional fatigue limit (MPa)]])=0, "Null", Tabella1[[#This Row],[Tensile fatigue limit (MPa)]]/Tabella1[[#This Row],[Torsional fatigue limit (MPa)]]))</f>
        <v>1.6002039775624681</v>
      </c>
    </row>
    <row r="3" spans="1:13" ht="20.100000000000001" customHeight="1" x14ac:dyDescent="0.25">
      <c r="A3" s="13"/>
      <c r="B3" s="1"/>
      <c r="C3" s="1"/>
      <c r="D3" s="1"/>
      <c r="E3" s="1"/>
      <c r="F3" s="1"/>
      <c r="G3" s="1"/>
      <c r="H3" s="1"/>
      <c r="I3" s="1"/>
      <c r="J3" s="1"/>
      <c r="K3" s="10"/>
      <c r="L3" s="1"/>
      <c r="M3" s="14"/>
    </row>
    <row r="4" spans="1:13" ht="20.100000000000001" customHeight="1" thickBo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0"/>
      <c r="L4" s="1"/>
      <c r="M4" s="14"/>
    </row>
    <row r="5" spans="1:13" ht="20.100000000000001" customHeight="1" x14ac:dyDescent="0.25">
      <c r="A5" s="57" t="s">
        <v>24</v>
      </c>
      <c r="B5" s="58"/>
      <c r="C5" s="58"/>
      <c r="D5" s="59"/>
      <c r="E5" s="3">
        <f>IF(COUNT(Tabella1[Young''s modulus (MPa)])=0, "Null", AVERAGE(Tabella1[Young''s modulus (MPa)]))</f>
        <v>212000</v>
      </c>
      <c r="F5" s="3" t="str">
        <f>IF(COUNT(Tabella1[Poisson''s ratio (-)])=0, "Null", AVERAGE(Tabella1[Poisson''s ratio (-)]))</f>
        <v>Null</v>
      </c>
      <c r="G5" s="3">
        <f>IF(COUNT(Tabella1[Tensile strength (MPa)])=0, "Null", AVERAGE(Tabella1[Tensile strength (MPa)]))</f>
        <v>681.1</v>
      </c>
      <c r="H5" s="3">
        <f>IF(COUNT(Tabella1[Yield strength (MPa)])=0, "Null", AVERAGE(Tabella1[Yield strength (MPa)]))</f>
        <v>401.3</v>
      </c>
      <c r="I5" s="3">
        <f>IF(COUNT(Tabella1[Tensile fatigue limit (MPa)])=0, "Null", AVERAGE(Tabella1[Tensile fatigue limit (MPa)]))</f>
        <v>313.8</v>
      </c>
      <c r="J5" s="3">
        <f>IF(COUNT(Tabella1[Torsional fatigue limit (MPa)])=0, "Null", AVERAGE(Tabella1[Torsional fatigue limit (MPa)]))</f>
        <v>196.1</v>
      </c>
      <c r="K5" s="11"/>
      <c r="L5" s="9"/>
      <c r="M5" s="15">
        <f>IF(COUNT(Tabella1[K])=0, "Null", AVERAGE(Tabella1[K]))</f>
        <v>1.6002039775624681</v>
      </c>
    </row>
    <row r="6" spans="1:13" ht="20.100000000000001" customHeight="1" thickBot="1" x14ac:dyDescent="0.3">
      <c r="A6" s="60" t="s">
        <v>23</v>
      </c>
      <c r="B6" s="61"/>
      <c r="C6" s="61"/>
      <c r="D6" s="62"/>
      <c r="E6" s="4">
        <f>IF(COUNT(Tabella1[Young''s modulus (MPa)])=0, "Null", _xlfn.STDEV.P(Tabella1[Young''s modulus (MPa)]))</f>
        <v>0</v>
      </c>
      <c r="F6" s="4" t="str">
        <f>IF(COUNT(Tabella1[Poisson''s ratio (-)])=0, "Null", _xlfn.STDEV.P(Tabella1[Poisson''s ratio (-)]))</f>
        <v>Null</v>
      </c>
      <c r="G6" s="4">
        <f>IF(COUNT(Tabella1[Tensile strength (MPa)])=0, "Null", _xlfn.STDEV.P(Tabella1[Tensile strength (MPa)]))</f>
        <v>0</v>
      </c>
      <c r="H6" s="4">
        <f>IF(COUNT(Tabella1[Yield strength (MPa)])=0, "Null", _xlfn.STDEV.P(Tabella1[Yield strength (MPa)]))</f>
        <v>0</v>
      </c>
      <c r="I6" s="4">
        <f>IF(COUNT(Tabella1[Tensile fatigue limit (MPa)])=0, "Null", _xlfn.STDEV.P(Tabella1[Tensile fatigue limit (MPa)]))</f>
        <v>0</v>
      </c>
      <c r="J6" s="4">
        <f>IF(COUNT(Tabella1[Torsional fatigue limit (MPa)])=0, "Null", _xlfn.STDEV.P(Tabella1[Torsional fatigue limit (MPa)]))</f>
        <v>0</v>
      </c>
      <c r="K6" s="12"/>
      <c r="L6" s="4"/>
      <c r="M6" s="16">
        <f>IF(COUNT(Tabella1[K])=0, "Null", _xlfn.STDEV.P(Tabella1[K]))</f>
        <v>0</v>
      </c>
    </row>
    <row r="7" spans="1:13" ht="20.100000000000001" customHeight="1" x14ac:dyDescent="0.25"/>
    <row r="8" spans="1:13" ht="20.100000000000001" customHeight="1" x14ac:dyDescent="0.25"/>
    <row r="9" spans="1:13" ht="20.100000000000001" customHeight="1" x14ac:dyDescent="0.25"/>
    <row r="10" spans="1:13" ht="20.100000000000001" customHeight="1" x14ac:dyDescent="0.25"/>
    <row r="11" spans="1:13" ht="20.100000000000001" customHeight="1" thickBot="1" x14ac:dyDescent="0.3"/>
    <row r="12" spans="1:13" ht="20.100000000000001" customHeight="1" x14ac:dyDescent="0.25">
      <c r="A12" s="63" t="s">
        <v>29</v>
      </c>
      <c r="B12" s="5" t="s">
        <v>30</v>
      </c>
    </row>
    <row r="13" spans="1:13" ht="20.100000000000001" customHeight="1" thickBot="1" x14ac:dyDescent="0.3">
      <c r="A13" s="64"/>
      <c r="B13" s="6" t="s">
        <v>31</v>
      </c>
    </row>
    <row r="26" spans="4:4" x14ac:dyDescent="0.25">
      <c r="D26" s="7" t="s">
        <v>34</v>
      </c>
    </row>
    <row r="27" spans="4:4" x14ac:dyDescent="0.25">
      <c r="D27" s="8">
        <f>COUNTA(Tabella2[Authors])</f>
        <v>10</v>
      </c>
    </row>
  </sheetData>
  <mergeCells count="3">
    <mergeCell ref="A5:D5"/>
    <mergeCell ref="A6:D6"/>
    <mergeCell ref="A12:A13"/>
  </mergeCells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B26AA-516E-43B0-A4A2-503832E5DF1E}">
  <dimension ref="A1:AQ192"/>
  <sheetViews>
    <sheetView zoomScale="70" zoomScaleNormal="70" workbookViewId="0">
      <pane ySplit="1" topLeftCell="A2" activePane="bottomLeft" state="frozen"/>
      <selection activeCell="B1" sqref="B1"/>
      <selection pane="bottomLeft" activeCell="G28" sqref="G28"/>
    </sheetView>
  </sheetViews>
  <sheetFormatPr defaultColWidth="52.7109375" defaultRowHeight="15" x14ac:dyDescent="0.25"/>
  <cols>
    <col min="1" max="1" width="32.42578125" style="1" customWidth="1"/>
    <col min="2" max="2" width="25.5703125" style="1" customWidth="1"/>
    <col min="3" max="3" width="40.42578125" style="1" customWidth="1"/>
    <col min="4" max="4" width="54" style="1" customWidth="1"/>
    <col min="5" max="5" width="32.85546875" style="14" customWidth="1"/>
    <col min="6" max="6" width="24.5703125" style="1" customWidth="1"/>
    <col min="7" max="7" width="49.140625" style="21" customWidth="1"/>
    <col min="8" max="8" width="28.7109375" style="1" customWidth="1"/>
    <col min="9" max="9" width="63.5703125" style="1" customWidth="1"/>
    <col min="10" max="10" width="31.28515625" style="1" customWidth="1"/>
    <col min="11" max="11" width="26.5703125" style="1" customWidth="1"/>
    <col min="12" max="12" width="28" style="1" customWidth="1"/>
    <col min="13" max="13" width="35" style="1" customWidth="1"/>
    <col min="14" max="14" width="31.85546875" style="1" customWidth="1"/>
    <col min="15" max="15" width="35" style="1" customWidth="1"/>
    <col min="16" max="16" width="49.42578125" style="1" customWidth="1"/>
    <col min="17" max="17" width="53.140625" style="21" customWidth="1"/>
    <col min="18" max="18" width="42.140625" style="1" customWidth="1"/>
    <col min="19" max="19" width="33.5703125" style="1" customWidth="1"/>
    <col min="20" max="20" width="38.42578125" style="1" customWidth="1"/>
    <col min="21" max="21" width="37.140625" style="26" customWidth="1"/>
    <col min="22" max="22" width="40.7109375" style="31" customWidth="1"/>
    <col min="23" max="23" width="40" style="31" customWidth="1"/>
    <col min="24" max="24" width="35.140625" style="1" customWidth="1"/>
    <col min="25" max="25" width="34.28515625" style="1" customWidth="1"/>
    <col min="26" max="26" width="41.42578125" style="1" customWidth="1"/>
    <col min="27" max="27" width="28.7109375" style="51" customWidth="1"/>
    <col min="28" max="28" width="29.5703125" style="27" customWidth="1"/>
    <col min="29" max="29" width="27.42578125" style="27" customWidth="1"/>
    <col min="30" max="30" width="30.140625" style="27" customWidth="1"/>
    <col min="31" max="31" width="30.85546875" style="31" customWidth="1"/>
    <col min="32" max="32" width="25" style="27" customWidth="1"/>
    <col min="33" max="33" width="30.28515625" style="21" customWidth="1"/>
    <col min="34" max="34" width="28.5703125" style="27" customWidth="1"/>
    <col min="35" max="35" width="29.28515625" style="27" customWidth="1"/>
    <col min="36" max="36" width="20.140625" style="27" customWidth="1"/>
    <col min="37" max="37" width="23.140625" style="27" customWidth="1"/>
    <col min="38" max="38" width="23.28515625" style="27" customWidth="1"/>
    <col min="39" max="39" width="25.85546875" style="27" customWidth="1"/>
    <col min="40" max="40" width="23.85546875" style="27" customWidth="1"/>
    <col min="41" max="41" width="24" style="22" customWidth="1"/>
    <col min="42" max="42" width="34" style="42" customWidth="1"/>
    <col min="43" max="43" width="52.7109375" style="14"/>
    <col min="44" max="16384" width="52.7109375" style="1"/>
  </cols>
  <sheetData>
    <row r="1" spans="1:43" s="25" customFormat="1" ht="44.25" customHeight="1" x14ac:dyDescent="0.25">
      <c r="A1" s="24" t="s">
        <v>26</v>
      </c>
      <c r="B1" s="24" t="s">
        <v>25</v>
      </c>
      <c r="C1" s="24" t="s">
        <v>61</v>
      </c>
      <c r="D1" s="24" t="s">
        <v>19</v>
      </c>
      <c r="E1" s="45" t="s">
        <v>5</v>
      </c>
      <c r="F1" s="24" t="s">
        <v>6</v>
      </c>
      <c r="G1" s="83" t="s">
        <v>18</v>
      </c>
      <c r="H1" s="84" t="s">
        <v>16</v>
      </c>
      <c r="I1" s="30" t="s">
        <v>44</v>
      </c>
      <c r="J1" s="30" t="s">
        <v>28</v>
      </c>
      <c r="K1" s="35" t="s">
        <v>41</v>
      </c>
      <c r="L1" s="35" t="s">
        <v>42</v>
      </c>
      <c r="M1" s="35" t="s">
        <v>43</v>
      </c>
      <c r="N1" s="30" t="s">
        <v>17</v>
      </c>
      <c r="O1" s="36" t="s">
        <v>33</v>
      </c>
      <c r="P1" s="36" t="s">
        <v>59</v>
      </c>
      <c r="Q1" s="29" t="s">
        <v>58</v>
      </c>
      <c r="R1" s="28" t="s">
        <v>45</v>
      </c>
      <c r="S1" s="28" t="s">
        <v>46</v>
      </c>
      <c r="T1" s="28" t="s">
        <v>47</v>
      </c>
      <c r="U1" s="52" t="s">
        <v>48</v>
      </c>
      <c r="V1" s="37" t="s">
        <v>49</v>
      </c>
      <c r="W1" s="37" t="s">
        <v>50</v>
      </c>
      <c r="X1" s="33" t="s">
        <v>14</v>
      </c>
      <c r="Y1" s="33" t="s">
        <v>51</v>
      </c>
      <c r="Z1" s="33" t="s">
        <v>15</v>
      </c>
      <c r="AA1" s="55" t="s">
        <v>7</v>
      </c>
      <c r="AB1" s="43" t="s">
        <v>8</v>
      </c>
      <c r="AC1" s="43" t="s">
        <v>52</v>
      </c>
      <c r="AD1" s="43" t="s">
        <v>53</v>
      </c>
      <c r="AE1" s="48" t="s">
        <v>56</v>
      </c>
      <c r="AF1" s="47" t="s">
        <v>9</v>
      </c>
      <c r="AG1" s="79" t="s">
        <v>10</v>
      </c>
      <c r="AH1" s="80" t="s">
        <v>54</v>
      </c>
      <c r="AI1" s="50" t="s">
        <v>55</v>
      </c>
      <c r="AJ1" s="49" t="s">
        <v>60</v>
      </c>
      <c r="AK1" s="50" t="s">
        <v>63</v>
      </c>
      <c r="AL1" s="49" t="s">
        <v>35</v>
      </c>
      <c r="AM1" s="50" t="s">
        <v>36</v>
      </c>
      <c r="AN1" s="49" t="s">
        <v>12</v>
      </c>
      <c r="AO1" s="54" t="s">
        <v>11</v>
      </c>
      <c r="AP1" s="39" t="s">
        <v>13</v>
      </c>
      <c r="AQ1" s="56" t="s">
        <v>62</v>
      </c>
    </row>
    <row r="2" spans="1:43" ht="20.100000000000001" customHeight="1" x14ac:dyDescent="0.25">
      <c r="A2" s="1" t="s">
        <v>65</v>
      </c>
      <c r="B2" s="1">
        <v>1945</v>
      </c>
      <c r="C2" s="44" t="s">
        <v>64</v>
      </c>
      <c r="D2" s="1" t="s">
        <v>67</v>
      </c>
      <c r="E2" s="72">
        <v>10000000</v>
      </c>
      <c r="F2" s="1" t="s">
        <v>32</v>
      </c>
      <c r="G2" s="73" t="s">
        <v>68</v>
      </c>
      <c r="H2" s="85" t="e" vm="1">
        <v>#VALUE!</v>
      </c>
      <c r="I2" s="1" t="s">
        <v>27</v>
      </c>
      <c r="J2" s="1" t="s">
        <v>20</v>
      </c>
      <c r="K2" s="1" t="s">
        <v>21</v>
      </c>
      <c r="L2" s="1" t="s">
        <v>21</v>
      </c>
      <c r="M2" s="1">
        <v>0</v>
      </c>
      <c r="N2" s="77">
        <v>8</v>
      </c>
      <c r="O2" s="26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50.26548245743669</v>
      </c>
      <c r="P2" s="26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201.06192982974676</v>
      </c>
      <c r="Q2" s="23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402.12385965949352</v>
      </c>
      <c r="R2" s="1">
        <v>0</v>
      </c>
      <c r="S2" s="1">
        <v>0</v>
      </c>
      <c r="T2" s="1">
        <v>0</v>
      </c>
      <c r="U2" s="1">
        <v>19</v>
      </c>
      <c r="V2" s="1">
        <v>19</v>
      </c>
      <c r="W2" s="1">
        <v>19</v>
      </c>
      <c r="X2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2" s="1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2" s="1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2" s="81">
        <v>0</v>
      </c>
      <c r="AB2" s="73">
        <v>0</v>
      </c>
      <c r="AC2" s="73">
        <v>0</v>
      </c>
      <c r="AD2" s="73">
        <v>299</v>
      </c>
      <c r="AE2" s="31" t="s">
        <v>57</v>
      </c>
      <c r="AF2" s="73">
        <v>0</v>
      </c>
      <c r="AG2" s="73">
        <v>61.9</v>
      </c>
      <c r="AH2" s="51">
        <f>IF(ISNUMBER(Tabella2[[#This Row],[Mean RADIAL stress  (MPa)]]), Tabella2[[#This Row],[Mean RADIAL stress  (MPa)]],"")</f>
        <v>0</v>
      </c>
      <c r="AI2" s="27">
        <f>IF(ISNUMBER(Tabella2[[#This Row],[Amplitute RADIAL stress  (MPa)]]), Tabella2[[#This Row],[Amplitute RADIAL stress  (MPa)]],"")</f>
        <v>0</v>
      </c>
      <c r="AJ2" s="27" t="str">
        <f>IF(ISNUMBER(Tabella2[[#This Row],[Mean AXIAL stress  (MPa)]]), IF(Tabella2[[#This Row],[derived from (AXIAL/BENDING) load]]="AXIAL",Tabella2[[#This Row],[Mean AXIAL stress  (MPa)]]*Tabella2[[#This Row],[Area (mm^2)]],"Null"), "")</f>
        <v>Null</v>
      </c>
      <c r="AK2" s="27" t="str">
        <f>IF(ISNUMBER(Tabella2[[#This Row],[Amplitute AXIAL stress  (MPa)]]),    IF(Tabella2[[#This Row],[derived from (AXIAL/BENDING) load]]="AXIAL",Tabella2[[#This Row],[Amplitute AXIAL stress  (MPa)]]*Tabella2[[#This Row],[Area (mm^2)]],"Null"), "")</f>
        <v>Null</v>
      </c>
      <c r="AL2" s="27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0</v>
      </c>
      <c r="AM2" s="27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15029.37925477357</v>
      </c>
      <c r="AN2" s="27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2" s="22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6222.8667282306624</v>
      </c>
      <c r="AP2" s="40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0.20702341137123745</v>
      </c>
      <c r="AQ2" s="1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317.64103953991838</v>
      </c>
    </row>
    <row r="3" spans="1:43" ht="20.100000000000001" customHeight="1" x14ac:dyDescent="0.25">
      <c r="A3" s="1" t="s">
        <v>65</v>
      </c>
      <c r="B3" s="1">
        <v>1945</v>
      </c>
      <c r="C3" s="44" t="s">
        <v>64</v>
      </c>
      <c r="D3" s="1" t="s">
        <v>67</v>
      </c>
      <c r="E3" s="72">
        <v>10000000</v>
      </c>
      <c r="F3" s="1" t="s">
        <v>32</v>
      </c>
      <c r="G3" s="73" t="s">
        <v>68</v>
      </c>
      <c r="H3" s="85" t="e" vm="1">
        <v>#VALUE!</v>
      </c>
      <c r="I3" s="1" t="s">
        <v>27</v>
      </c>
      <c r="J3" s="1" t="s">
        <v>20</v>
      </c>
      <c r="K3" s="1" t="s">
        <v>21</v>
      </c>
      <c r="L3" s="1" t="s">
        <v>21</v>
      </c>
      <c r="M3" s="1">
        <v>0</v>
      </c>
      <c r="N3" s="77">
        <v>8</v>
      </c>
      <c r="O3" s="26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50.26548245743669</v>
      </c>
      <c r="P3" s="26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201.06192982974676</v>
      </c>
      <c r="Q3" s="23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402.12385965949352</v>
      </c>
      <c r="R3" s="1">
        <v>0</v>
      </c>
      <c r="S3" s="1">
        <v>0</v>
      </c>
      <c r="T3" s="1">
        <v>0</v>
      </c>
      <c r="U3" s="1">
        <v>19</v>
      </c>
      <c r="V3" s="1">
        <v>19</v>
      </c>
      <c r="W3" s="1">
        <v>19</v>
      </c>
      <c r="X3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3" s="1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3" s="1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3" s="81">
        <v>0</v>
      </c>
      <c r="AB3" s="73">
        <v>0</v>
      </c>
      <c r="AC3" s="73">
        <v>0</v>
      </c>
      <c r="AD3" s="73">
        <v>245.2</v>
      </c>
      <c r="AE3" s="31" t="s">
        <v>57</v>
      </c>
      <c r="AF3" s="73">
        <v>0</v>
      </c>
      <c r="AG3" s="73">
        <v>122.6</v>
      </c>
      <c r="AH3" s="51">
        <f>IF(ISNUMBER(Tabella2[[#This Row],[Mean RADIAL stress  (MPa)]]), Tabella2[[#This Row],[Mean RADIAL stress  (MPa)]],"")</f>
        <v>0</v>
      </c>
      <c r="AI3" s="27">
        <f>IF(ISNUMBER(Tabella2[[#This Row],[Amplitute RADIAL stress  (MPa)]]), Tabella2[[#This Row],[Amplitute RADIAL stress  (MPa)]],"")</f>
        <v>0</v>
      </c>
      <c r="AJ3" s="27" t="str">
        <f>IF(ISNUMBER(Tabella2[[#This Row],[Mean AXIAL stress  (MPa)]]), IF(Tabella2[[#This Row],[derived from (AXIAL/BENDING) load]]="AXIAL",Tabella2[[#This Row],[Mean AXIAL stress  (MPa)]]*Tabella2[[#This Row],[Area (mm^2)]],"Null"), "")</f>
        <v>Null</v>
      </c>
      <c r="AK3" s="27" t="str">
        <f>IF(ISNUMBER(Tabella2[[#This Row],[Amplitute AXIAL stress  (MPa)]]),    IF(Tabella2[[#This Row],[derived from (AXIAL/BENDING) load]]="AXIAL",Tabella2[[#This Row],[Amplitute AXIAL stress  (MPa)]]*Tabella2[[#This Row],[Area (mm^2)]],"Null"), "")</f>
        <v>Null</v>
      </c>
      <c r="AL3" s="27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0</v>
      </c>
      <c r="AM3" s="27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12325.096298563476</v>
      </c>
      <c r="AN3" s="27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3" s="22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12325.096298563476</v>
      </c>
      <c r="AP3" s="40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</v>
      </c>
      <c r="AQ3" s="1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324.36911073651879</v>
      </c>
    </row>
    <row r="4" spans="1:43" ht="20.100000000000001" customHeight="1" x14ac:dyDescent="0.25">
      <c r="A4" s="1" t="s">
        <v>65</v>
      </c>
      <c r="B4" s="1">
        <v>1945</v>
      </c>
      <c r="C4" s="44" t="s">
        <v>64</v>
      </c>
      <c r="D4" s="1" t="s">
        <v>67</v>
      </c>
      <c r="E4" s="72">
        <v>10000000</v>
      </c>
      <c r="F4" s="1" t="s">
        <v>32</v>
      </c>
      <c r="G4" s="73" t="s">
        <v>68</v>
      </c>
      <c r="H4" s="85" t="e" vm="1">
        <v>#VALUE!</v>
      </c>
      <c r="I4" s="1" t="s">
        <v>27</v>
      </c>
      <c r="J4" s="1" t="s">
        <v>20</v>
      </c>
      <c r="K4" s="1" t="s">
        <v>21</v>
      </c>
      <c r="L4" s="1" t="s">
        <v>21</v>
      </c>
      <c r="M4" s="1">
        <v>0</v>
      </c>
      <c r="N4" s="77">
        <v>8</v>
      </c>
      <c r="O4" s="26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50.26548245743669</v>
      </c>
      <c r="P4" s="26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201.06192982974676</v>
      </c>
      <c r="Q4" s="23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402.12385965949352</v>
      </c>
      <c r="R4" s="1">
        <v>0</v>
      </c>
      <c r="S4" s="1">
        <v>0</v>
      </c>
      <c r="T4" s="1">
        <v>0</v>
      </c>
      <c r="U4" s="1">
        <v>19</v>
      </c>
      <c r="V4" s="1">
        <v>19</v>
      </c>
      <c r="W4" s="1">
        <v>19</v>
      </c>
      <c r="X4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4" s="1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4" s="1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4" s="81">
        <v>0</v>
      </c>
      <c r="AB4" s="73">
        <v>0</v>
      </c>
      <c r="AC4" s="73">
        <v>0</v>
      </c>
      <c r="AD4" s="73">
        <v>138.1</v>
      </c>
      <c r="AE4" s="31" t="s">
        <v>57</v>
      </c>
      <c r="AF4" s="73">
        <v>0</v>
      </c>
      <c r="AG4" s="73">
        <v>166.7</v>
      </c>
      <c r="AH4" s="51">
        <f>IF(ISNUMBER(Tabella2[[#This Row],[Mean RADIAL stress  (MPa)]]), Tabella2[[#This Row],[Mean RADIAL stress  (MPa)]],"")</f>
        <v>0</v>
      </c>
      <c r="AI4" s="27">
        <f>IF(ISNUMBER(Tabella2[[#This Row],[Amplitute RADIAL stress  (MPa)]]), Tabella2[[#This Row],[Amplitute RADIAL stress  (MPa)]],"")</f>
        <v>0</v>
      </c>
      <c r="AJ4" s="27" t="str">
        <f>IF(ISNUMBER(Tabella2[[#This Row],[Mean AXIAL stress  (MPa)]]), IF(Tabella2[[#This Row],[derived from (AXIAL/BENDING) load]]="AXIAL",Tabella2[[#This Row],[Mean AXIAL stress  (MPa)]]*Tabella2[[#This Row],[Area (mm^2)]],"Null"), "")</f>
        <v>Null</v>
      </c>
      <c r="AK4" s="27" t="str">
        <f>IF(ISNUMBER(Tabella2[[#This Row],[Amplitute AXIAL stress  (MPa)]]),    IF(Tabella2[[#This Row],[derived from (AXIAL/BENDING) load]]="AXIAL",Tabella2[[#This Row],[Amplitute AXIAL stress  (MPa)]]*Tabella2[[#This Row],[Area (mm^2)]],"Null"), "")</f>
        <v>Null</v>
      </c>
      <c r="AL4" s="27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0</v>
      </c>
      <c r="AM4" s="27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6941.6631273720068</v>
      </c>
      <c r="AN4" s="27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4" s="22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16758.511851309391</v>
      </c>
      <c r="AP4" s="40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1.2070963070238956</v>
      </c>
      <c r="AQ4" s="1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320.05980691114587</v>
      </c>
    </row>
    <row r="5" spans="1:43" ht="20.100000000000001" customHeight="1" x14ac:dyDescent="0.25">
      <c r="A5" s="1" t="s">
        <v>65</v>
      </c>
      <c r="B5" s="1">
        <v>1945</v>
      </c>
      <c r="C5" s="44" t="s">
        <v>64</v>
      </c>
      <c r="D5" s="1" t="s">
        <v>67</v>
      </c>
      <c r="E5" s="72">
        <v>10000000</v>
      </c>
      <c r="F5" s="1" t="s">
        <v>32</v>
      </c>
      <c r="G5" s="73" t="s">
        <v>68</v>
      </c>
      <c r="H5" s="85" t="e" vm="1">
        <v>#VALUE!</v>
      </c>
      <c r="I5" s="1" t="s">
        <v>27</v>
      </c>
      <c r="J5" s="1" t="s">
        <v>20</v>
      </c>
      <c r="K5" s="1" t="s">
        <v>21</v>
      </c>
      <c r="L5" s="1" t="s">
        <v>21</v>
      </c>
      <c r="M5" s="1">
        <v>0</v>
      </c>
      <c r="N5" s="77">
        <v>8</v>
      </c>
      <c r="O5" s="26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50.26548245743669</v>
      </c>
      <c r="P5" s="26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201.06192982974676</v>
      </c>
      <c r="Q5" s="23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402.12385965949352</v>
      </c>
      <c r="R5" s="1">
        <v>0</v>
      </c>
      <c r="S5" s="1">
        <v>0</v>
      </c>
      <c r="T5" s="1">
        <v>30</v>
      </c>
      <c r="U5" s="1">
        <v>19</v>
      </c>
      <c r="V5" s="1">
        <v>19</v>
      </c>
      <c r="W5" s="1">
        <v>19</v>
      </c>
      <c r="X5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5" s="1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5" s="1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5" s="81">
        <v>0</v>
      </c>
      <c r="AB5" s="73">
        <v>0</v>
      </c>
      <c r="AC5" s="73">
        <v>0</v>
      </c>
      <c r="AD5" s="73">
        <v>249.6</v>
      </c>
      <c r="AE5" s="31" t="s">
        <v>57</v>
      </c>
      <c r="AF5" s="73">
        <v>0</v>
      </c>
      <c r="AG5" s="73">
        <v>124.8</v>
      </c>
      <c r="AH5" s="51">
        <f>IF(ISNUMBER(Tabella2[[#This Row],[Mean RADIAL stress  (MPa)]]), Tabella2[[#This Row],[Mean RADIAL stress  (MPa)]],"")</f>
        <v>0</v>
      </c>
      <c r="AI5" s="27">
        <f>IF(ISNUMBER(Tabella2[[#This Row],[Amplitute RADIAL stress  (MPa)]]), Tabella2[[#This Row],[Amplitute RADIAL stress  (MPa)]],"")</f>
        <v>0</v>
      </c>
      <c r="AJ5" s="27" t="str">
        <f>IF(ISNUMBER(Tabella2[[#This Row],[Mean AXIAL stress  (MPa)]]), IF(Tabella2[[#This Row],[derived from (AXIAL/BENDING) load]]="AXIAL",Tabella2[[#This Row],[Mean AXIAL stress  (MPa)]]*Tabella2[[#This Row],[Area (mm^2)]],"Null"), "")</f>
        <v>Null</v>
      </c>
      <c r="AK5" s="27" t="str">
        <f>IF(ISNUMBER(Tabella2[[#This Row],[Amplitute AXIAL stress  (MPa)]]),    IF(Tabella2[[#This Row],[derived from (AXIAL/BENDING) load]]="AXIAL",Tabella2[[#This Row],[Amplitute AXIAL stress  (MPa)]]*Tabella2[[#This Row],[Area (mm^2)]],"Null"), "")</f>
        <v>Null</v>
      </c>
      <c r="AL5" s="27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0</v>
      </c>
      <c r="AM5" s="27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12546.264421376198</v>
      </c>
      <c r="AN5" s="27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5" s="22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12546.264421376198</v>
      </c>
      <c r="AP5" s="40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</v>
      </c>
      <c r="AQ5" s="1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330.1897636208609</v>
      </c>
    </row>
    <row r="6" spans="1:43" ht="20.100000000000001" customHeight="1" x14ac:dyDescent="0.25">
      <c r="A6" s="1" t="s">
        <v>65</v>
      </c>
      <c r="B6" s="1">
        <v>1945</v>
      </c>
      <c r="C6" s="44" t="s">
        <v>64</v>
      </c>
      <c r="D6" s="1" t="s">
        <v>67</v>
      </c>
      <c r="E6" s="72">
        <v>10000000</v>
      </c>
      <c r="F6" s="1" t="s">
        <v>32</v>
      </c>
      <c r="G6" s="73" t="s">
        <v>68</v>
      </c>
      <c r="H6" s="85" t="e" vm="1">
        <v>#VALUE!</v>
      </c>
      <c r="I6" s="1" t="s">
        <v>27</v>
      </c>
      <c r="J6" s="1" t="s">
        <v>20</v>
      </c>
      <c r="K6" s="1" t="s">
        <v>21</v>
      </c>
      <c r="L6" s="1" t="s">
        <v>21</v>
      </c>
      <c r="M6" s="1">
        <v>0</v>
      </c>
      <c r="N6" s="77">
        <v>8</v>
      </c>
      <c r="O6" s="26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50.26548245743669</v>
      </c>
      <c r="P6" s="26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201.06192982974676</v>
      </c>
      <c r="Q6" s="23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402.12385965949352</v>
      </c>
      <c r="R6" s="1">
        <v>0</v>
      </c>
      <c r="S6" s="1">
        <v>0</v>
      </c>
      <c r="T6" s="1">
        <v>30</v>
      </c>
      <c r="U6" s="1">
        <v>19</v>
      </c>
      <c r="V6" s="1">
        <v>19</v>
      </c>
      <c r="W6" s="1">
        <v>19</v>
      </c>
      <c r="X6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6" s="1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6" s="1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6" s="81">
        <v>0</v>
      </c>
      <c r="AB6" s="73">
        <v>0</v>
      </c>
      <c r="AC6" s="73">
        <v>0</v>
      </c>
      <c r="AD6" s="73">
        <v>140.30000000000001</v>
      </c>
      <c r="AE6" s="31" t="s">
        <v>57</v>
      </c>
      <c r="AF6" s="73">
        <v>0</v>
      </c>
      <c r="AG6" s="73">
        <v>169.5</v>
      </c>
      <c r="AH6" s="51">
        <f>IF(ISNUMBER(Tabella2[[#This Row],[Mean RADIAL stress  (MPa)]]), Tabella2[[#This Row],[Mean RADIAL stress  (MPa)]],"")</f>
        <v>0</v>
      </c>
      <c r="AI6" s="27">
        <f>IF(ISNUMBER(Tabella2[[#This Row],[Amplitute RADIAL stress  (MPa)]]), Tabella2[[#This Row],[Amplitute RADIAL stress  (MPa)]],"")</f>
        <v>0</v>
      </c>
      <c r="AJ6" s="27" t="str">
        <f>IF(ISNUMBER(Tabella2[[#This Row],[Mean AXIAL stress  (MPa)]]), IF(Tabella2[[#This Row],[derived from (AXIAL/BENDING) load]]="AXIAL",Tabella2[[#This Row],[Mean AXIAL stress  (MPa)]]*Tabella2[[#This Row],[Area (mm^2)]],"Null"), "")</f>
        <v>Null</v>
      </c>
      <c r="AK6" s="27" t="str">
        <f>IF(ISNUMBER(Tabella2[[#This Row],[Amplitute AXIAL stress  (MPa)]]),    IF(Tabella2[[#This Row],[derived from (AXIAL/BENDING) load]]="AXIAL",Tabella2[[#This Row],[Amplitute AXIAL stress  (MPa)]]*Tabella2[[#This Row],[Area (mm^2)]],"Null"), "")</f>
        <v>Null</v>
      </c>
      <c r="AL6" s="27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0</v>
      </c>
      <c r="AM6" s="27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7052.2471887783686</v>
      </c>
      <c r="AN6" s="27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6" s="22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17039.998553071036</v>
      </c>
      <c r="AP6" s="40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1.2081254454739843</v>
      </c>
      <c r="AQ6" s="1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325.38414220733006</v>
      </c>
    </row>
    <row r="7" spans="1:43" ht="20.100000000000001" customHeight="1" x14ac:dyDescent="0.25">
      <c r="A7" s="1" t="s">
        <v>65</v>
      </c>
      <c r="B7" s="1">
        <v>1945</v>
      </c>
      <c r="C7" s="44" t="s">
        <v>64</v>
      </c>
      <c r="D7" s="1" t="s">
        <v>67</v>
      </c>
      <c r="E7" s="72">
        <v>10000000</v>
      </c>
      <c r="F7" s="1" t="s">
        <v>32</v>
      </c>
      <c r="G7" s="73" t="s">
        <v>68</v>
      </c>
      <c r="H7" s="85" t="e" vm="1">
        <v>#VALUE!</v>
      </c>
      <c r="I7" s="1" t="s">
        <v>27</v>
      </c>
      <c r="J7" s="1" t="s">
        <v>20</v>
      </c>
      <c r="K7" s="1" t="s">
        <v>21</v>
      </c>
      <c r="L7" s="1" t="s">
        <v>21</v>
      </c>
      <c r="M7" s="1">
        <v>0</v>
      </c>
      <c r="N7" s="77">
        <v>8</v>
      </c>
      <c r="O7" s="26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50.26548245743669</v>
      </c>
      <c r="P7" s="26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201.06192982974676</v>
      </c>
      <c r="Q7" s="23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402.12385965949352</v>
      </c>
      <c r="R7" s="1">
        <v>0</v>
      </c>
      <c r="S7" s="1">
        <v>0</v>
      </c>
      <c r="T7" s="1">
        <v>60</v>
      </c>
      <c r="U7" s="1">
        <v>19</v>
      </c>
      <c r="V7" s="1">
        <v>19</v>
      </c>
      <c r="W7" s="1">
        <v>19</v>
      </c>
      <c r="X7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7" s="1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7" s="1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7" s="81">
        <v>0</v>
      </c>
      <c r="AB7" s="73">
        <v>0</v>
      </c>
      <c r="AC7" s="73">
        <v>0</v>
      </c>
      <c r="AD7" s="73">
        <v>252.3</v>
      </c>
      <c r="AE7" s="31" t="s">
        <v>57</v>
      </c>
      <c r="AF7" s="73">
        <v>0</v>
      </c>
      <c r="AG7" s="73">
        <v>126.2</v>
      </c>
      <c r="AH7" s="51">
        <f>IF(ISNUMBER(Tabella2[[#This Row],[Mean RADIAL stress  (MPa)]]), Tabella2[[#This Row],[Mean RADIAL stress  (MPa)]],"")</f>
        <v>0</v>
      </c>
      <c r="AI7" s="27">
        <f>IF(ISNUMBER(Tabella2[[#This Row],[Amplitute RADIAL stress  (MPa)]]), Tabella2[[#This Row],[Amplitute RADIAL stress  (MPa)]],"")</f>
        <v>0</v>
      </c>
      <c r="AJ7" s="27" t="str">
        <f>IF(ISNUMBER(Tabella2[[#This Row],[Mean AXIAL stress  (MPa)]]), IF(Tabella2[[#This Row],[derived from (AXIAL/BENDING) load]]="AXIAL",Tabella2[[#This Row],[Mean AXIAL stress  (MPa)]]*Tabella2[[#This Row],[Area (mm^2)]],"Null"), "")</f>
        <v>Null</v>
      </c>
      <c r="AK7" s="27" t="str">
        <f>IF(ISNUMBER(Tabella2[[#This Row],[Amplitute AXIAL stress  (MPa)]]),    IF(Tabella2[[#This Row],[derived from (AXIAL/BENDING) load]]="AXIAL",Tabella2[[#This Row],[Amplitute AXIAL stress  (MPa)]]*Tabella2[[#This Row],[Area (mm^2)]],"Null"), "")</f>
        <v>Null</v>
      </c>
      <c r="AL7" s="27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0</v>
      </c>
      <c r="AM7" s="27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12681.981224011277</v>
      </c>
      <c r="AN7" s="27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7" s="22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12687.00777225702</v>
      </c>
      <c r="AP7" s="40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0.50019817677368217</v>
      </c>
      <c r="AQ7" s="1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333.81822898098301</v>
      </c>
    </row>
    <row r="8" spans="1:43" ht="20.100000000000001" customHeight="1" x14ac:dyDescent="0.25">
      <c r="A8" s="1" t="s">
        <v>65</v>
      </c>
      <c r="B8" s="1">
        <v>1945</v>
      </c>
      <c r="C8" s="44" t="s">
        <v>64</v>
      </c>
      <c r="D8" s="1" t="s">
        <v>67</v>
      </c>
      <c r="E8" s="72">
        <v>10000000</v>
      </c>
      <c r="F8" s="1" t="s">
        <v>32</v>
      </c>
      <c r="G8" s="73" t="s">
        <v>68</v>
      </c>
      <c r="H8" s="85" t="e" vm="1">
        <v>#VALUE!</v>
      </c>
      <c r="I8" s="1" t="s">
        <v>27</v>
      </c>
      <c r="J8" s="1" t="s">
        <v>20</v>
      </c>
      <c r="K8" s="1" t="s">
        <v>21</v>
      </c>
      <c r="L8" s="1" t="s">
        <v>21</v>
      </c>
      <c r="M8" s="1">
        <v>0</v>
      </c>
      <c r="N8" s="77">
        <v>8</v>
      </c>
      <c r="O8" s="26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50.26548245743669</v>
      </c>
      <c r="P8" s="26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201.06192982974676</v>
      </c>
      <c r="Q8" s="23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402.12385965949352</v>
      </c>
      <c r="R8" s="1">
        <v>0</v>
      </c>
      <c r="S8" s="1">
        <v>0</v>
      </c>
      <c r="T8" s="1">
        <v>60</v>
      </c>
      <c r="U8" s="1">
        <v>19</v>
      </c>
      <c r="V8" s="1">
        <v>19</v>
      </c>
      <c r="W8" s="1">
        <v>19</v>
      </c>
      <c r="X8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8" s="1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8" s="1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8" s="81">
        <v>0</v>
      </c>
      <c r="AB8" s="73">
        <v>0</v>
      </c>
      <c r="AC8" s="73">
        <v>0</v>
      </c>
      <c r="AD8" s="73">
        <v>145.6</v>
      </c>
      <c r="AE8" s="31" t="s">
        <v>57</v>
      </c>
      <c r="AF8" s="73">
        <v>0</v>
      </c>
      <c r="AG8" s="73">
        <v>176.6</v>
      </c>
      <c r="AH8" s="51">
        <f>IF(ISNUMBER(Tabella2[[#This Row],[Mean RADIAL stress  (MPa)]]), Tabella2[[#This Row],[Mean RADIAL stress  (MPa)]],"")</f>
        <v>0</v>
      </c>
      <c r="AI8" s="27">
        <f>IF(ISNUMBER(Tabella2[[#This Row],[Amplitute RADIAL stress  (MPa)]]), Tabella2[[#This Row],[Amplitute RADIAL stress  (MPa)]],"")</f>
        <v>0</v>
      </c>
      <c r="AJ8" s="27" t="str">
        <f>IF(ISNUMBER(Tabella2[[#This Row],[Mean AXIAL stress  (MPa)]]), IF(Tabella2[[#This Row],[derived from (AXIAL/BENDING) load]]="AXIAL",Tabella2[[#This Row],[Mean AXIAL stress  (MPa)]]*Tabella2[[#This Row],[Area (mm^2)]],"Null"), "")</f>
        <v>Null</v>
      </c>
      <c r="AK8" s="27" t="str">
        <f>IF(ISNUMBER(Tabella2[[#This Row],[Amplitute AXIAL stress  (MPa)]]),    IF(Tabella2[[#This Row],[derived from (AXIAL/BENDING) load]]="AXIAL",Tabella2[[#This Row],[Amplitute AXIAL stress  (MPa)]]*Tabella2[[#This Row],[Area (mm^2)]],"Null"), "")</f>
        <v>Null</v>
      </c>
      <c r="AL8" s="27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0</v>
      </c>
      <c r="AM8" s="27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7318.6542458027816</v>
      </c>
      <c r="AN8" s="27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8" s="22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17753.768403966638</v>
      </c>
      <c r="AP8" s="40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1.2129120879120878</v>
      </c>
      <c r="AQ8" s="1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338.76546459165519</v>
      </c>
    </row>
    <row r="9" spans="1:43" ht="20.100000000000001" customHeight="1" x14ac:dyDescent="0.25">
      <c r="A9" s="1" t="s">
        <v>65</v>
      </c>
      <c r="B9" s="1">
        <v>1945</v>
      </c>
      <c r="C9" s="44" t="s">
        <v>64</v>
      </c>
      <c r="D9" s="1" t="s">
        <v>67</v>
      </c>
      <c r="E9" s="72">
        <v>10000000</v>
      </c>
      <c r="F9" s="1" t="s">
        <v>32</v>
      </c>
      <c r="G9" s="73" t="s">
        <v>68</v>
      </c>
      <c r="H9" s="85" t="e" vm="1">
        <v>#VALUE!</v>
      </c>
      <c r="I9" s="1" t="s">
        <v>27</v>
      </c>
      <c r="J9" s="1" t="s">
        <v>20</v>
      </c>
      <c r="K9" s="1" t="s">
        <v>21</v>
      </c>
      <c r="L9" s="1" t="s">
        <v>21</v>
      </c>
      <c r="M9" s="1">
        <v>0</v>
      </c>
      <c r="N9" s="77">
        <v>8</v>
      </c>
      <c r="O9" s="26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50.26548245743669</v>
      </c>
      <c r="P9" s="26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201.06192982974676</v>
      </c>
      <c r="Q9" s="23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402.12385965949352</v>
      </c>
      <c r="R9" s="1">
        <v>0</v>
      </c>
      <c r="S9" s="1">
        <v>0</v>
      </c>
      <c r="T9" s="1">
        <v>90</v>
      </c>
      <c r="U9" s="1">
        <v>19</v>
      </c>
      <c r="V9" s="1">
        <v>19</v>
      </c>
      <c r="W9" s="1">
        <v>19</v>
      </c>
      <c r="X9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9" s="1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9" s="1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9" s="81">
        <v>0</v>
      </c>
      <c r="AB9" s="73">
        <v>0</v>
      </c>
      <c r="AC9" s="73">
        <v>0</v>
      </c>
      <c r="AD9" s="73">
        <v>304.39999999999998</v>
      </c>
      <c r="AE9" s="31" t="s">
        <v>57</v>
      </c>
      <c r="AF9" s="73">
        <v>0</v>
      </c>
      <c r="AG9" s="73">
        <v>63.1</v>
      </c>
      <c r="AH9" s="51">
        <f>IF(ISNUMBER(Tabella2[[#This Row],[Mean RADIAL stress  (MPa)]]), Tabella2[[#This Row],[Mean RADIAL stress  (MPa)]],"")</f>
        <v>0</v>
      </c>
      <c r="AI9" s="27">
        <f>IF(ISNUMBER(Tabella2[[#This Row],[Amplitute RADIAL stress  (MPa)]]), Tabella2[[#This Row],[Amplitute RADIAL stress  (MPa)]],"")</f>
        <v>0</v>
      </c>
      <c r="AJ9" s="27" t="str">
        <f>IF(ISNUMBER(Tabella2[[#This Row],[Mean AXIAL stress  (MPa)]]), IF(Tabella2[[#This Row],[derived from (AXIAL/BENDING) load]]="AXIAL",Tabella2[[#This Row],[Mean AXIAL stress  (MPa)]]*Tabella2[[#This Row],[Area (mm^2)]],"Null"), "")</f>
        <v>Null</v>
      </c>
      <c r="AK9" s="27" t="str">
        <f>IF(ISNUMBER(Tabella2[[#This Row],[Amplitute AXIAL stress  (MPa)]]),    IF(Tabella2[[#This Row],[derived from (AXIAL/BENDING) load]]="AXIAL",Tabella2[[#This Row],[Amplitute AXIAL stress  (MPa)]]*Tabella2[[#This Row],[Area (mm^2)]],"Null"), "")</f>
        <v>Null</v>
      </c>
      <c r="AL9" s="27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0</v>
      </c>
      <c r="AM9" s="27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15300.812860043727</v>
      </c>
      <c r="AN9" s="27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9" s="22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6343.5038861285102</v>
      </c>
      <c r="AP9" s="40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0.20729303547963207</v>
      </c>
      <c r="AQ9" s="1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323.42571017159412</v>
      </c>
    </row>
    <row r="10" spans="1:43" ht="20.100000000000001" customHeight="1" x14ac:dyDescent="0.25">
      <c r="A10" s="1" t="s">
        <v>65</v>
      </c>
      <c r="B10" s="1">
        <v>1945</v>
      </c>
      <c r="C10" s="44" t="s">
        <v>64</v>
      </c>
      <c r="D10" s="1" t="s">
        <v>67</v>
      </c>
      <c r="E10" s="72">
        <v>10000000</v>
      </c>
      <c r="F10" s="1" t="s">
        <v>32</v>
      </c>
      <c r="G10" s="73" t="s">
        <v>68</v>
      </c>
      <c r="H10" s="85" t="e" vm="1">
        <v>#VALUE!</v>
      </c>
      <c r="I10" s="1" t="s">
        <v>27</v>
      </c>
      <c r="J10" s="1" t="s">
        <v>20</v>
      </c>
      <c r="K10" s="1" t="s">
        <v>21</v>
      </c>
      <c r="L10" s="1" t="s">
        <v>21</v>
      </c>
      <c r="M10" s="1">
        <v>0</v>
      </c>
      <c r="N10" s="77">
        <v>8</v>
      </c>
      <c r="O10" s="26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50.26548245743669</v>
      </c>
      <c r="P10" s="26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201.06192982974676</v>
      </c>
      <c r="Q10" s="23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402.12385965949352</v>
      </c>
      <c r="R10" s="1">
        <v>0</v>
      </c>
      <c r="S10" s="1">
        <v>0</v>
      </c>
      <c r="T10" s="1">
        <v>90</v>
      </c>
      <c r="U10" s="1">
        <v>19</v>
      </c>
      <c r="V10" s="1">
        <v>19</v>
      </c>
      <c r="W10" s="1">
        <v>19</v>
      </c>
      <c r="X10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0" s="1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10" s="1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10" s="81">
        <v>0</v>
      </c>
      <c r="AB10" s="73">
        <v>0</v>
      </c>
      <c r="AC10" s="73">
        <v>0</v>
      </c>
      <c r="AD10" s="73">
        <v>257.89999999999998</v>
      </c>
      <c r="AE10" s="31" t="s">
        <v>57</v>
      </c>
      <c r="AF10" s="73">
        <v>0</v>
      </c>
      <c r="AG10" s="73">
        <v>129</v>
      </c>
      <c r="AH10" s="51">
        <f>IF(ISNUMBER(Tabella2[[#This Row],[Mean RADIAL stress  (MPa)]]), Tabella2[[#This Row],[Mean RADIAL stress  (MPa)]],"")</f>
        <v>0</v>
      </c>
      <c r="AI10" s="27">
        <f>IF(ISNUMBER(Tabella2[[#This Row],[Amplitute RADIAL stress  (MPa)]]), Tabella2[[#This Row],[Amplitute RADIAL stress  (MPa)]],"")</f>
        <v>0</v>
      </c>
      <c r="AJ10" s="27" t="str">
        <f>IF(ISNUMBER(Tabella2[[#This Row],[Mean AXIAL stress  (MPa)]]), IF(Tabella2[[#This Row],[derived from (AXIAL/BENDING) load]]="AXIAL",Tabella2[[#This Row],[Mean AXIAL stress  (MPa)]]*Tabella2[[#This Row],[Area (mm^2)]],"Null"), "")</f>
        <v>Null</v>
      </c>
      <c r="AK10" s="27" t="str">
        <f>IF(ISNUMBER(Tabella2[[#This Row],[Amplitute AXIAL stress  (MPa)]]),    IF(Tabella2[[#This Row],[derived from (AXIAL/BENDING) load]]="AXIAL",Tabella2[[#This Row],[Amplitute AXIAL stress  (MPa)]]*Tabella2[[#This Row],[Area (mm^2)]],"Null"), "")</f>
        <v>Null</v>
      </c>
      <c r="AL10" s="27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0</v>
      </c>
      <c r="AM10" s="27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12963.46792577292</v>
      </c>
      <c r="AN10" s="27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10" s="22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12968.494474018666</v>
      </c>
      <c r="AP10" s="40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0.50019387359441647</v>
      </c>
      <c r="AQ10" s="1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341.22633251260078</v>
      </c>
    </row>
    <row r="11" spans="1:43" s="17" customFormat="1" ht="20.100000000000001" customHeight="1" thickBot="1" x14ac:dyDescent="0.3">
      <c r="A11" s="17" t="s">
        <v>65</v>
      </c>
      <c r="B11" s="17">
        <v>1945</v>
      </c>
      <c r="C11" s="74" t="s">
        <v>64</v>
      </c>
      <c r="D11" s="17" t="s">
        <v>67</v>
      </c>
      <c r="E11" s="75">
        <v>10000000</v>
      </c>
      <c r="F11" s="17" t="s">
        <v>32</v>
      </c>
      <c r="G11" s="76" t="s">
        <v>68</v>
      </c>
      <c r="H11" s="86" t="e" vm="1">
        <v>#VALUE!</v>
      </c>
      <c r="I11" s="17" t="s">
        <v>27</v>
      </c>
      <c r="J11" s="17" t="s">
        <v>20</v>
      </c>
      <c r="K11" s="17" t="s">
        <v>21</v>
      </c>
      <c r="L11" s="17" t="s">
        <v>21</v>
      </c>
      <c r="M11" s="17">
        <v>0</v>
      </c>
      <c r="N11" s="78">
        <v>8</v>
      </c>
      <c r="O11" s="1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50.26548245743669</v>
      </c>
      <c r="P11" s="1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201.06192982974676</v>
      </c>
      <c r="Q11" s="3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402.12385965949352</v>
      </c>
      <c r="R11" s="17">
        <v>0</v>
      </c>
      <c r="S11" s="17">
        <v>0</v>
      </c>
      <c r="T11" s="17">
        <v>90</v>
      </c>
      <c r="U11" s="17">
        <v>19</v>
      </c>
      <c r="V11" s="17">
        <v>19</v>
      </c>
      <c r="W11" s="17">
        <v>19</v>
      </c>
      <c r="X11" s="17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1" s="17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11" s="17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11" s="82">
        <v>0</v>
      </c>
      <c r="AB11" s="76">
        <v>0</v>
      </c>
      <c r="AC11" s="76">
        <v>0</v>
      </c>
      <c r="AD11" s="76">
        <v>150.1</v>
      </c>
      <c r="AE11" s="32" t="s">
        <v>57</v>
      </c>
      <c r="AF11" s="76">
        <v>0</v>
      </c>
      <c r="AG11" s="76">
        <v>181.2</v>
      </c>
      <c r="AH11" s="53">
        <f>IF(ISNUMBER(Tabella2[[#This Row],[Mean RADIAL stress  (MPa)]]), Tabella2[[#This Row],[Mean RADIAL stress  (MPa)]],"")</f>
        <v>0</v>
      </c>
      <c r="AI11" s="19">
        <f>IF(ISNUMBER(Tabella2[[#This Row],[Amplitute RADIAL stress  (MPa)]]), Tabella2[[#This Row],[Amplitute RADIAL stress  (MPa)]],"")</f>
        <v>0</v>
      </c>
      <c r="AJ11" s="19" t="str">
        <f>IF(ISNUMBER(Tabella2[[#This Row],[Mean AXIAL stress  (MPa)]]), IF(Tabella2[[#This Row],[derived from (AXIAL/BENDING) load]]="AXIAL",Tabella2[[#This Row],[Mean AXIAL stress  (MPa)]]*Tabella2[[#This Row],[Area (mm^2)]],"Null"), "")</f>
        <v>Null</v>
      </c>
      <c r="AK11" s="19" t="str">
        <f>IF(ISNUMBER(Tabella2[[#This Row],[Amplitute AXIAL stress  (MPa)]]),    IF(Tabella2[[#This Row],[derived from (AXIAL/BENDING) load]]="AXIAL",Tabella2[[#This Row],[Amplitute AXIAL stress  (MPa)]]*Tabella2[[#This Row],[Area (mm^2)]],"Null"), "")</f>
        <v>Null</v>
      </c>
      <c r="AL11" s="19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0</v>
      </c>
      <c r="AM11" s="19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7544.8489168612468</v>
      </c>
      <c r="AN11" s="19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11" s="38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18216.210842575056</v>
      </c>
      <c r="AP11" s="41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1.2071952031978681</v>
      </c>
      <c r="AQ11" s="20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347.89413619663088</v>
      </c>
    </row>
    <row r="12" spans="1:43" s="65" customFormat="1" ht="20.100000000000001" customHeight="1" x14ac:dyDescent="0.25">
      <c r="E12" s="66"/>
      <c r="O12" s="67"/>
      <c r="P12" s="67"/>
      <c r="Q12" s="67"/>
      <c r="U12" s="67"/>
      <c r="V12" s="68"/>
      <c r="W12" s="68"/>
      <c r="AA12" s="69"/>
      <c r="AB12" s="69"/>
      <c r="AC12" s="69"/>
      <c r="AD12" s="69"/>
      <c r="AE12" s="68"/>
      <c r="AF12" s="69"/>
      <c r="AG12" s="69"/>
      <c r="AH12" s="69"/>
      <c r="AI12" s="69"/>
      <c r="AJ12" s="69"/>
      <c r="AK12" s="69"/>
      <c r="AL12" s="69"/>
      <c r="AM12" s="69"/>
      <c r="AN12" s="69"/>
      <c r="AO12" s="69"/>
      <c r="AP12" s="66"/>
      <c r="AQ12" s="66"/>
    </row>
    <row r="13" spans="1:43" s="65" customFormat="1" ht="20.100000000000001" customHeight="1" x14ac:dyDescent="0.25">
      <c r="E13" s="66"/>
      <c r="O13" s="67"/>
      <c r="P13" s="67"/>
      <c r="Q13" s="67"/>
      <c r="U13" s="67"/>
      <c r="V13" s="68"/>
      <c r="W13" s="68"/>
      <c r="AA13" s="69"/>
      <c r="AB13" s="69"/>
      <c r="AC13" s="69"/>
      <c r="AD13" s="69"/>
      <c r="AE13" s="68"/>
      <c r="AF13" s="69"/>
      <c r="AG13" s="69"/>
      <c r="AH13" s="69"/>
      <c r="AI13" s="69"/>
      <c r="AJ13" s="69"/>
      <c r="AK13" s="69"/>
      <c r="AL13" s="69"/>
      <c r="AM13" s="69"/>
      <c r="AN13" s="69"/>
      <c r="AO13" s="69"/>
      <c r="AP13" s="66"/>
      <c r="AQ13" s="66"/>
    </row>
    <row r="14" spans="1:43" s="65" customFormat="1" ht="20.100000000000001" customHeight="1" x14ac:dyDescent="0.25">
      <c r="E14" s="66"/>
      <c r="O14" s="67"/>
      <c r="P14" s="67"/>
      <c r="Q14" s="67"/>
      <c r="U14" s="67"/>
      <c r="V14" s="68"/>
      <c r="W14" s="68"/>
      <c r="AA14" s="69"/>
      <c r="AB14" s="69"/>
      <c r="AC14" s="69"/>
      <c r="AD14" s="69"/>
      <c r="AE14" s="68"/>
      <c r="AF14" s="69"/>
      <c r="AG14" s="69"/>
      <c r="AH14" s="69"/>
      <c r="AI14" s="69"/>
      <c r="AJ14" s="69"/>
      <c r="AK14" s="69"/>
      <c r="AL14" s="69"/>
      <c r="AM14" s="69"/>
      <c r="AN14" s="69"/>
      <c r="AO14" s="69"/>
      <c r="AP14" s="66"/>
      <c r="AQ14" s="66"/>
    </row>
    <row r="15" spans="1:43" s="65" customFormat="1" ht="20.100000000000001" customHeight="1" x14ac:dyDescent="0.25">
      <c r="E15" s="66"/>
      <c r="O15" s="67"/>
      <c r="P15" s="67"/>
      <c r="Q15" s="67"/>
      <c r="U15" s="67"/>
      <c r="V15" s="68"/>
      <c r="W15" s="68"/>
      <c r="AA15" s="69"/>
      <c r="AB15" s="69"/>
      <c r="AC15" s="69"/>
      <c r="AD15" s="69"/>
      <c r="AE15" s="68"/>
      <c r="AF15" s="69"/>
      <c r="AG15" s="69"/>
      <c r="AH15" s="69"/>
      <c r="AI15" s="69"/>
      <c r="AJ15" s="69"/>
      <c r="AK15" s="69"/>
      <c r="AL15" s="69"/>
      <c r="AM15" s="69"/>
      <c r="AN15" s="69"/>
      <c r="AO15" s="69"/>
      <c r="AP15" s="66"/>
      <c r="AQ15" s="66"/>
    </row>
    <row r="16" spans="1:43" s="65" customFormat="1" ht="20.100000000000001" customHeight="1" x14ac:dyDescent="0.25">
      <c r="E16" s="66"/>
      <c r="O16" s="67"/>
      <c r="P16" s="67"/>
      <c r="Q16" s="67"/>
      <c r="U16" s="67"/>
      <c r="V16" s="68"/>
      <c r="W16" s="68"/>
      <c r="AA16" s="69"/>
      <c r="AB16" s="69"/>
      <c r="AC16" s="69"/>
      <c r="AD16" s="69"/>
      <c r="AE16" s="68"/>
      <c r="AF16" s="69"/>
      <c r="AG16" s="69"/>
      <c r="AH16" s="69"/>
      <c r="AI16" s="69"/>
      <c r="AJ16" s="69"/>
      <c r="AK16" s="69"/>
      <c r="AL16" s="69"/>
      <c r="AM16" s="69"/>
      <c r="AN16" s="69"/>
      <c r="AO16" s="69"/>
      <c r="AP16" s="66"/>
      <c r="AQ16" s="66"/>
    </row>
    <row r="17" spans="5:43" s="65" customFormat="1" ht="20.100000000000001" customHeight="1" x14ac:dyDescent="0.25">
      <c r="E17" s="66"/>
      <c r="O17" s="67"/>
      <c r="P17" s="67"/>
      <c r="Q17" s="67"/>
      <c r="U17" s="67"/>
      <c r="V17" s="68"/>
      <c r="W17" s="68"/>
      <c r="AA17" s="69"/>
      <c r="AB17" s="69"/>
      <c r="AC17" s="69"/>
      <c r="AD17" s="69"/>
      <c r="AE17" s="68"/>
      <c r="AF17" s="69"/>
      <c r="AG17" s="69"/>
      <c r="AH17" s="69"/>
      <c r="AI17" s="69"/>
      <c r="AJ17" s="69"/>
      <c r="AK17" s="69"/>
      <c r="AL17" s="69"/>
      <c r="AM17" s="69"/>
      <c r="AN17" s="69"/>
      <c r="AO17" s="69"/>
      <c r="AP17" s="66"/>
      <c r="AQ17" s="66"/>
    </row>
    <row r="18" spans="5:43" s="65" customFormat="1" ht="20.100000000000001" customHeight="1" x14ac:dyDescent="0.25">
      <c r="E18" s="66"/>
      <c r="O18" s="67"/>
      <c r="P18" s="67"/>
      <c r="Q18" s="67"/>
      <c r="U18" s="67"/>
      <c r="V18" s="68"/>
      <c r="W18" s="68"/>
      <c r="AA18" s="69"/>
      <c r="AB18" s="69"/>
      <c r="AC18" s="69"/>
      <c r="AD18" s="69"/>
      <c r="AE18" s="68"/>
      <c r="AF18" s="69"/>
      <c r="AG18" s="69"/>
      <c r="AH18" s="69"/>
      <c r="AI18" s="69"/>
      <c r="AJ18" s="69"/>
      <c r="AK18" s="69"/>
      <c r="AL18" s="69"/>
      <c r="AM18" s="69"/>
      <c r="AN18" s="69"/>
      <c r="AO18" s="69"/>
      <c r="AP18" s="66"/>
      <c r="AQ18" s="66"/>
    </row>
    <row r="19" spans="5:43" s="65" customFormat="1" ht="20.100000000000001" customHeight="1" x14ac:dyDescent="0.25">
      <c r="E19" s="66"/>
      <c r="O19" s="67"/>
      <c r="P19" s="67"/>
      <c r="Q19" s="67"/>
      <c r="U19" s="67"/>
      <c r="V19" s="68"/>
      <c r="W19" s="68"/>
      <c r="AA19" s="69"/>
      <c r="AB19" s="69"/>
      <c r="AC19" s="69"/>
      <c r="AD19" s="69"/>
      <c r="AE19" s="68"/>
      <c r="AF19" s="69"/>
      <c r="AG19" s="69"/>
      <c r="AH19" s="69"/>
      <c r="AI19" s="69"/>
      <c r="AJ19" s="69"/>
      <c r="AK19" s="69"/>
      <c r="AL19" s="69"/>
      <c r="AM19" s="69"/>
      <c r="AN19" s="69"/>
      <c r="AO19" s="69"/>
      <c r="AP19" s="66"/>
      <c r="AQ19" s="66"/>
    </row>
    <row r="20" spans="5:43" s="65" customFormat="1" ht="20.100000000000001" customHeight="1" x14ac:dyDescent="0.25">
      <c r="E20" s="66"/>
      <c r="O20" s="67"/>
      <c r="P20" s="67"/>
      <c r="Q20" s="67"/>
      <c r="U20" s="67"/>
      <c r="V20" s="68"/>
      <c r="W20" s="68"/>
      <c r="AA20" s="69"/>
      <c r="AB20" s="69"/>
      <c r="AC20" s="69"/>
      <c r="AD20" s="69"/>
      <c r="AE20" s="68"/>
      <c r="AF20" s="69"/>
      <c r="AG20" s="69"/>
      <c r="AH20" s="69"/>
      <c r="AI20" s="69"/>
      <c r="AJ20" s="69"/>
      <c r="AK20" s="69"/>
      <c r="AL20" s="69"/>
      <c r="AM20" s="69"/>
      <c r="AN20" s="69"/>
      <c r="AO20" s="69"/>
      <c r="AP20" s="66"/>
      <c r="AQ20" s="66"/>
    </row>
    <row r="21" spans="5:43" s="65" customFormat="1" ht="20.100000000000001" customHeight="1" x14ac:dyDescent="0.25">
      <c r="E21" s="66"/>
      <c r="O21" s="67"/>
      <c r="P21" s="67"/>
      <c r="Q21" s="67"/>
      <c r="U21" s="67"/>
      <c r="V21" s="68"/>
      <c r="W21" s="68"/>
      <c r="AA21" s="69"/>
      <c r="AB21" s="69"/>
      <c r="AC21" s="69"/>
      <c r="AD21" s="69"/>
      <c r="AE21" s="68"/>
      <c r="AF21" s="69"/>
      <c r="AG21" s="69"/>
      <c r="AH21" s="69"/>
      <c r="AI21" s="69"/>
      <c r="AJ21" s="69"/>
      <c r="AK21" s="69"/>
      <c r="AL21" s="69"/>
      <c r="AM21" s="69"/>
      <c r="AN21" s="69"/>
      <c r="AO21" s="69"/>
      <c r="AP21" s="66"/>
      <c r="AQ21" s="66"/>
    </row>
    <row r="22" spans="5:43" s="65" customFormat="1" ht="20.100000000000001" customHeight="1" x14ac:dyDescent="0.25">
      <c r="E22" s="66"/>
      <c r="O22" s="67"/>
      <c r="P22" s="67"/>
      <c r="Q22" s="67"/>
      <c r="U22" s="67"/>
      <c r="V22" s="68"/>
      <c r="W22" s="68"/>
      <c r="AA22" s="69"/>
      <c r="AB22" s="69"/>
      <c r="AC22" s="69"/>
      <c r="AD22" s="69"/>
      <c r="AE22" s="68"/>
      <c r="AF22" s="69"/>
      <c r="AG22" s="69"/>
      <c r="AH22" s="69"/>
      <c r="AI22" s="69"/>
      <c r="AJ22" s="69"/>
      <c r="AK22" s="69"/>
      <c r="AL22" s="69"/>
      <c r="AM22" s="69"/>
      <c r="AN22" s="69"/>
      <c r="AO22" s="69"/>
      <c r="AP22" s="66"/>
      <c r="AQ22" s="66"/>
    </row>
    <row r="23" spans="5:43" s="65" customFormat="1" ht="20.100000000000001" customHeight="1" x14ac:dyDescent="0.25">
      <c r="E23" s="66"/>
      <c r="O23" s="67"/>
      <c r="P23" s="67"/>
      <c r="Q23" s="67"/>
      <c r="U23" s="67"/>
      <c r="V23" s="68"/>
      <c r="W23" s="68"/>
      <c r="AA23" s="69"/>
      <c r="AB23" s="69"/>
      <c r="AC23" s="69"/>
      <c r="AD23" s="69"/>
      <c r="AE23" s="68"/>
      <c r="AF23" s="69"/>
      <c r="AG23" s="69"/>
      <c r="AH23" s="69"/>
      <c r="AI23" s="69"/>
      <c r="AJ23" s="69"/>
      <c r="AK23" s="69"/>
      <c r="AL23" s="69"/>
      <c r="AM23" s="69"/>
      <c r="AN23" s="69"/>
      <c r="AO23" s="69"/>
      <c r="AP23" s="66"/>
      <c r="AQ23" s="66"/>
    </row>
    <row r="24" spans="5:43" s="65" customFormat="1" ht="20.100000000000001" customHeight="1" x14ac:dyDescent="0.25">
      <c r="E24" s="66"/>
      <c r="O24" s="67"/>
      <c r="P24" s="67"/>
      <c r="Q24" s="67"/>
      <c r="U24" s="67"/>
      <c r="V24" s="68"/>
      <c r="W24" s="68"/>
      <c r="AA24" s="69"/>
      <c r="AB24" s="69"/>
      <c r="AC24" s="69"/>
      <c r="AD24" s="69"/>
      <c r="AE24" s="68"/>
      <c r="AF24" s="69"/>
      <c r="AG24" s="69"/>
      <c r="AH24" s="69"/>
      <c r="AI24" s="69"/>
      <c r="AJ24" s="69"/>
      <c r="AK24" s="69"/>
      <c r="AL24" s="69"/>
      <c r="AM24" s="69"/>
      <c r="AN24" s="69"/>
      <c r="AO24" s="69"/>
      <c r="AP24" s="66"/>
      <c r="AQ24" s="66"/>
    </row>
    <row r="25" spans="5:43" s="65" customFormat="1" ht="20.100000000000001" customHeight="1" x14ac:dyDescent="0.25">
      <c r="E25" s="66"/>
      <c r="O25" s="67"/>
      <c r="P25" s="67"/>
      <c r="Q25" s="67"/>
      <c r="U25" s="67"/>
      <c r="V25" s="68"/>
      <c r="W25" s="68"/>
      <c r="AA25" s="69"/>
      <c r="AB25" s="69"/>
      <c r="AC25" s="69"/>
      <c r="AD25" s="69"/>
      <c r="AE25" s="68"/>
      <c r="AF25" s="69"/>
      <c r="AG25" s="69"/>
      <c r="AH25" s="69"/>
      <c r="AI25" s="69"/>
      <c r="AJ25" s="69"/>
      <c r="AK25" s="69"/>
      <c r="AL25" s="69"/>
      <c r="AM25" s="69"/>
      <c r="AN25" s="69"/>
      <c r="AO25" s="69"/>
      <c r="AP25" s="66"/>
      <c r="AQ25" s="66"/>
    </row>
    <row r="26" spans="5:43" s="65" customFormat="1" ht="20.100000000000001" customHeight="1" x14ac:dyDescent="0.25">
      <c r="E26" s="66"/>
      <c r="O26" s="67"/>
      <c r="P26" s="67"/>
      <c r="Q26" s="67"/>
      <c r="U26" s="67"/>
      <c r="V26" s="68"/>
      <c r="W26" s="68"/>
      <c r="AA26" s="69"/>
      <c r="AB26" s="69"/>
      <c r="AC26" s="69"/>
      <c r="AD26" s="69"/>
      <c r="AE26" s="68"/>
      <c r="AF26" s="69"/>
      <c r="AG26" s="69"/>
      <c r="AH26" s="69"/>
      <c r="AI26" s="69"/>
      <c r="AJ26" s="69"/>
      <c r="AK26" s="69"/>
      <c r="AL26" s="69"/>
      <c r="AM26" s="69"/>
      <c r="AN26" s="69"/>
      <c r="AO26" s="69"/>
      <c r="AP26" s="66"/>
      <c r="AQ26" s="66"/>
    </row>
    <row r="27" spans="5:43" s="65" customFormat="1" ht="20.100000000000001" customHeight="1" x14ac:dyDescent="0.25">
      <c r="E27" s="66"/>
      <c r="O27" s="67"/>
      <c r="P27" s="67"/>
      <c r="Q27" s="67"/>
      <c r="U27" s="67"/>
      <c r="V27" s="68"/>
      <c r="W27" s="68"/>
      <c r="AA27" s="69"/>
      <c r="AB27" s="69"/>
      <c r="AC27" s="69"/>
      <c r="AD27" s="69"/>
      <c r="AE27" s="68"/>
      <c r="AF27" s="69"/>
      <c r="AG27" s="69"/>
      <c r="AH27" s="69"/>
      <c r="AI27" s="69"/>
      <c r="AJ27" s="69"/>
      <c r="AK27" s="69"/>
      <c r="AL27" s="69"/>
      <c r="AM27" s="69"/>
      <c r="AN27" s="69"/>
      <c r="AO27" s="69"/>
      <c r="AP27" s="66"/>
      <c r="AQ27" s="66"/>
    </row>
    <row r="28" spans="5:43" s="65" customFormat="1" ht="20.100000000000001" customHeight="1" x14ac:dyDescent="0.25">
      <c r="E28" s="66"/>
      <c r="O28" s="67"/>
      <c r="P28" s="67"/>
      <c r="Q28" s="67"/>
      <c r="U28" s="67"/>
      <c r="V28" s="68"/>
      <c r="W28" s="68"/>
      <c r="AA28" s="69"/>
      <c r="AB28" s="69"/>
      <c r="AC28" s="69"/>
      <c r="AD28" s="69"/>
      <c r="AE28" s="68"/>
      <c r="AF28" s="69"/>
      <c r="AG28" s="69"/>
      <c r="AH28" s="69"/>
      <c r="AI28" s="69"/>
      <c r="AJ28" s="69"/>
      <c r="AK28" s="69"/>
      <c r="AL28" s="69"/>
      <c r="AM28" s="69"/>
      <c r="AN28" s="69"/>
      <c r="AO28" s="69"/>
      <c r="AP28" s="66"/>
      <c r="AQ28" s="66"/>
    </row>
    <row r="29" spans="5:43" s="65" customFormat="1" ht="20.100000000000001" customHeight="1" x14ac:dyDescent="0.25">
      <c r="E29" s="66"/>
      <c r="O29" s="67"/>
      <c r="P29" s="67"/>
      <c r="Q29" s="67"/>
      <c r="U29" s="67"/>
      <c r="V29" s="68"/>
      <c r="W29" s="68"/>
      <c r="AA29" s="69"/>
      <c r="AB29" s="69"/>
      <c r="AC29" s="69"/>
      <c r="AD29" s="69"/>
      <c r="AE29" s="68"/>
      <c r="AF29" s="69"/>
      <c r="AG29" s="69"/>
      <c r="AH29" s="69"/>
      <c r="AI29" s="69"/>
      <c r="AJ29" s="69"/>
      <c r="AK29" s="69"/>
      <c r="AL29" s="69"/>
      <c r="AM29" s="69"/>
      <c r="AN29" s="69"/>
      <c r="AO29" s="69"/>
      <c r="AP29" s="66"/>
      <c r="AQ29" s="66"/>
    </row>
    <row r="30" spans="5:43" s="65" customFormat="1" ht="20.100000000000001" customHeight="1" x14ac:dyDescent="0.25">
      <c r="E30" s="66"/>
      <c r="O30" s="67"/>
      <c r="P30" s="67"/>
      <c r="Q30" s="67"/>
      <c r="U30" s="67"/>
      <c r="V30" s="68"/>
      <c r="W30" s="68"/>
      <c r="AA30" s="69"/>
      <c r="AB30" s="69"/>
      <c r="AC30" s="69"/>
      <c r="AD30" s="69"/>
      <c r="AE30" s="68"/>
      <c r="AF30" s="69"/>
      <c r="AG30" s="69"/>
      <c r="AH30" s="69"/>
      <c r="AI30" s="69"/>
      <c r="AJ30" s="69"/>
      <c r="AK30" s="69"/>
      <c r="AL30" s="69"/>
      <c r="AM30" s="69"/>
      <c r="AN30" s="69"/>
      <c r="AO30" s="69"/>
      <c r="AP30" s="66"/>
      <c r="AQ30" s="66"/>
    </row>
    <row r="31" spans="5:43" s="65" customFormat="1" ht="20.100000000000001" customHeight="1" x14ac:dyDescent="0.25">
      <c r="E31" s="66"/>
      <c r="O31" s="67"/>
      <c r="P31" s="67"/>
      <c r="Q31" s="67"/>
      <c r="U31" s="67"/>
      <c r="V31" s="68"/>
      <c r="W31" s="68"/>
      <c r="AA31" s="69"/>
      <c r="AB31" s="69"/>
      <c r="AC31" s="69"/>
      <c r="AD31" s="69"/>
      <c r="AE31" s="68"/>
      <c r="AF31" s="69"/>
      <c r="AG31" s="69"/>
      <c r="AH31" s="69"/>
      <c r="AI31" s="69"/>
      <c r="AJ31" s="69"/>
      <c r="AK31" s="69"/>
      <c r="AL31" s="69"/>
      <c r="AM31" s="69"/>
      <c r="AN31" s="69"/>
      <c r="AO31" s="69"/>
      <c r="AP31" s="66"/>
      <c r="AQ31" s="66"/>
    </row>
    <row r="32" spans="5:43" s="65" customFormat="1" ht="20.100000000000001" customHeight="1" x14ac:dyDescent="0.25">
      <c r="E32" s="66"/>
      <c r="O32" s="67"/>
      <c r="P32" s="67"/>
      <c r="Q32" s="67"/>
      <c r="U32" s="67"/>
      <c r="V32" s="68"/>
      <c r="W32" s="68"/>
      <c r="AA32" s="69"/>
      <c r="AB32" s="69"/>
      <c r="AC32" s="69"/>
      <c r="AD32" s="69"/>
      <c r="AE32" s="68"/>
      <c r="AF32" s="69"/>
      <c r="AG32" s="69"/>
      <c r="AH32" s="69"/>
      <c r="AI32" s="69"/>
      <c r="AJ32" s="69"/>
      <c r="AK32" s="69"/>
      <c r="AL32" s="69"/>
      <c r="AM32" s="69"/>
      <c r="AN32" s="69"/>
      <c r="AO32" s="69"/>
      <c r="AP32" s="66"/>
      <c r="AQ32" s="66"/>
    </row>
    <row r="33" spans="5:43" s="65" customFormat="1" ht="20.100000000000001" customHeight="1" x14ac:dyDescent="0.25">
      <c r="E33" s="66"/>
      <c r="O33" s="67"/>
      <c r="P33" s="67"/>
      <c r="Q33" s="67"/>
      <c r="U33" s="67"/>
      <c r="V33" s="68"/>
      <c r="W33" s="68"/>
      <c r="AA33" s="69"/>
      <c r="AB33" s="69"/>
      <c r="AC33" s="69"/>
      <c r="AD33" s="69"/>
      <c r="AE33" s="68"/>
      <c r="AF33" s="69"/>
      <c r="AG33" s="69"/>
      <c r="AH33" s="69"/>
      <c r="AI33" s="69"/>
      <c r="AJ33" s="69"/>
      <c r="AK33" s="69"/>
      <c r="AL33" s="69"/>
      <c r="AM33" s="69"/>
      <c r="AN33" s="69"/>
      <c r="AO33" s="69"/>
      <c r="AP33" s="66"/>
      <c r="AQ33" s="66"/>
    </row>
    <row r="34" spans="5:43" s="65" customFormat="1" ht="20.100000000000001" customHeight="1" x14ac:dyDescent="0.25">
      <c r="E34" s="66"/>
      <c r="O34" s="67"/>
      <c r="P34" s="67"/>
      <c r="Q34" s="67"/>
      <c r="U34" s="67"/>
      <c r="V34" s="68"/>
      <c r="W34" s="68"/>
      <c r="AA34" s="69"/>
      <c r="AB34" s="69"/>
      <c r="AC34" s="69"/>
      <c r="AD34" s="69"/>
      <c r="AE34" s="68"/>
      <c r="AF34" s="69"/>
      <c r="AG34" s="69"/>
      <c r="AH34" s="69"/>
      <c r="AI34" s="69"/>
      <c r="AJ34" s="69"/>
      <c r="AK34" s="69"/>
      <c r="AL34" s="69"/>
      <c r="AM34" s="69"/>
      <c r="AN34" s="69"/>
      <c r="AO34" s="69"/>
      <c r="AP34" s="66"/>
      <c r="AQ34" s="66"/>
    </row>
    <row r="35" spans="5:43" s="65" customFormat="1" ht="20.100000000000001" customHeight="1" x14ac:dyDescent="0.25">
      <c r="E35" s="66"/>
      <c r="O35" s="67"/>
      <c r="P35" s="67"/>
      <c r="Q35" s="67"/>
      <c r="U35" s="67"/>
      <c r="V35" s="68"/>
      <c r="W35" s="68"/>
      <c r="AA35" s="69"/>
      <c r="AB35" s="69"/>
      <c r="AC35" s="69"/>
      <c r="AD35" s="69"/>
      <c r="AE35" s="68"/>
      <c r="AF35" s="69"/>
      <c r="AG35" s="69"/>
      <c r="AH35" s="69"/>
      <c r="AI35" s="69"/>
      <c r="AJ35" s="69"/>
      <c r="AK35" s="69"/>
      <c r="AL35" s="69"/>
      <c r="AM35" s="69"/>
      <c r="AN35" s="69"/>
      <c r="AO35" s="69"/>
      <c r="AP35" s="66"/>
      <c r="AQ35" s="66"/>
    </row>
    <row r="36" spans="5:43" s="65" customFormat="1" ht="20.100000000000001" customHeight="1" x14ac:dyDescent="0.25">
      <c r="E36" s="66"/>
      <c r="O36" s="67"/>
      <c r="P36" s="67"/>
      <c r="Q36" s="67"/>
      <c r="U36" s="67"/>
      <c r="V36" s="68"/>
      <c r="W36" s="68"/>
      <c r="AA36" s="69"/>
      <c r="AB36" s="69"/>
      <c r="AC36" s="69"/>
      <c r="AD36" s="69"/>
      <c r="AE36" s="68"/>
      <c r="AF36" s="69"/>
      <c r="AG36" s="69"/>
      <c r="AH36" s="69"/>
      <c r="AI36" s="69"/>
      <c r="AJ36" s="69"/>
      <c r="AK36" s="69"/>
      <c r="AL36" s="69"/>
      <c r="AM36" s="69"/>
      <c r="AN36" s="69"/>
      <c r="AO36" s="69"/>
      <c r="AP36" s="66"/>
      <c r="AQ36" s="66"/>
    </row>
    <row r="37" spans="5:43" s="65" customFormat="1" ht="20.100000000000001" customHeight="1" x14ac:dyDescent="0.25">
      <c r="E37" s="66"/>
      <c r="O37" s="67"/>
      <c r="P37" s="67"/>
      <c r="Q37" s="67"/>
      <c r="U37" s="67"/>
      <c r="V37" s="68"/>
      <c r="W37" s="68"/>
      <c r="AA37" s="69"/>
      <c r="AB37" s="69"/>
      <c r="AC37" s="69"/>
      <c r="AD37" s="69"/>
      <c r="AE37" s="68"/>
      <c r="AF37" s="69"/>
      <c r="AG37" s="69"/>
      <c r="AH37" s="69"/>
      <c r="AI37" s="69"/>
      <c r="AJ37" s="69"/>
      <c r="AK37" s="69"/>
      <c r="AL37" s="69"/>
      <c r="AM37" s="69"/>
      <c r="AN37" s="69"/>
      <c r="AO37" s="69"/>
      <c r="AP37" s="66"/>
      <c r="AQ37" s="66"/>
    </row>
    <row r="38" spans="5:43" s="65" customFormat="1" ht="20.100000000000001" customHeight="1" x14ac:dyDescent="0.25">
      <c r="E38" s="66"/>
      <c r="O38" s="67"/>
      <c r="P38" s="67"/>
      <c r="Q38" s="67"/>
      <c r="U38" s="67"/>
      <c r="V38" s="68"/>
      <c r="W38" s="68"/>
      <c r="AA38" s="69"/>
      <c r="AB38" s="69"/>
      <c r="AC38" s="69"/>
      <c r="AD38" s="69"/>
      <c r="AE38" s="68"/>
      <c r="AF38" s="69"/>
      <c r="AG38" s="69"/>
      <c r="AH38" s="69"/>
      <c r="AI38" s="69"/>
      <c r="AJ38" s="69"/>
      <c r="AK38" s="69"/>
      <c r="AL38" s="69"/>
      <c r="AM38" s="69"/>
      <c r="AN38" s="69"/>
      <c r="AO38" s="69"/>
      <c r="AP38" s="66"/>
      <c r="AQ38" s="66"/>
    </row>
    <row r="39" spans="5:43" s="65" customFormat="1" ht="20.100000000000001" customHeight="1" x14ac:dyDescent="0.25">
      <c r="E39" s="66"/>
      <c r="O39" s="67"/>
      <c r="P39" s="67"/>
      <c r="Q39" s="67"/>
      <c r="U39" s="67"/>
      <c r="V39" s="68"/>
      <c r="W39" s="68"/>
      <c r="AA39" s="69"/>
      <c r="AB39" s="69"/>
      <c r="AC39" s="69"/>
      <c r="AD39" s="69"/>
      <c r="AE39" s="68"/>
      <c r="AF39" s="69"/>
      <c r="AG39" s="69"/>
      <c r="AH39" s="69"/>
      <c r="AI39" s="69"/>
      <c r="AJ39" s="69"/>
      <c r="AK39" s="69"/>
      <c r="AL39" s="69"/>
      <c r="AM39" s="69"/>
      <c r="AN39" s="69"/>
      <c r="AO39" s="69"/>
      <c r="AP39" s="66"/>
      <c r="AQ39" s="66"/>
    </row>
    <row r="40" spans="5:43" s="65" customFormat="1" ht="20.100000000000001" customHeight="1" x14ac:dyDescent="0.25">
      <c r="E40" s="66"/>
      <c r="O40" s="67"/>
      <c r="P40" s="67"/>
      <c r="Q40" s="67"/>
      <c r="U40" s="67"/>
      <c r="V40" s="68"/>
      <c r="W40" s="68"/>
      <c r="AA40" s="69"/>
      <c r="AB40" s="69"/>
      <c r="AC40" s="69"/>
      <c r="AD40" s="69"/>
      <c r="AE40" s="68"/>
      <c r="AF40" s="69"/>
      <c r="AG40" s="69"/>
      <c r="AH40" s="69"/>
      <c r="AI40" s="69"/>
      <c r="AJ40" s="69"/>
      <c r="AK40" s="69"/>
      <c r="AL40" s="69"/>
      <c r="AM40" s="69"/>
      <c r="AN40" s="69"/>
      <c r="AO40" s="69"/>
      <c r="AP40" s="66"/>
      <c r="AQ40" s="66"/>
    </row>
    <row r="41" spans="5:43" s="65" customFormat="1" ht="20.100000000000001" customHeight="1" x14ac:dyDescent="0.25">
      <c r="E41" s="66"/>
      <c r="O41" s="67"/>
      <c r="P41" s="67"/>
      <c r="Q41" s="67"/>
      <c r="U41" s="67"/>
      <c r="V41" s="68"/>
      <c r="W41" s="68"/>
      <c r="AA41" s="69"/>
      <c r="AB41" s="69"/>
      <c r="AC41" s="69"/>
      <c r="AD41" s="69"/>
      <c r="AE41" s="68"/>
      <c r="AF41" s="69"/>
      <c r="AG41" s="69"/>
      <c r="AH41" s="69"/>
      <c r="AI41" s="69"/>
      <c r="AJ41" s="69"/>
      <c r="AK41" s="69"/>
      <c r="AL41" s="69"/>
      <c r="AM41" s="69"/>
      <c r="AN41" s="69"/>
      <c r="AO41" s="69"/>
      <c r="AP41" s="66"/>
      <c r="AQ41" s="66"/>
    </row>
    <row r="42" spans="5:43" s="65" customFormat="1" ht="20.100000000000001" customHeight="1" x14ac:dyDescent="0.25">
      <c r="E42" s="66"/>
      <c r="O42" s="67"/>
      <c r="P42" s="67"/>
      <c r="Q42" s="67"/>
      <c r="U42" s="67"/>
      <c r="V42" s="68"/>
      <c r="W42" s="68"/>
      <c r="AA42" s="69"/>
      <c r="AB42" s="69"/>
      <c r="AC42" s="69"/>
      <c r="AD42" s="69"/>
      <c r="AE42" s="68"/>
      <c r="AF42" s="69"/>
      <c r="AG42" s="69"/>
      <c r="AH42" s="69"/>
      <c r="AI42" s="69"/>
      <c r="AJ42" s="69"/>
      <c r="AK42" s="69"/>
      <c r="AL42" s="69"/>
      <c r="AM42" s="69"/>
      <c r="AN42" s="69"/>
      <c r="AO42" s="69"/>
      <c r="AP42" s="66"/>
      <c r="AQ42" s="66"/>
    </row>
    <row r="43" spans="5:43" s="65" customFormat="1" ht="20.100000000000001" customHeight="1" x14ac:dyDescent="0.25">
      <c r="E43" s="66"/>
      <c r="O43" s="67"/>
      <c r="P43" s="67"/>
      <c r="Q43" s="67"/>
      <c r="U43" s="67"/>
      <c r="V43" s="68"/>
      <c r="W43" s="68"/>
      <c r="AA43" s="69"/>
      <c r="AB43" s="69"/>
      <c r="AC43" s="69"/>
      <c r="AD43" s="69"/>
      <c r="AE43" s="68"/>
      <c r="AF43" s="69"/>
      <c r="AG43" s="69"/>
      <c r="AH43" s="69"/>
      <c r="AI43" s="69"/>
      <c r="AJ43" s="69"/>
      <c r="AK43" s="69"/>
      <c r="AL43" s="69"/>
      <c r="AM43" s="69"/>
      <c r="AN43" s="69"/>
      <c r="AO43" s="69"/>
      <c r="AP43" s="66"/>
      <c r="AQ43" s="66"/>
    </row>
    <row r="44" spans="5:43" s="65" customFormat="1" ht="20.100000000000001" customHeight="1" x14ac:dyDescent="0.25">
      <c r="E44" s="66"/>
      <c r="O44" s="67"/>
      <c r="P44" s="67"/>
      <c r="Q44" s="67"/>
      <c r="U44" s="67"/>
      <c r="V44" s="68"/>
      <c r="W44" s="68"/>
      <c r="AA44" s="69"/>
      <c r="AB44" s="69"/>
      <c r="AC44" s="69"/>
      <c r="AD44" s="69"/>
      <c r="AE44" s="68"/>
      <c r="AF44" s="69"/>
      <c r="AG44" s="69"/>
      <c r="AH44" s="69"/>
      <c r="AI44" s="69"/>
      <c r="AJ44" s="69"/>
      <c r="AK44" s="69"/>
      <c r="AL44" s="69"/>
      <c r="AM44" s="69"/>
      <c r="AN44" s="69"/>
      <c r="AO44" s="69"/>
      <c r="AP44" s="66"/>
      <c r="AQ44" s="66"/>
    </row>
    <row r="45" spans="5:43" s="65" customFormat="1" ht="20.100000000000001" customHeight="1" x14ac:dyDescent="0.25">
      <c r="E45" s="66"/>
      <c r="O45" s="67"/>
      <c r="P45" s="67"/>
      <c r="Q45" s="67"/>
      <c r="U45" s="67"/>
      <c r="V45" s="68"/>
      <c r="W45" s="68"/>
      <c r="AA45" s="69"/>
      <c r="AB45" s="69"/>
      <c r="AC45" s="69"/>
      <c r="AD45" s="69"/>
      <c r="AE45" s="68"/>
      <c r="AF45" s="69"/>
      <c r="AG45" s="69"/>
      <c r="AH45" s="69"/>
      <c r="AI45" s="69"/>
      <c r="AJ45" s="69"/>
      <c r="AK45" s="69"/>
      <c r="AL45" s="69"/>
      <c r="AM45" s="69"/>
      <c r="AN45" s="69"/>
      <c r="AO45" s="69"/>
      <c r="AP45" s="66"/>
      <c r="AQ45" s="66"/>
    </row>
    <row r="46" spans="5:43" s="65" customFormat="1" ht="20.100000000000001" customHeight="1" x14ac:dyDescent="0.25">
      <c r="E46" s="66"/>
      <c r="O46" s="67"/>
      <c r="P46" s="67"/>
      <c r="Q46" s="67"/>
      <c r="U46" s="67"/>
      <c r="V46" s="68"/>
      <c r="W46" s="68"/>
      <c r="AA46" s="69"/>
      <c r="AB46" s="69"/>
      <c r="AC46" s="69"/>
      <c r="AD46" s="69"/>
      <c r="AE46" s="68"/>
      <c r="AF46" s="69"/>
      <c r="AG46" s="69"/>
      <c r="AH46" s="69"/>
      <c r="AI46" s="69"/>
      <c r="AJ46" s="69"/>
      <c r="AK46" s="69"/>
      <c r="AL46" s="69"/>
      <c r="AM46" s="69"/>
      <c r="AN46" s="69"/>
      <c r="AO46" s="69"/>
      <c r="AP46" s="66"/>
      <c r="AQ46" s="66"/>
    </row>
    <row r="47" spans="5:43" s="65" customFormat="1" ht="20.100000000000001" customHeight="1" x14ac:dyDescent="0.25">
      <c r="E47" s="66"/>
      <c r="O47" s="67"/>
      <c r="P47" s="67"/>
      <c r="Q47" s="67"/>
      <c r="U47" s="67"/>
      <c r="V47" s="68"/>
      <c r="W47" s="68"/>
      <c r="AA47" s="69"/>
      <c r="AB47" s="69"/>
      <c r="AC47" s="69"/>
      <c r="AD47" s="69"/>
      <c r="AE47" s="68"/>
      <c r="AF47" s="69"/>
      <c r="AG47" s="69"/>
      <c r="AH47" s="69"/>
      <c r="AI47" s="69"/>
      <c r="AJ47" s="69"/>
      <c r="AK47" s="69"/>
      <c r="AL47" s="69"/>
      <c r="AM47" s="69"/>
      <c r="AN47" s="69"/>
      <c r="AO47" s="69"/>
      <c r="AP47" s="66"/>
      <c r="AQ47" s="66"/>
    </row>
    <row r="48" spans="5:43" s="65" customFormat="1" ht="20.100000000000001" customHeight="1" x14ac:dyDescent="0.25">
      <c r="E48" s="66"/>
      <c r="O48" s="67"/>
      <c r="P48" s="67"/>
      <c r="Q48" s="67"/>
      <c r="U48" s="67"/>
      <c r="V48" s="68"/>
      <c r="W48" s="68"/>
      <c r="AA48" s="69"/>
      <c r="AB48" s="69"/>
      <c r="AC48" s="69"/>
      <c r="AD48" s="69"/>
      <c r="AE48" s="68"/>
      <c r="AF48" s="69"/>
      <c r="AG48" s="69"/>
      <c r="AH48" s="69"/>
      <c r="AI48" s="69"/>
      <c r="AJ48" s="69"/>
      <c r="AK48" s="69"/>
      <c r="AL48" s="69"/>
      <c r="AM48" s="69"/>
      <c r="AN48" s="69"/>
      <c r="AO48" s="69"/>
      <c r="AP48" s="66"/>
      <c r="AQ48" s="66"/>
    </row>
    <row r="49" spans="3:43" s="65" customFormat="1" ht="20.100000000000001" customHeight="1" x14ac:dyDescent="0.25">
      <c r="E49" s="66"/>
      <c r="O49" s="67"/>
      <c r="P49" s="67"/>
      <c r="Q49" s="67"/>
      <c r="U49" s="67"/>
      <c r="V49" s="68"/>
      <c r="W49" s="68"/>
      <c r="AA49" s="69"/>
      <c r="AB49" s="69"/>
      <c r="AC49" s="69"/>
      <c r="AD49" s="69"/>
      <c r="AE49" s="68"/>
      <c r="AF49" s="69"/>
      <c r="AG49" s="69"/>
      <c r="AH49" s="69"/>
      <c r="AI49" s="69"/>
      <c r="AJ49" s="69"/>
      <c r="AK49" s="69"/>
      <c r="AL49" s="69"/>
      <c r="AM49" s="69"/>
      <c r="AN49" s="69"/>
      <c r="AO49" s="69"/>
      <c r="AP49" s="66"/>
      <c r="AQ49" s="66"/>
    </row>
    <row r="50" spans="3:43" s="65" customFormat="1" ht="20.100000000000001" customHeight="1" x14ac:dyDescent="0.25">
      <c r="E50" s="66"/>
      <c r="O50" s="67"/>
      <c r="P50" s="67"/>
      <c r="Q50" s="67"/>
      <c r="U50" s="67"/>
      <c r="V50" s="68"/>
      <c r="W50" s="68"/>
      <c r="AA50" s="69"/>
      <c r="AB50" s="69"/>
      <c r="AC50" s="69"/>
      <c r="AD50" s="69"/>
      <c r="AE50" s="68"/>
      <c r="AF50" s="69"/>
      <c r="AG50" s="69"/>
      <c r="AH50" s="69"/>
      <c r="AI50" s="69"/>
      <c r="AJ50" s="69"/>
      <c r="AK50" s="69"/>
      <c r="AL50" s="69"/>
      <c r="AM50" s="69"/>
      <c r="AN50" s="69"/>
      <c r="AO50" s="69"/>
      <c r="AP50" s="66"/>
      <c r="AQ50" s="66"/>
    </row>
    <row r="51" spans="3:43" s="65" customFormat="1" ht="20.100000000000001" customHeight="1" x14ac:dyDescent="0.25">
      <c r="E51" s="66"/>
      <c r="O51" s="67"/>
      <c r="P51" s="67"/>
      <c r="Q51" s="67"/>
      <c r="U51" s="67"/>
      <c r="V51" s="68"/>
      <c r="W51" s="68"/>
      <c r="AA51" s="69"/>
      <c r="AB51" s="69"/>
      <c r="AC51" s="69"/>
      <c r="AD51" s="69"/>
      <c r="AE51" s="68"/>
      <c r="AF51" s="69"/>
      <c r="AG51" s="69"/>
      <c r="AH51" s="69"/>
      <c r="AI51" s="69"/>
      <c r="AJ51" s="69"/>
      <c r="AK51" s="69"/>
      <c r="AL51" s="69"/>
      <c r="AM51" s="69"/>
      <c r="AN51" s="69"/>
      <c r="AO51" s="69"/>
      <c r="AP51" s="66"/>
      <c r="AQ51" s="66"/>
    </row>
    <row r="52" spans="3:43" s="65" customFormat="1" ht="20.100000000000001" customHeight="1" x14ac:dyDescent="0.25">
      <c r="E52" s="66"/>
      <c r="O52" s="67"/>
      <c r="P52" s="67"/>
      <c r="Q52" s="67"/>
      <c r="U52" s="67"/>
      <c r="V52" s="68"/>
      <c r="W52" s="68"/>
      <c r="AA52" s="69"/>
      <c r="AB52" s="69"/>
      <c r="AC52" s="69"/>
      <c r="AD52" s="69"/>
      <c r="AE52" s="68"/>
      <c r="AF52" s="69"/>
      <c r="AG52" s="69"/>
      <c r="AH52" s="69"/>
      <c r="AI52" s="69"/>
      <c r="AJ52" s="69"/>
      <c r="AK52" s="69"/>
      <c r="AL52" s="69"/>
      <c r="AM52" s="69"/>
      <c r="AN52" s="69"/>
      <c r="AO52" s="69"/>
      <c r="AP52" s="66"/>
      <c r="AQ52" s="66"/>
    </row>
    <row r="53" spans="3:43" s="65" customFormat="1" ht="20.100000000000001" customHeight="1" x14ac:dyDescent="0.25">
      <c r="E53" s="66"/>
      <c r="O53" s="67"/>
      <c r="P53" s="67"/>
      <c r="Q53" s="67"/>
      <c r="U53" s="67"/>
      <c r="V53" s="68"/>
      <c r="W53" s="68"/>
      <c r="AA53" s="69"/>
      <c r="AB53" s="69"/>
      <c r="AC53" s="69"/>
      <c r="AD53" s="69"/>
      <c r="AE53" s="68"/>
      <c r="AF53" s="69"/>
      <c r="AG53" s="69"/>
      <c r="AH53" s="69"/>
      <c r="AI53" s="69"/>
      <c r="AJ53" s="69"/>
      <c r="AK53" s="69"/>
      <c r="AL53" s="69"/>
      <c r="AM53" s="69"/>
      <c r="AN53" s="69"/>
      <c r="AO53" s="69"/>
      <c r="AP53" s="66"/>
      <c r="AQ53" s="66"/>
    </row>
    <row r="54" spans="3:43" s="65" customFormat="1" ht="20.100000000000001" customHeight="1" x14ac:dyDescent="0.25">
      <c r="E54" s="66"/>
      <c r="O54" s="67"/>
      <c r="P54" s="67"/>
      <c r="Q54" s="67"/>
      <c r="U54" s="67"/>
      <c r="V54" s="68"/>
      <c r="W54" s="68"/>
      <c r="AA54" s="69"/>
      <c r="AB54" s="69"/>
      <c r="AC54" s="69"/>
      <c r="AD54" s="69"/>
      <c r="AE54" s="68"/>
      <c r="AF54" s="69"/>
      <c r="AG54" s="69"/>
      <c r="AH54" s="69"/>
      <c r="AI54" s="69"/>
      <c r="AJ54" s="69"/>
      <c r="AK54" s="69"/>
      <c r="AL54" s="69"/>
      <c r="AM54" s="69"/>
      <c r="AN54" s="69"/>
      <c r="AO54" s="69"/>
      <c r="AP54" s="66"/>
      <c r="AQ54" s="66"/>
    </row>
    <row r="55" spans="3:43" s="65" customFormat="1" ht="20.100000000000001" customHeight="1" x14ac:dyDescent="0.25">
      <c r="E55" s="66"/>
      <c r="O55" s="67"/>
      <c r="P55" s="67"/>
      <c r="Q55" s="67"/>
      <c r="U55" s="67"/>
      <c r="V55" s="68"/>
      <c r="W55" s="68"/>
      <c r="AA55" s="69"/>
      <c r="AB55" s="69"/>
      <c r="AC55" s="69"/>
      <c r="AD55" s="69"/>
      <c r="AE55" s="68"/>
      <c r="AF55" s="69"/>
      <c r="AG55" s="69"/>
      <c r="AH55" s="69"/>
      <c r="AI55" s="69"/>
      <c r="AJ55" s="69"/>
      <c r="AK55" s="69"/>
      <c r="AL55" s="69"/>
      <c r="AM55" s="69"/>
      <c r="AN55" s="69"/>
      <c r="AO55" s="69"/>
      <c r="AP55" s="66"/>
      <c r="AQ55" s="66"/>
    </row>
    <row r="56" spans="3:43" s="65" customFormat="1" ht="19.5" customHeight="1" x14ac:dyDescent="0.25">
      <c r="E56" s="66"/>
      <c r="O56" s="67"/>
      <c r="P56" s="67"/>
      <c r="Q56" s="67"/>
      <c r="U56" s="67"/>
      <c r="V56" s="68"/>
      <c r="W56" s="68"/>
      <c r="AA56" s="69"/>
      <c r="AB56" s="69"/>
      <c r="AC56" s="69"/>
      <c r="AD56" s="69"/>
      <c r="AE56" s="68"/>
      <c r="AF56" s="69"/>
      <c r="AG56" s="69"/>
      <c r="AH56" s="69"/>
      <c r="AI56" s="69"/>
      <c r="AJ56" s="69"/>
      <c r="AK56" s="69"/>
      <c r="AL56" s="69"/>
      <c r="AM56" s="69"/>
      <c r="AN56" s="69"/>
      <c r="AO56" s="69"/>
      <c r="AP56" s="66"/>
      <c r="AQ56" s="66"/>
    </row>
    <row r="57" spans="3:43" s="65" customFormat="1" ht="20.100000000000001" customHeight="1" x14ac:dyDescent="0.25">
      <c r="E57" s="66"/>
      <c r="O57" s="67"/>
      <c r="P57" s="67"/>
      <c r="Q57" s="67"/>
      <c r="U57" s="67"/>
      <c r="V57" s="68"/>
      <c r="W57" s="68"/>
      <c r="AA57" s="69"/>
      <c r="AB57" s="69"/>
      <c r="AC57" s="69"/>
      <c r="AD57" s="69"/>
      <c r="AE57" s="68"/>
      <c r="AF57" s="69"/>
      <c r="AG57" s="69"/>
      <c r="AH57" s="69"/>
      <c r="AI57" s="69"/>
      <c r="AJ57" s="69"/>
      <c r="AK57" s="69"/>
      <c r="AL57" s="69"/>
      <c r="AM57" s="69"/>
      <c r="AN57" s="69"/>
      <c r="AO57" s="69"/>
      <c r="AP57" s="66"/>
      <c r="AQ57" s="66"/>
    </row>
    <row r="58" spans="3:43" s="65" customFormat="1" ht="20.100000000000001" customHeight="1" x14ac:dyDescent="0.25">
      <c r="C58" s="70"/>
      <c r="E58" s="66"/>
      <c r="O58" s="67"/>
      <c r="P58" s="67"/>
      <c r="Q58" s="67"/>
      <c r="U58" s="67"/>
      <c r="V58" s="68"/>
      <c r="W58" s="68"/>
      <c r="AA58" s="69"/>
      <c r="AB58" s="69"/>
      <c r="AC58" s="69"/>
      <c r="AD58" s="69"/>
      <c r="AE58" s="68"/>
      <c r="AF58" s="69"/>
      <c r="AG58" s="69"/>
      <c r="AH58" s="69"/>
      <c r="AI58" s="69"/>
      <c r="AJ58" s="69"/>
      <c r="AK58" s="69"/>
      <c r="AL58" s="69"/>
      <c r="AM58" s="69"/>
      <c r="AN58" s="69"/>
      <c r="AO58" s="69"/>
      <c r="AP58" s="66"/>
      <c r="AQ58" s="66"/>
    </row>
    <row r="59" spans="3:43" s="65" customFormat="1" ht="20.100000000000001" customHeight="1" x14ac:dyDescent="0.25">
      <c r="C59" s="71"/>
      <c r="E59" s="66"/>
      <c r="O59" s="67"/>
      <c r="P59" s="67"/>
      <c r="Q59" s="67"/>
      <c r="U59" s="67"/>
      <c r="V59" s="68"/>
      <c r="W59" s="68"/>
      <c r="AA59" s="69"/>
      <c r="AB59" s="69"/>
      <c r="AC59" s="69"/>
      <c r="AD59" s="69"/>
      <c r="AE59" s="68"/>
      <c r="AF59" s="69"/>
      <c r="AG59" s="69"/>
      <c r="AH59" s="69"/>
      <c r="AI59" s="69"/>
      <c r="AJ59" s="69"/>
      <c r="AK59" s="69"/>
      <c r="AL59" s="69"/>
      <c r="AM59" s="69"/>
      <c r="AN59" s="69"/>
      <c r="AO59" s="69"/>
      <c r="AP59" s="66"/>
      <c r="AQ59" s="66"/>
    </row>
    <row r="60" spans="3:43" s="65" customFormat="1" ht="20.100000000000001" customHeight="1" x14ac:dyDescent="0.25">
      <c r="C60" s="71"/>
      <c r="E60" s="66"/>
      <c r="O60" s="67"/>
      <c r="P60" s="67"/>
      <c r="Q60" s="67"/>
      <c r="U60" s="67"/>
      <c r="V60" s="68"/>
      <c r="W60" s="68"/>
      <c r="AA60" s="69"/>
      <c r="AB60" s="69"/>
      <c r="AC60" s="69"/>
      <c r="AD60" s="69"/>
      <c r="AE60" s="68"/>
      <c r="AF60" s="69"/>
      <c r="AG60" s="69"/>
      <c r="AH60" s="69"/>
      <c r="AI60" s="69"/>
      <c r="AJ60" s="69"/>
      <c r="AK60" s="69"/>
      <c r="AL60" s="69"/>
      <c r="AM60" s="69"/>
      <c r="AN60" s="69"/>
      <c r="AO60" s="69"/>
      <c r="AP60" s="66"/>
      <c r="AQ60" s="66"/>
    </row>
    <row r="61" spans="3:43" s="65" customFormat="1" ht="20.100000000000001" customHeight="1" x14ac:dyDescent="0.25">
      <c r="C61" s="71"/>
      <c r="E61" s="66"/>
      <c r="O61" s="67"/>
      <c r="P61" s="67"/>
      <c r="Q61" s="67"/>
      <c r="U61" s="67"/>
      <c r="V61" s="68"/>
      <c r="W61" s="68"/>
      <c r="AA61" s="69"/>
      <c r="AB61" s="69"/>
      <c r="AC61" s="69"/>
      <c r="AD61" s="69"/>
      <c r="AE61" s="68"/>
      <c r="AF61" s="69"/>
      <c r="AG61" s="69"/>
      <c r="AH61" s="69"/>
      <c r="AI61" s="69"/>
      <c r="AJ61" s="69"/>
      <c r="AK61" s="69"/>
      <c r="AL61" s="69"/>
      <c r="AM61" s="69"/>
      <c r="AN61" s="69"/>
      <c r="AO61" s="69"/>
      <c r="AP61" s="66"/>
      <c r="AQ61" s="66"/>
    </row>
    <row r="62" spans="3:43" s="65" customFormat="1" x14ac:dyDescent="0.25">
      <c r="E62" s="66"/>
      <c r="O62" s="67"/>
      <c r="P62" s="67"/>
      <c r="U62" s="67"/>
      <c r="V62" s="68"/>
      <c r="W62" s="68"/>
      <c r="Z62" s="69"/>
      <c r="AA62" s="69"/>
      <c r="AB62" s="69"/>
      <c r="AC62" s="69"/>
      <c r="AD62" s="69"/>
      <c r="AE62" s="68"/>
      <c r="AF62" s="69"/>
      <c r="AG62" s="67"/>
      <c r="AH62" s="69"/>
      <c r="AI62" s="69"/>
      <c r="AJ62" s="69"/>
      <c r="AK62" s="69"/>
      <c r="AL62" s="69"/>
      <c r="AM62" s="69"/>
      <c r="AN62" s="69"/>
      <c r="AO62" s="69"/>
      <c r="AQ62" s="66"/>
    </row>
    <row r="63" spans="3:43" s="65" customFormat="1" x14ac:dyDescent="0.25">
      <c r="E63" s="66"/>
      <c r="O63" s="67"/>
      <c r="P63" s="67"/>
      <c r="U63" s="67"/>
      <c r="V63" s="68"/>
      <c r="W63" s="68"/>
      <c r="Z63" s="69"/>
      <c r="AA63" s="69"/>
      <c r="AB63" s="69"/>
      <c r="AC63" s="69"/>
      <c r="AD63" s="69"/>
      <c r="AE63" s="68"/>
      <c r="AF63" s="69"/>
      <c r="AG63" s="67"/>
      <c r="AH63" s="69"/>
      <c r="AI63" s="69"/>
      <c r="AJ63" s="69"/>
      <c r="AK63" s="69"/>
      <c r="AL63" s="69"/>
      <c r="AM63" s="69"/>
      <c r="AN63" s="69"/>
      <c r="AO63" s="69"/>
      <c r="AQ63" s="66"/>
    </row>
    <row r="64" spans="3:43" s="65" customFormat="1" x14ac:dyDescent="0.25">
      <c r="E64" s="66"/>
      <c r="O64" s="67"/>
      <c r="P64" s="67"/>
      <c r="U64" s="67"/>
      <c r="V64" s="68"/>
      <c r="W64" s="68"/>
      <c r="Z64" s="69"/>
      <c r="AA64" s="69"/>
      <c r="AB64" s="69"/>
      <c r="AC64" s="69"/>
      <c r="AD64" s="69"/>
      <c r="AE64" s="68"/>
      <c r="AF64" s="69"/>
      <c r="AG64" s="67"/>
      <c r="AH64" s="69"/>
      <c r="AI64" s="69"/>
      <c r="AJ64" s="69"/>
      <c r="AK64" s="69"/>
      <c r="AL64" s="69"/>
      <c r="AM64" s="69"/>
      <c r="AN64" s="69"/>
      <c r="AO64" s="69"/>
      <c r="AQ64" s="66"/>
    </row>
    <row r="65" spans="5:43" s="65" customFormat="1" x14ac:dyDescent="0.25">
      <c r="E65" s="66"/>
      <c r="O65" s="67"/>
      <c r="P65" s="67"/>
      <c r="U65" s="67"/>
      <c r="V65" s="68"/>
      <c r="W65" s="68"/>
      <c r="Z65" s="69"/>
      <c r="AA65" s="69"/>
      <c r="AB65" s="69"/>
      <c r="AC65" s="69"/>
      <c r="AD65" s="69"/>
      <c r="AE65" s="68"/>
      <c r="AF65" s="69"/>
      <c r="AG65" s="67"/>
      <c r="AH65" s="69"/>
      <c r="AI65" s="69"/>
      <c r="AJ65" s="69"/>
      <c r="AK65" s="69"/>
      <c r="AL65" s="69"/>
      <c r="AM65" s="69"/>
      <c r="AN65" s="69"/>
      <c r="AO65" s="69"/>
      <c r="AQ65" s="66"/>
    </row>
    <row r="66" spans="5:43" s="65" customFormat="1" x14ac:dyDescent="0.25">
      <c r="E66" s="66"/>
      <c r="O66" s="67"/>
      <c r="P66" s="67"/>
      <c r="U66" s="67"/>
      <c r="V66" s="68"/>
      <c r="W66" s="68"/>
      <c r="Z66" s="69"/>
      <c r="AA66" s="69"/>
      <c r="AB66" s="69"/>
      <c r="AC66" s="69"/>
      <c r="AD66" s="69"/>
      <c r="AE66" s="68"/>
      <c r="AF66" s="69"/>
      <c r="AG66" s="67"/>
      <c r="AH66" s="69"/>
      <c r="AI66" s="69"/>
      <c r="AJ66" s="69"/>
      <c r="AK66" s="69"/>
      <c r="AL66" s="69"/>
      <c r="AM66" s="69"/>
      <c r="AN66" s="69"/>
      <c r="AO66" s="69"/>
      <c r="AQ66" s="66"/>
    </row>
    <row r="67" spans="5:43" s="65" customFormat="1" x14ac:dyDescent="0.25">
      <c r="E67" s="66"/>
      <c r="O67" s="67"/>
      <c r="P67" s="67"/>
      <c r="U67" s="67"/>
      <c r="V67" s="68"/>
      <c r="W67" s="68"/>
      <c r="Z67" s="69"/>
      <c r="AA67" s="69"/>
      <c r="AB67" s="69"/>
      <c r="AC67" s="69"/>
      <c r="AD67" s="69"/>
      <c r="AE67" s="68"/>
      <c r="AF67" s="69"/>
      <c r="AG67" s="67"/>
      <c r="AH67" s="69"/>
      <c r="AI67" s="69"/>
      <c r="AJ67" s="69"/>
      <c r="AK67" s="69"/>
      <c r="AL67" s="69"/>
      <c r="AM67" s="69"/>
      <c r="AN67" s="69"/>
      <c r="AO67" s="69"/>
      <c r="AQ67" s="66"/>
    </row>
    <row r="68" spans="5:43" s="65" customFormat="1" ht="13.5" customHeight="1" x14ac:dyDescent="0.25">
      <c r="E68" s="66"/>
      <c r="O68" s="67"/>
      <c r="P68" s="67"/>
      <c r="U68" s="67"/>
      <c r="V68" s="68"/>
      <c r="W68" s="68"/>
      <c r="Z68" s="69"/>
      <c r="AA68" s="69"/>
      <c r="AB68" s="69"/>
      <c r="AC68" s="69"/>
      <c r="AD68" s="69"/>
      <c r="AE68" s="68"/>
      <c r="AF68" s="69"/>
      <c r="AG68" s="67"/>
      <c r="AH68" s="69"/>
      <c r="AI68" s="69"/>
      <c r="AJ68" s="69"/>
      <c r="AK68" s="69"/>
      <c r="AL68" s="69"/>
      <c r="AM68" s="69"/>
      <c r="AN68" s="69"/>
      <c r="AO68" s="69"/>
      <c r="AQ68" s="66"/>
    </row>
    <row r="69" spans="5:43" s="65" customFormat="1" x14ac:dyDescent="0.25">
      <c r="E69" s="66"/>
      <c r="O69" s="67"/>
      <c r="P69" s="67"/>
      <c r="U69" s="67"/>
      <c r="V69" s="68"/>
      <c r="W69" s="68"/>
      <c r="Z69" s="69"/>
      <c r="AA69" s="69"/>
      <c r="AB69" s="69"/>
      <c r="AC69" s="69"/>
      <c r="AD69" s="69"/>
      <c r="AE69" s="68"/>
      <c r="AF69" s="69"/>
      <c r="AG69" s="67"/>
      <c r="AH69" s="69"/>
      <c r="AI69" s="69"/>
      <c r="AJ69" s="69"/>
      <c r="AK69" s="69"/>
      <c r="AL69" s="69"/>
      <c r="AM69" s="69"/>
      <c r="AN69" s="69"/>
      <c r="AO69" s="69"/>
      <c r="AQ69" s="66"/>
    </row>
    <row r="70" spans="5:43" s="65" customFormat="1" x14ac:dyDescent="0.25">
      <c r="E70" s="66"/>
      <c r="O70" s="67"/>
      <c r="P70" s="67"/>
      <c r="U70" s="67"/>
      <c r="V70" s="68"/>
      <c r="W70" s="68"/>
      <c r="Z70" s="69"/>
      <c r="AA70" s="69"/>
      <c r="AB70" s="69"/>
      <c r="AC70" s="69"/>
      <c r="AD70" s="69"/>
      <c r="AE70" s="68"/>
      <c r="AF70" s="69"/>
      <c r="AG70" s="67"/>
      <c r="AH70" s="69"/>
      <c r="AI70" s="69"/>
      <c r="AJ70" s="69"/>
      <c r="AK70" s="69"/>
      <c r="AL70" s="69"/>
      <c r="AM70" s="69"/>
      <c r="AN70" s="69"/>
      <c r="AO70" s="69"/>
      <c r="AQ70" s="66"/>
    </row>
    <row r="71" spans="5:43" s="65" customFormat="1" x14ac:dyDescent="0.25">
      <c r="E71" s="66"/>
      <c r="O71" s="67"/>
      <c r="P71" s="67"/>
      <c r="U71" s="67"/>
      <c r="V71" s="68"/>
      <c r="W71" s="68"/>
      <c r="Z71" s="69"/>
      <c r="AA71" s="69"/>
      <c r="AB71" s="69"/>
      <c r="AC71" s="69"/>
      <c r="AD71" s="69"/>
      <c r="AE71" s="68"/>
      <c r="AF71" s="69"/>
      <c r="AG71" s="67"/>
      <c r="AH71" s="69"/>
      <c r="AI71" s="69"/>
      <c r="AJ71" s="69"/>
      <c r="AK71" s="69"/>
      <c r="AL71" s="69"/>
      <c r="AM71" s="69"/>
      <c r="AN71" s="69"/>
      <c r="AO71" s="69"/>
      <c r="AQ71" s="66"/>
    </row>
    <row r="72" spans="5:43" s="65" customFormat="1" x14ac:dyDescent="0.25">
      <c r="E72" s="66"/>
      <c r="O72" s="67"/>
      <c r="P72" s="67"/>
      <c r="U72" s="67"/>
      <c r="V72" s="68"/>
      <c r="W72" s="68"/>
      <c r="Z72" s="69"/>
      <c r="AA72" s="69"/>
      <c r="AB72" s="69"/>
      <c r="AC72" s="69"/>
      <c r="AD72" s="69"/>
      <c r="AE72" s="68"/>
      <c r="AF72" s="69"/>
      <c r="AG72" s="67"/>
      <c r="AH72" s="69"/>
      <c r="AI72" s="69"/>
      <c r="AJ72" s="69"/>
      <c r="AK72" s="69"/>
      <c r="AL72" s="69"/>
      <c r="AM72" s="69"/>
      <c r="AN72" s="69"/>
      <c r="AO72" s="69"/>
      <c r="AQ72" s="66"/>
    </row>
    <row r="73" spans="5:43" s="65" customFormat="1" x14ac:dyDescent="0.25">
      <c r="E73" s="66"/>
      <c r="O73" s="67"/>
      <c r="P73" s="67"/>
      <c r="U73" s="67"/>
      <c r="V73" s="68"/>
      <c r="W73" s="68"/>
      <c r="Z73" s="69"/>
      <c r="AA73" s="69"/>
      <c r="AB73" s="69"/>
      <c r="AC73" s="69"/>
      <c r="AD73" s="69"/>
      <c r="AE73" s="68"/>
      <c r="AF73" s="69"/>
      <c r="AG73" s="67"/>
      <c r="AH73" s="69"/>
      <c r="AI73" s="69"/>
      <c r="AJ73" s="69"/>
      <c r="AK73" s="69"/>
      <c r="AL73" s="69"/>
      <c r="AM73" s="69"/>
      <c r="AN73" s="69"/>
      <c r="AO73" s="69"/>
      <c r="AQ73" s="66"/>
    </row>
    <row r="74" spans="5:43" s="65" customFormat="1" x14ac:dyDescent="0.25">
      <c r="E74" s="66"/>
      <c r="O74" s="67"/>
      <c r="P74" s="67"/>
      <c r="U74" s="67"/>
      <c r="V74" s="68"/>
      <c r="W74" s="68"/>
      <c r="Z74" s="69"/>
      <c r="AA74" s="69"/>
      <c r="AB74" s="69"/>
      <c r="AC74" s="69"/>
      <c r="AD74" s="69"/>
      <c r="AE74" s="68"/>
      <c r="AF74" s="69"/>
      <c r="AG74" s="67"/>
      <c r="AH74" s="69"/>
      <c r="AI74" s="69"/>
      <c r="AJ74" s="69"/>
      <c r="AK74" s="69"/>
      <c r="AL74" s="69"/>
      <c r="AM74" s="69"/>
      <c r="AN74" s="69"/>
      <c r="AO74" s="69"/>
      <c r="AQ74" s="66"/>
    </row>
    <row r="75" spans="5:43" s="65" customFormat="1" x14ac:dyDescent="0.25">
      <c r="E75" s="66"/>
      <c r="O75" s="67"/>
      <c r="P75" s="67"/>
      <c r="U75" s="67"/>
      <c r="V75" s="68"/>
      <c r="W75" s="68"/>
      <c r="Z75" s="69"/>
      <c r="AA75" s="69"/>
      <c r="AB75" s="69"/>
      <c r="AC75" s="69"/>
      <c r="AD75" s="69"/>
      <c r="AE75" s="68"/>
      <c r="AF75" s="69"/>
      <c r="AG75" s="67"/>
      <c r="AH75" s="69"/>
      <c r="AI75" s="69"/>
      <c r="AJ75" s="69"/>
      <c r="AK75" s="69"/>
      <c r="AL75" s="69"/>
      <c r="AM75" s="69"/>
      <c r="AN75" s="69"/>
      <c r="AO75" s="69"/>
      <c r="AQ75" s="66"/>
    </row>
    <row r="76" spans="5:43" s="65" customFormat="1" x14ac:dyDescent="0.25">
      <c r="E76" s="66"/>
      <c r="O76" s="67"/>
      <c r="P76" s="67"/>
      <c r="U76" s="67"/>
      <c r="V76" s="68"/>
      <c r="W76" s="68"/>
      <c r="Z76" s="69"/>
      <c r="AA76" s="69"/>
      <c r="AB76" s="69"/>
      <c r="AC76" s="69"/>
      <c r="AD76" s="69"/>
      <c r="AE76" s="68"/>
      <c r="AF76" s="69"/>
      <c r="AG76" s="67"/>
      <c r="AH76" s="69"/>
      <c r="AI76" s="69"/>
      <c r="AJ76" s="69"/>
      <c r="AK76" s="69"/>
      <c r="AL76" s="69"/>
      <c r="AM76" s="69"/>
      <c r="AN76" s="69"/>
      <c r="AO76" s="69"/>
      <c r="AQ76" s="66"/>
    </row>
    <row r="77" spans="5:43" s="65" customFormat="1" x14ac:dyDescent="0.25">
      <c r="E77" s="66"/>
      <c r="O77" s="67"/>
      <c r="P77" s="67"/>
      <c r="U77" s="67"/>
      <c r="V77" s="68"/>
      <c r="W77" s="68"/>
      <c r="Z77" s="69"/>
      <c r="AA77" s="69"/>
      <c r="AB77" s="69"/>
      <c r="AC77" s="69"/>
      <c r="AD77" s="69"/>
      <c r="AE77" s="68"/>
      <c r="AF77" s="69"/>
      <c r="AG77" s="67"/>
      <c r="AH77" s="69"/>
      <c r="AI77" s="69"/>
      <c r="AJ77" s="69"/>
      <c r="AK77" s="69"/>
      <c r="AL77" s="69"/>
      <c r="AM77" s="69"/>
      <c r="AN77" s="69"/>
      <c r="AO77" s="69"/>
      <c r="AQ77" s="66"/>
    </row>
    <row r="78" spans="5:43" s="65" customFormat="1" x14ac:dyDescent="0.25">
      <c r="E78" s="66"/>
      <c r="O78" s="67"/>
      <c r="P78" s="67"/>
      <c r="U78" s="67"/>
      <c r="V78" s="68"/>
      <c r="W78" s="68"/>
      <c r="Z78" s="69"/>
      <c r="AA78" s="69"/>
      <c r="AB78" s="69"/>
      <c r="AC78" s="69"/>
      <c r="AD78" s="69"/>
      <c r="AE78" s="68"/>
      <c r="AF78" s="69"/>
      <c r="AG78" s="67"/>
      <c r="AH78" s="69"/>
      <c r="AI78" s="69"/>
      <c r="AJ78" s="69"/>
      <c r="AK78" s="69"/>
      <c r="AL78" s="69"/>
      <c r="AM78" s="69"/>
      <c r="AN78" s="69"/>
      <c r="AO78" s="69"/>
      <c r="AQ78" s="66"/>
    </row>
    <row r="79" spans="5:43" s="65" customFormat="1" x14ac:dyDescent="0.25">
      <c r="E79" s="66"/>
      <c r="O79" s="67"/>
      <c r="P79" s="67"/>
      <c r="U79" s="67"/>
      <c r="V79" s="68"/>
      <c r="W79" s="68"/>
      <c r="Z79" s="69"/>
      <c r="AA79" s="69"/>
      <c r="AB79" s="69"/>
      <c r="AC79" s="69"/>
      <c r="AD79" s="69"/>
      <c r="AE79" s="68"/>
      <c r="AF79" s="69"/>
      <c r="AG79" s="67"/>
      <c r="AH79" s="69"/>
      <c r="AI79" s="69"/>
      <c r="AJ79" s="69"/>
      <c r="AK79" s="69"/>
      <c r="AL79" s="69"/>
      <c r="AM79" s="69"/>
      <c r="AN79" s="69"/>
      <c r="AO79" s="69"/>
      <c r="AQ79" s="66"/>
    </row>
    <row r="80" spans="5:43" s="65" customFormat="1" x14ac:dyDescent="0.25">
      <c r="E80" s="66"/>
      <c r="O80" s="67"/>
      <c r="P80" s="67"/>
      <c r="U80" s="67"/>
      <c r="V80" s="68"/>
      <c r="W80" s="68"/>
      <c r="Z80" s="69"/>
      <c r="AA80" s="69"/>
      <c r="AB80" s="69"/>
      <c r="AC80" s="69"/>
      <c r="AD80" s="69"/>
      <c r="AE80" s="68"/>
      <c r="AF80" s="69"/>
      <c r="AG80" s="67"/>
      <c r="AH80" s="69"/>
      <c r="AI80" s="69"/>
      <c r="AJ80" s="69"/>
      <c r="AK80" s="69"/>
      <c r="AL80" s="69"/>
      <c r="AM80" s="69"/>
      <c r="AN80" s="69"/>
      <c r="AO80" s="69"/>
      <c r="AQ80" s="66"/>
    </row>
    <row r="81" spans="5:43" s="65" customFormat="1" x14ac:dyDescent="0.25">
      <c r="E81" s="66"/>
      <c r="O81" s="67"/>
      <c r="P81" s="67"/>
      <c r="U81" s="67"/>
      <c r="V81" s="68"/>
      <c r="W81" s="68"/>
      <c r="Z81" s="69"/>
      <c r="AA81" s="69"/>
      <c r="AB81" s="69"/>
      <c r="AC81" s="69"/>
      <c r="AD81" s="69"/>
      <c r="AE81" s="68"/>
      <c r="AF81" s="69"/>
      <c r="AG81" s="67"/>
      <c r="AH81" s="69"/>
      <c r="AI81" s="69"/>
      <c r="AJ81" s="69"/>
      <c r="AK81" s="69"/>
      <c r="AL81" s="69"/>
      <c r="AM81" s="69"/>
      <c r="AN81" s="69"/>
      <c r="AO81" s="69"/>
      <c r="AQ81" s="66"/>
    </row>
    <row r="82" spans="5:43" s="65" customFormat="1" x14ac:dyDescent="0.25">
      <c r="E82" s="66"/>
      <c r="O82" s="67"/>
      <c r="P82" s="67"/>
      <c r="U82" s="67"/>
      <c r="V82" s="68"/>
      <c r="W82" s="68"/>
      <c r="Z82" s="69"/>
      <c r="AA82" s="69"/>
      <c r="AB82" s="69"/>
      <c r="AC82" s="69"/>
      <c r="AD82" s="69"/>
      <c r="AE82" s="68"/>
      <c r="AF82" s="69"/>
      <c r="AG82" s="67"/>
      <c r="AH82" s="69"/>
      <c r="AI82" s="69"/>
      <c r="AJ82" s="69"/>
      <c r="AK82" s="69"/>
      <c r="AL82" s="69"/>
      <c r="AM82" s="69"/>
      <c r="AN82" s="69"/>
      <c r="AO82" s="69"/>
      <c r="AQ82" s="66"/>
    </row>
    <row r="83" spans="5:43" s="65" customFormat="1" x14ac:dyDescent="0.25">
      <c r="E83" s="66"/>
      <c r="O83" s="67"/>
      <c r="P83" s="67"/>
      <c r="U83" s="67"/>
      <c r="V83" s="68"/>
      <c r="W83" s="68"/>
      <c r="Z83" s="69"/>
      <c r="AA83" s="69"/>
      <c r="AB83" s="69"/>
      <c r="AC83" s="69"/>
      <c r="AD83" s="69"/>
      <c r="AE83" s="68"/>
      <c r="AF83" s="69"/>
      <c r="AG83" s="67"/>
      <c r="AH83" s="69"/>
      <c r="AI83" s="69"/>
      <c r="AJ83" s="69"/>
      <c r="AK83" s="69"/>
      <c r="AL83" s="69"/>
      <c r="AM83" s="69"/>
      <c r="AN83" s="69"/>
      <c r="AO83" s="69"/>
      <c r="AQ83" s="66"/>
    </row>
    <row r="84" spans="5:43" s="65" customFormat="1" x14ac:dyDescent="0.25">
      <c r="E84" s="66"/>
      <c r="O84" s="67"/>
      <c r="P84" s="67"/>
      <c r="U84" s="67"/>
      <c r="V84" s="68"/>
      <c r="W84" s="68"/>
      <c r="Z84" s="69"/>
      <c r="AA84" s="69"/>
      <c r="AB84" s="69"/>
      <c r="AC84" s="69"/>
      <c r="AD84" s="69"/>
      <c r="AE84" s="68"/>
      <c r="AF84" s="69"/>
      <c r="AG84" s="67"/>
      <c r="AH84" s="69"/>
      <c r="AI84" s="69"/>
      <c r="AJ84" s="69"/>
      <c r="AK84" s="69"/>
      <c r="AL84" s="69"/>
      <c r="AM84" s="69"/>
      <c r="AN84" s="69"/>
      <c r="AO84" s="69"/>
      <c r="AQ84" s="66"/>
    </row>
    <row r="85" spans="5:43" s="65" customFormat="1" x14ac:dyDescent="0.25">
      <c r="E85" s="66"/>
      <c r="O85" s="67"/>
      <c r="P85" s="67"/>
      <c r="U85" s="67"/>
      <c r="V85" s="68"/>
      <c r="W85" s="68"/>
      <c r="Z85" s="69"/>
      <c r="AA85" s="69"/>
      <c r="AB85" s="69"/>
      <c r="AC85" s="69"/>
      <c r="AD85" s="69"/>
      <c r="AE85" s="68"/>
      <c r="AF85" s="69"/>
      <c r="AG85" s="67"/>
      <c r="AH85" s="69"/>
      <c r="AI85" s="69"/>
      <c r="AJ85" s="69"/>
      <c r="AK85" s="69"/>
      <c r="AL85" s="69"/>
      <c r="AM85" s="69"/>
      <c r="AN85" s="69"/>
      <c r="AO85" s="69"/>
      <c r="AQ85" s="66"/>
    </row>
    <row r="86" spans="5:43" s="65" customFormat="1" x14ac:dyDescent="0.25">
      <c r="E86" s="66"/>
      <c r="O86" s="67"/>
      <c r="P86" s="67"/>
      <c r="U86" s="67"/>
      <c r="V86" s="68"/>
      <c r="W86" s="68"/>
      <c r="Z86" s="69"/>
      <c r="AA86" s="69"/>
      <c r="AB86" s="69"/>
      <c r="AC86" s="69"/>
      <c r="AD86" s="69"/>
      <c r="AE86" s="68"/>
      <c r="AF86" s="69"/>
      <c r="AG86" s="67"/>
      <c r="AH86" s="69"/>
      <c r="AI86" s="69"/>
      <c r="AJ86" s="69"/>
      <c r="AK86" s="69"/>
      <c r="AL86" s="69"/>
      <c r="AM86" s="69"/>
      <c r="AN86" s="69"/>
      <c r="AO86" s="69"/>
      <c r="AQ86" s="66"/>
    </row>
    <row r="87" spans="5:43" s="65" customFormat="1" ht="17.45" customHeight="1" x14ac:dyDescent="0.25">
      <c r="E87" s="66"/>
      <c r="O87" s="67"/>
      <c r="P87" s="67"/>
      <c r="U87" s="67"/>
      <c r="V87" s="68"/>
      <c r="W87" s="68"/>
      <c r="Z87" s="69"/>
      <c r="AA87" s="69"/>
      <c r="AB87" s="69"/>
      <c r="AC87" s="69"/>
      <c r="AD87" s="69"/>
      <c r="AE87" s="68"/>
      <c r="AF87" s="69"/>
      <c r="AG87" s="67"/>
      <c r="AH87" s="69"/>
      <c r="AI87" s="69"/>
      <c r="AJ87" s="69"/>
      <c r="AK87" s="69"/>
      <c r="AL87" s="69"/>
      <c r="AM87" s="69"/>
      <c r="AN87" s="69"/>
      <c r="AO87" s="69"/>
      <c r="AQ87" s="66"/>
    </row>
    <row r="88" spans="5:43" s="65" customFormat="1" x14ac:dyDescent="0.25">
      <c r="E88" s="66"/>
      <c r="O88" s="67"/>
      <c r="P88" s="67"/>
      <c r="U88" s="67"/>
      <c r="V88" s="68"/>
      <c r="W88" s="68"/>
      <c r="Z88" s="69"/>
      <c r="AA88" s="69"/>
      <c r="AB88" s="69"/>
      <c r="AC88" s="69"/>
      <c r="AD88" s="69"/>
      <c r="AE88" s="68"/>
      <c r="AF88" s="69"/>
      <c r="AG88" s="67"/>
      <c r="AH88" s="69"/>
      <c r="AI88" s="69"/>
      <c r="AJ88" s="69"/>
      <c r="AK88" s="69"/>
      <c r="AL88" s="69"/>
      <c r="AM88" s="69"/>
      <c r="AN88" s="69"/>
      <c r="AO88" s="69"/>
      <c r="AQ88" s="66"/>
    </row>
    <row r="89" spans="5:43" s="65" customFormat="1" x14ac:dyDescent="0.25">
      <c r="E89" s="66"/>
      <c r="O89" s="67"/>
      <c r="P89" s="67"/>
      <c r="U89" s="67"/>
      <c r="V89" s="68"/>
      <c r="W89" s="68"/>
      <c r="Z89" s="69"/>
      <c r="AA89" s="69"/>
      <c r="AB89" s="69"/>
      <c r="AC89" s="69"/>
      <c r="AD89" s="69"/>
      <c r="AE89" s="68"/>
      <c r="AF89" s="69"/>
      <c r="AG89" s="67"/>
      <c r="AH89" s="69"/>
      <c r="AI89" s="69"/>
      <c r="AJ89" s="69"/>
      <c r="AK89" s="69"/>
      <c r="AL89" s="69"/>
      <c r="AM89" s="69"/>
      <c r="AN89" s="69"/>
      <c r="AO89" s="69"/>
      <c r="AQ89" s="66"/>
    </row>
    <row r="90" spans="5:43" s="65" customFormat="1" x14ac:dyDescent="0.25">
      <c r="E90" s="66"/>
      <c r="O90" s="67"/>
      <c r="P90" s="67"/>
      <c r="U90" s="67"/>
      <c r="V90" s="68"/>
      <c r="W90" s="68"/>
      <c r="Z90" s="69"/>
      <c r="AA90" s="69"/>
      <c r="AB90" s="69"/>
      <c r="AC90" s="69"/>
      <c r="AD90" s="69"/>
      <c r="AE90" s="68"/>
      <c r="AF90" s="69"/>
      <c r="AG90" s="67"/>
      <c r="AH90" s="69"/>
      <c r="AI90" s="69"/>
      <c r="AJ90" s="69"/>
      <c r="AK90" s="69"/>
      <c r="AL90" s="69"/>
      <c r="AM90" s="69"/>
      <c r="AN90" s="69"/>
      <c r="AO90" s="69"/>
      <c r="AQ90" s="66"/>
    </row>
    <row r="91" spans="5:43" s="65" customFormat="1" x14ac:dyDescent="0.25">
      <c r="E91" s="66"/>
      <c r="O91" s="67"/>
      <c r="P91" s="67"/>
      <c r="U91" s="67"/>
      <c r="V91" s="68"/>
      <c r="W91" s="68"/>
      <c r="Z91" s="69"/>
      <c r="AA91" s="69"/>
      <c r="AB91" s="69"/>
      <c r="AC91" s="69"/>
      <c r="AD91" s="69"/>
      <c r="AE91" s="68"/>
      <c r="AF91" s="69"/>
      <c r="AG91" s="67"/>
      <c r="AH91" s="69"/>
      <c r="AI91" s="69"/>
      <c r="AJ91" s="69"/>
      <c r="AK91" s="69"/>
      <c r="AL91" s="69"/>
      <c r="AM91" s="69"/>
      <c r="AN91" s="69"/>
      <c r="AO91" s="69"/>
      <c r="AQ91" s="66"/>
    </row>
    <row r="92" spans="5:43" s="65" customFormat="1" x14ac:dyDescent="0.25">
      <c r="E92" s="66"/>
      <c r="O92" s="67"/>
      <c r="P92" s="67"/>
      <c r="U92" s="67"/>
      <c r="V92" s="68"/>
      <c r="W92" s="68"/>
      <c r="Z92" s="69"/>
      <c r="AA92" s="69"/>
      <c r="AB92" s="69"/>
      <c r="AC92" s="69"/>
      <c r="AD92" s="69"/>
      <c r="AE92" s="68"/>
      <c r="AF92" s="69"/>
      <c r="AG92" s="67"/>
      <c r="AH92" s="69"/>
      <c r="AI92" s="69"/>
      <c r="AJ92" s="69"/>
      <c r="AK92" s="69"/>
      <c r="AL92" s="69"/>
      <c r="AM92" s="69"/>
      <c r="AN92" s="69"/>
      <c r="AO92" s="69"/>
      <c r="AQ92" s="66"/>
    </row>
    <row r="93" spans="5:43" s="65" customFormat="1" x14ac:dyDescent="0.25">
      <c r="E93" s="66"/>
      <c r="O93" s="67"/>
      <c r="P93" s="67"/>
      <c r="U93" s="67"/>
      <c r="V93" s="68"/>
      <c r="W93" s="68"/>
      <c r="Z93" s="69"/>
      <c r="AA93" s="69"/>
      <c r="AB93" s="69"/>
      <c r="AC93" s="69"/>
      <c r="AD93" s="69"/>
      <c r="AE93" s="68"/>
      <c r="AF93" s="69"/>
      <c r="AG93" s="67"/>
      <c r="AH93" s="69"/>
      <c r="AI93" s="69"/>
      <c r="AJ93" s="69"/>
      <c r="AK93" s="69"/>
      <c r="AL93" s="69"/>
      <c r="AM93" s="69"/>
      <c r="AN93" s="69"/>
      <c r="AO93" s="69"/>
      <c r="AQ93" s="66"/>
    </row>
    <row r="94" spans="5:43" s="65" customFormat="1" x14ac:dyDescent="0.25">
      <c r="E94" s="66"/>
      <c r="O94" s="67"/>
      <c r="P94" s="67"/>
      <c r="U94" s="67"/>
      <c r="V94" s="68"/>
      <c r="W94" s="68"/>
      <c r="Z94" s="69"/>
      <c r="AA94" s="69"/>
      <c r="AB94" s="69"/>
      <c r="AC94" s="69"/>
      <c r="AD94" s="69"/>
      <c r="AE94" s="68"/>
      <c r="AF94" s="69"/>
      <c r="AG94" s="67"/>
      <c r="AH94" s="69"/>
      <c r="AI94" s="69"/>
      <c r="AJ94" s="69"/>
      <c r="AK94" s="69"/>
      <c r="AL94" s="69"/>
      <c r="AM94" s="69"/>
      <c r="AN94" s="69"/>
      <c r="AO94" s="69"/>
      <c r="AQ94" s="66"/>
    </row>
    <row r="95" spans="5:43" x14ac:dyDescent="0.25">
      <c r="O95" s="26"/>
      <c r="P95" s="26"/>
      <c r="Z95" s="27"/>
      <c r="AG95" s="23"/>
    </row>
    <row r="96" spans="5:43" ht="17.45" customHeight="1" x14ac:dyDescent="0.25">
      <c r="O96" s="26"/>
      <c r="P96" s="26"/>
      <c r="Z96" s="27"/>
      <c r="AG96" s="23"/>
    </row>
    <row r="97" spans="15:33" x14ac:dyDescent="0.25">
      <c r="O97" s="26"/>
      <c r="P97" s="26"/>
      <c r="Z97" s="27"/>
      <c r="AG97" s="23"/>
    </row>
    <row r="98" spans="15:33" x14ac:dyDescent="0.25">
      <c r="O98" s="26"/>
      <c r="P98" s="26"/>
      <c r="Z98" s="27"/>
      <c r="AG98" s="23"/>
    </row>
    <row r="99" spans="15:33" x14ac:dyDescent="0.25">
      <c r="O99" s="26"/>
      <c r="P99" s="26"/>
      <c r="Z99" s="27"/>
      <c r="AG99" s="23"/>
    </row>
    <row r="100" spans="15:33" x14ac:dyDescent="0.25">
      <c r="O100" s="26"/>
      <c r="P100" s="26"/>
      <c r="Z100" s="27"/>
      <c r="AB100" s="46"/>
      <c r="AC100" s="46"/>
      <c r="AG100" s="23"/>
    </row>
    <row r="101" spans="15:33" x14ac:dyDescent="0.25">
      <c r="O101" s="26"/>
      <c r="P101" s="26"/>
      <c r="Z101" s="27"/>
      <c r="AB101" s="46"/>
      <c r="AC101" s="46"/>
      <c r="AG101" s="23"/>
    </row>
    <row r="102" spans="15:33" x14ac:dyDescent="0.25">
      <c r="O102" s="26"/>
      <c r="P102" s="26"/>
      <c r="Z102" s="27"/>
      <c r="AB102" s="46"/>
      <c r="AC102" s="46"/>
      <c r="AG102" s="23"/>
    </row>
    <row r="103" spans="15:33" x14ac:dyDescent="0.25">
      <c r="O103" s="26"/>
      <c r="P103" s="26"/>
      <c r="Z103" s="27"/>
      <c r="AB103" s="46"/>
      <c r="AC103" s="46"/>
      <c r="AG103" s="23"/>
    </row>
    <row r="104" spans="15:33" x14ac:dyDescent="0.25">
      <c r="O104" s="26"/>
      <c r="P104" s="26"/>
      <c r="Z104" s="27"/>
      <c r="AG104" s="23"/>
    </row>
    <row r="105" spans="15:33" x14ac:dyDescent="0.25">
      <c r="O105" s="26"/>
      <c r="P105" s="26"/>
      <c r="Z105" s="27"/>
      <c r="AG105" s="23"/>
    </row>
    <row r="106" spans="15:33" x14ac:dyDescent="0.25">
      <c r="O106" s="26"/>
      <c r="P106" s="26"/>
      <c r="Z106" s="27"/>
      <c r="AG106" s="23"/>
    </row>
    <row r="107" spans="15:33" x14ac:dyDescent="0.25">
      <c r="O107" s="26"/>
      <c r="P107" s="26"/>
      <c r="Z107" s="27"/>
      <c r="AG107" s="23"/>
    </row>
    <row r="108" spans="15:33" x14ac:dyDescent="0.25">
      <c r="O108" s="26"/>
      <c r="P108" s="26"/>
      <c r="Z108" s="27"/>
      <c r="AG108" s="23"/>
    </row>
    <row r="109" spans="15:33" x14ac:dyDescent="0.25">
      <c r="O109" s="26"/>
      <c r="P109" s="26"/>
      <c r="Z109" s="27"/>
      <c r="AG109" s="23"/>
    </row>
    <row r="110" spans="15:33" x14ac:dyDescent="0.25">
      <c r="O110" s="26"/>
      <c r="P110" s="26"/>
      <c r="Z110" s="27"/>
      <c r="AG110" s="23"/>
    </row>
    <row r="111" spans="15:33" x14ac:dyDescent="0.25">
      <c r="O111" s="26"/>
      <c r="P111" s="26"/>
      <c r="Z111" s="27"/>
      <c r="AG111" s="23"/>
    </row>
    <row r="112" spans="15:33" x14ac:dyDescent="0.25">
      <c r="O112" s="26"/>
      <c r="P112" s="26"/>
      <c r="AG112" s="23"/>
    </row>
    <row r="113" spans="15:33" x14ac:dyDescent="0.25">
      <c r="O113" s="26"/>
      <c r="P113" s="26"/>
      <c r="AG113" s="23"/>
    </row>
    <row r="114" spans="15:33" x14ac:dyDescent="0.25">
      <c r="O114" s="26"/>
      <c r="P114" s="26"/>
      <c r="AG114" s="23"/>
    </row>
    <row r="115" spans="15:33" x14ac:dyDescent="0.25">
      <c r="O115" s="26"/>
      <c r="P115" s="26"/>
      <c r="AG115" s="23"/>
    </row>
    <row r="116" spans="15:33" x14ac:dyDescent="0.25">
      <c r="O116" s="26"/>
      <c r="P116" s="26"/>
      <c r="AG116" s="23"/>
    </row>
    <row r="117" spans="15:33" x14ac:dyDescent="0.25">
      <c r="O117" s="26"/>
      <c r="P117" s="26"/>
      <c r="AG117" s="23"/>
    </row>
    <row r="118" spans="15:33" x14ac:dyDescent="0.25">
      <c r="O118" s="26"/>
      <c r="P118" s="26"/>
      <c r="AG118" s="23"/>
    </row>
    <row r="119" spans="15:33" x14ac:dyDescent="0.25">
      <c r="O119" s="26"/>
      <c r="P119" s="26"/>
      <c r="AG119" s="23"/>
    </row>
    <row r="120" spans="15:33" x14ac:dyDescent="0.25">
      <c r="O120" s="26"/>
      <c r="P120" s="26"/>
      <c r="AG120" s="23"/>
    </row>
    <row r="121" spans="15:33" x14ac:dyDescent="0.25">
      <c r="O121" s="26"/>
      <c r="P121" s="26"/>
      <c r="AG121" s="23"/>
    </row>
    <row r="122" spans="15:33" x14ac:dyDescent="0.25">
      <c r="O122" s="26"/>
      <c r="P122" s="26"/>
      <c r="AG122" s="23"/>
    </row>
    <row r="123" spans="15:33" x14ac:dyDescent="0.25">
      <c r="O123" s="26"/>
      <c r="P123" s="26"/>
      <c r="AG123" s="23"/>
    </row>
    <row r="124" spans="15:33" x14ac:dyDescent="0.25">
      <c r="O124" s="26"/>
      <c r="P124" s="26"/>
      <c r="AG124" s="23"/>
    </row>
    <row r="125" spans="15:33" x14ac:dyDescent="0.25">
      <c r="O125" s="26"/>
      <c r="P125" s="26"/>
      <c r="AG125" s="23"/>
    </row>
    <row r="126" spans="15:33" x14ac:dyDescent="0.25">
      <c r="O126" s="26"/>
      <c r="P126" s="26"/>
      <c r="AG126" s="23"/>
    </row>
    <row r="127" spans="15:33" x14ac:dyDescent="0.25">
      <c r="O127" s="26"/>
      <c r="P127" s="26"/>
      <c r="AG127" s="23"/>
    </row>
    <row r="128" spans="15:33" x14ac:dyDescent="0.25">
      <c r="O128" s="26"/>
      <c r="P128" s="26"/>
      <c r="AG128" s="23"/>
    </row>
    <row r="129" spans="15:33" x14ac:dyDescent="0.25">
      <c r="O129" s="26"/>
      <c r="P129" s="26"/>
      <c r="AG129" s="23"/>
    </row>
    <row r="130" spans="15:33" x14ac:dyDescent="0.25">
      <c r="O130" s="26"/>
      <c r="P130" s="26"/>
      <c r="AG130" s="23"/>
    </row>
    <row r="131" spans="15:33" x14ac:dyDescent="0.25">
      <c r="O131" s="26"/>
      <c r="P131" s="26"/>
      <c r="AG131" s="23"/>
    </row>
    <row r="132" spans="15:33" x14ac:dyDescent="0.25">
      <c r="O132" s="26"/>
      <c r="P132" s="26"/>
      <c r="AG132" s="23"/>
    </row>
    <row r="133" spans="15:33" x14ac:dyDescent="0.25">
      <c r="O133" s="26"/>
      <c r="P133" s="26"/>
      <c r="AG133" s="23"/>
    </row>
    <row r="134" spans="15:33" x14ac:dyDescent="0.25">
      <c r="O134" s="26"/>
      <c r="P134" s="26"/>
      <c r="AG134" s="23"/>
    </row>
    <row r="135" spans="15:33" x14ac:dyDescent="0.25">
      <c r="O135" s="26"/>
      <c r="P135" s="26"/>
      <c r="AG135" s="23"/>
    </row>
    <row r="136" spans="15:33" x14ac:dyDescent="0.25">
      <c r="O136" s="26"/>
      <c r="P136" s="26"/>
      <c r="AG136" s="23"/>
    </row>
    <row r="137" spans="15:33" x14ac:dyDescent="0.25">
      <c r="O137" s="26"/>
      <c r="P137" s="26"/>
      <c r="AG137" s="23"/>
    </row>
    <row r="138" spans="15:33" x14ac:dyDescent="0.25">
      <c r="O138" s="26"/>
      <c r="P138" s="26"/>
      <c r="AG138" s="23"/>
    </row>
    <row r="139" spans="15:33" x14ac:dyDescent="0.25">
      <c r="O139" s="26"/>
      <c r="P139" s="26"/>
      <c r="AG139" s="23"/>
    </row>
    <row r="140" spans="15:33" x14ac:dyDescent="0.25">
      <c r="O140" s="26"/>
      <c r="P140" s="26"/>
      <c r="AG140" s="23"/>
    </row>
    <row r="141" spans="15:33" x14ac:dyDescent="0.25">
      <c r="O141" s="26"/>
      <c r="P141" s="26"/>
      <c r="AG141" s="23"/>
    </row>
    <row r="142" spans="15:33" x14ac:dyDescent="0.25">
      <c r="O142" s="26"/>
      <c r="P142" s="26"/>
      <c r="AG142" s="23"/>
    </row>
    <row r="143" spans="15:33" x14ac:dyDescent="0.25">
      <c r="O143" s="26"/>
      <c r="P143" s="26"/>
      <c r="AG143" s="23"/>
    </row>
    <row r="144" spans="15:33" x14ac:dyDescent="0.25">
      <c r="O144" s="26"/>
      <c r="P144" s="26"/>
      <c r="AG144" s="23"/>
    </row>
    <row r="145" spans="15:33" x14ac:dyDescent="0.25">
      <c r="O145" s="26"/>
      <c r="P145" s="26"/>
      <c r="AG145" s="23"/>
    </row>
    <row r="146" spans="15:33" x14ac:dyDescent="0.25">
      <c r="O146" s="26"/>
      <c r="P146" s="26"/>
      <c r="AG146" s="23"/>
    </row>
    <row r="147" spans="15:33" x14ac:dyDescent="0.25">
      <c r="O147" s="26"/>
      <c r="P147" s="26"/>
      <c r="AG147" s="23"/>
    </row>
    <row r="148" spans="15:33" x14ac:dyDescent="0.25">
      <c r="O148" s="26"/>
      <c r="P148" s="26"/>
      <c r="AG148" s="23"/>
    </row>
    <row r="149" spans="15:33" ht="13.15" customHeight="1" x14ac:dyDescent="0.25">
      <c r="O149" s="26"/>
      <c r="P149" s="26"/>
      <c r="AG149" s="23"/>
    </row>
    <row r="150" spans="15:33" x14ac:dyDescent="0.25">
      <c r="O150" s="26"/>
      <c r="P150" s="26"/>
      <c r="AG150" s="23"/>
    </row>
    <row r="151" spans="15:33" x14ac:dyDescent="0.25">
      <c r="O151" s="26"/>
      <c r="P151" s="26"/>
      <c r="AG151" s="23"/>
    </row>
    <row r="152" spans="15:33" x14ac:dyDescent="0.25">
      <c r="O152" s="26"/>
      <c r="P152" s="26"/>
      <c r="AG152" s="23"/>
    </row>
    <row r="153" spans="15:33" x14ac:dyDescent="0.25">
      <c r="O153" s="26"/>
      <c r="P153" s="26"/>
      <c r="AG153" s="23"/>
    </row>
    <row r="154" spans="15:33" x14ac:dyDescent="0.25">
      <c r="O154" s="26"/>
      <c r="P154" s="26"/>
      <c r="AG154" s="23"/>
    </row>
    <row r="155" spans="15:33" x14ac:dyDescent="0.25">
      <c r="O155" s="26"/>
      <c r="P155" s="26"/>
      <c r="AG155" s="23"/>
    </row>
    <row r="156" spans="15:33" x14ac:dyDescent="0.25">
      <c r="O156" s="26"/>
      <c r="P156" s="26"/>
      <c r="AG156" s="23"/>
    </row>
    <row r="157" spans="15:33" x14ac:dyDescent="0.25">
      <c r="O157" s="26"/>
      <c r="P157" s="26"/>
      <c r="AG157" s="23"/>
    </row>
    <row r="158" spans="15:33" ht="13.9" customHeight="1" x14ac:dyDescent="0.25">
      <c r="O158" s="26"/>
      <c r="P158" s="26"/>
      <c r="AG158" s="23"/>
    </row>
    <row r="159" spans="15:33" x14ac:dyDescent="0.25">
      <c r="O159" s="26"/>
      <c r="P159" s="26"/>
      <c r="AG159" s="23"/>
    </row>
    <row r="160" spans="15:33" x14ac:dyDescent="0.25">
      <c r="O160" s="26"/>
      <c r="P160" s="26"/>
      <c r="AG160" s="23"/>
    </row>
    <row r="161" spans="15:33" x14ac:dyDescent="0.25">
      <c r="O161" s="26"/>
      <c r="P161" s="26"/>
      <c r="AG161" s="23"/>
    </row>
    <row r="162" spans="15:33" x14ac:dyDescent="0.25">
      <c r="O162" s="26"/>
      <c r="P162" s="26"/>
      <c r="AG162" s="23"/>
    </row>
    <row r="163" spans="15:33" x14ac:dyDescent="0.25">
      <c r="O163" s="26"/>
      <c r="P163" s="26"/>
      <c r="AG163" s="23"/>
    </row>
    <row r="164" spans="15:33" x14ac:dyDescent="0.25">
      <c r="O164" s="26"/>
      <c r="P164" s="26"/>
      <c r="AG164" s="23"/>
    </row>
    <row r="165" spans="15:33" x14ac:dyDescent="0.25">
      <c r="O165" s="26"/>
      <c r="P165" s="26"/>
      <c r="AG165" s="23"/>
    </row>
    <row r="166" spans="15:33" x14ac:dyDescent="0.25">
      <c r="O166" s="26"/>
      <c r="P166" s="26"/>
      <c r="AG166" s="23"/>
    </row>
    <row r="167" spans="15:33" x14ac:dyDescent="0.25">
      <c r="O167" s="26"/>
      <c r="P167" s="26"/>
      <c r="AG167" s="23"/>
    </row>
    <row r="168" spans="15:33" x14ac:dyDescent="0.25">
      <c r="O168" s="26"/>
      <c r="P168" s="26"/>
      <c r="AG168" s="23"/>
    </row>
    <row r="169" spans="15:33" x14ac:dyDescent="0.25">
      <c r="O169" s="26"/>
      <c r="P169" s="26"/>
      <c r="AG169" s="23"/>
    </row>
    <row r="170" spans="15:33" x14ac:dyDescent="0.25">
      <c r="O170" s="26"/>
      <c r="P170" s="26"/>
      <c r="AG170" s="23"/>
    </row>
    <row r="171" spans="15:33" x14ac:dyDescent="0.25">
      <c r="O171" s="26"/>
      <c r="P171" s="26"/>
      <c r="AG171" s="23"/>
    </row>
    <row r="172" spans="15:33" x14ac:dyDescent="0.25">
      <c r="O172" s="26"/>
      <c r="P172" s="26"/>
      <c r="AG172" s="23"/>
    </row>
    <row r="173" spans="15:33" x14ac:dyDescent="0.25">
      <c r="O173" s="26"/>
      <c r="P173" s="26"/>
      <c r="AG173" s="23"/>
    </row>
    <row r="174" spans="15:33" x14ac:dyDescent="0.25">
      <c r="O174" s="26"/>
      <c r="P174" s="26"/>
      <c r="AG174" s="23"/>
    </row>
    <row r="175" spans="15:33" x14ac:dyDescent="0.25">
      <c r="O175" s="26"/>
      <c r="P175" s="26"/>
      <c r="AG175" s="23"/>
    </row>
    <row r="176" spans="15:33" x14ac:dyDescent="0.25">
      <c r="O176" s="26"/>
      <c r="P176" s="26"/>
      <c r="AG176" s="23"/>
    </row>
    <row r="177" spans="15:33" x14ac:dyDescent="0.25">
      <c r="O177" s="26"/>
      <c r="P177" s="26"/>
      <c r="AG177" s="23"/>
    </row>
    <row r="178" spans="15:33" x14ac:dyDescent="0.25">
      <c r="O178" s="26"/>
      <c r="P178" s="26"/>
      <c r="AG178" s="23"/>
    </row>
    <row r="179" spans="15:33" x14ac:dyDescent="0.25">
      <c r="O179" s="26"/>
      <c r="P179" s="26"/>
      <c r="AG179" s="23"/>
    </row>
    <row r="180" spans="15:33" x14ac:dyDescent="0.25">
      <c r="O180" s="26"/>
      <c r="P180" s="26"/>
      <c r="AG180" s="23"/>
    </row>
    <row r="181" spans="15:33" x14ac:dyDescent="0.25">
      <c r="O181" s="26"/>
      <c r="P181" s="26"/>
      <c r="AG181" s="23"/>
    </row>
    <row r="182" spans="15:33" x14ac:dyDescent="0.25">
      <c r="O182" s="26"/>
      <c r="P182" s="26"/>
      <c r="AG182" s="23"/>
    </row>
    <row r="183" spans="15:33" x14ac:dyDescent="0.25">
      <c r="O183" s="26"/>
      <c r="P183" s="26"/>
      <c r="AG183" s="23"/>
    </row>
    <row r="184" spans="15:33" x14ac:dyDescent="0.25">
      <c r="O184" s="26"/>
      <c r="P184" s="26"/>
      <c r="AG184" s="23"/>
    </row>
    <row r="185" spans="15:33" x14ac:dyDescent="0.25">
      <c r="O185" s="26"/>
      <c r="P185" s="26"/>
      <c r="AG185" s="23"/>
    </row>
    <row r="186" spans="15:33" x14ac:dyDescent="0.25">
      <c r="O186" s="26"/>
      <c r="P186" s="26"/>
      <c r="AG186" s="23"/>
    </row>
    <row r="187" spans="15:33" x14ac:dyDescent="0.25">
      <c r="O187" s="26"/>
      <c r="P187" s="26"/>
      <c r="AG187" s="23"/>
    </row>
    <row r="188" spans="15:33" x14ac:dyDescent="0.25">
      <c r="O188" s="26"/>
      <c r="P188" s="26"/>
      <c r="AG188" s="23"/>
    </row>
    <row r="189" spans="15:33" x14ac:dyDescent="0.25">
      <c r="O189" s="26"/>
      <c r="P189" s="26"/>
      <c r="AG189" s="23"/>
    </row>
    <row r="190" spans="15:33" x14ac:dyDescent="0.25">
      <c r="O190" s="26"/>
      <c r="P190" s="26"/>
      <c r="AG190" s="23"/>
    </row>
    <row r="191" spans="15:33" x14ac:dyDescent="0.25">
      <c r="O191" s="26"/>
      <c r="P191" s="26"/>
      <c r="AG191" s="23"/>
    </row>
    <row r="192" spans="15:33" x14ac:dyDescent="0.25">
      <c r="O192" s="26"/>
      <c r="P192" s="26"/>
      <c r="AG192" s="23"/>
    </row>
  </sheetData>
  <phoneticPr fontId="6" type="noConversion"/>
  <pageMargins left="0.7" right="0.7" top="0.75" bottom="0.75" header="0.3" footer="0.3"/>
  <pageSetup paperSize="9" orientation="portrait" r:id="rId1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Summary</vt:lpstr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Chiocca</dc:creator>
  <cp:lastModifiedBy>Giulia Morettini</cp:lastModifiedBy>
  <dcterms:created xsi:type="dcterms:W3CDTF">2015-06-05T18:19:34Z</dcterms:created>
  <dcterms:modified xsi:type="dcterms:W3CDTF">2026-09-25T10:31:31Z</dcterms:modified>
</cp:coreProperties>
</file>