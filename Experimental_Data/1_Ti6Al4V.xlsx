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Simula\Desktop\DATA_SET\"/>
    </mc:Choice>
  </mc:AlternateContent>
  <xr:revisionPtr revIDLastSave="0" documentId="13_ncr:1_{3C86CE52-AE10-46C1-A091-9861F54374A8}" xr6:coauthVersionLast="47" xr6:coauthVersionMax="47" xr10:uidLastSave="{00000000-0000-0000-0000-000000000000}"/>
  <bookViews>
    <workbookView xWindow="-120" yWindow="-120" windowWidth="29040" windowHeight="15840" tabRatio="189" activeTab="1" xr2:uid="{00000000-000D-0000-FFFF-FFFF00000000}"/>
  </bookViews>
  <sheets>
    <sheet name="Summary" sheetId="1" r:id="rId1"/>
    <sheet name="Datas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2" i="2" l="1"/>
  <c r="AO2" i="2"/>
  <c r="AN2" i="2"/>
  <c r="AM2" i="2"/>
  <c r="AL2" i="2"/>
  <c r="AL3" i="2"/>
  <c r="AL4" i="2"/>
  <c r="AL5" i="2"/>
  <c r="AL6" i="2"/>
  <c r="AL7" i="2"/>
  <c r="AL8" i="2"/>
  <c r="AL9" i="2"/>
  <c r="AL10" i="2"/>
  <c r="AL11" i="2"/>
  <c r="AL12" i="2"/>
  <c r="AL13" i="2"/>
  <c r="AL14" i="2"/>
  <c r="AL15" i="2"/>
  <c r="AL16" i="2"/>
  <c r="AL17" i="2"/>
  <c r="AL18" i="2"/>
  <c r="AL19" i="2"/>
  <c r="AL20" i="2"/>
  <c r="AL21" i="2"/>
  <c r="AL22" i="2"/>
  <c r="AL23" i="2"/>
  <c r="AL24" i="2"/>
  <c r="AL25" i="2"/>
  <c r="AL26" i="2"/>
  <c r="AL27" i="2"/>
  <c r="AL28" i="2"/>
  <c r="AL29" i="2"/>
  <c r="AL30" i="2"/>
  <c r="AL31" i="2"/>
  <c r="AL32" i="2"/>
  <c r="AL33" i="2"/>
  <c r="AL34" i="2"/>
  <c r="AL35" i="2"/>
  <c r="AL36" i="2"/>
  <c r="AL37" i="2"/>
  <c r="AL38" i="2"/>
  <c r="AL39" i="2"/>
  <c r="AL40" i="2"/>
  <c r="AL41" i="2"/>
  <c r="AL42" i="2"/>
  <c r="AL43" i="2"/>
  <c r="AL44" i="2"/>
  <c r="AL45" i="2"/>
  <c r="AL46" i="2"/>
  <c r="AL47" i="2"/>
  <c r="AL48" i="2"/>
  <c r="AL49" i="2"/>
  <c r="AL50" i="2"/>
  <c r="AL51" i="2"/>
  <c r="AL52" i="2"/>
  <c r="AL53" i="2"/>
  <c r="AL54" i="2"/>
  <c r="AL55" i="2"/>
  <c r="AL56" i="2"/>
  <c r="AL57" i="2"/>
  <c r="AL58" i="2"/>
  <c r="AL59" i="2"/>
  <c r="AL60" i="2"/>
  <c r="AL61" i="2"/>
  <c r="AQ44" i="2"/>
  <c r="AP7" i="2"/>
  <c r="AN47" i="2"/>
  <c r="AO35" i="2"/>
  <c r="AO51" i="2"/>
  <c r="AM61" i="2"/>
  <c r="AM60" i="2"/>
  <c r="AM59" i="2"/>
  <c r="AM58" i="2"/>
  <c r="AM57" i="2"/>
  <c r="AM56" i="2"/>
  <c r="AM55" i="2"/>
  <c r="AM54" i="2"/>
  <c r="AM53" i="2"/>
  <c r="AM52" i="2"/>
  <c r="AM51" i="2"/>
  <c r="AM50" i="2"/>
  <c r="AM49" i="2"/>
  <c r="AM48" i="2"/>
  <c r="AM47" i="2"/>
  <c r="AM46" i="2"/>
  <c r="AM45" i="2"/>
  <c r="AM44" i="2"/>
  <c r="AM43" i="2"/>
  <c r="AM42" i="2"/>
  <c r="AM41" i="2"/>
  <c r="AM40" i="2"/>
  <c r="AM39" i="2"/>
  <c r="AM38" i="2"/>
  <c r="AM37" i="2"/>
  <c r="AM36" i="2"/>
  <c r="AM35" i="2"/>
  <c r="AM34" i="2"/>
  <c r="AM33" i="2"/>
  <c r="AM32" i="2"/>
  <c r="AK2" i="2"/>
  <c r="AK3" i="2"/>
  <c r="AK4" i="2"/>
  <c r="AK5" i="2"/>
  <c r="AK6" i="2"/>
  <c r="AK7" i="2"/>
  <c r="AK8" i="2"/>
  <c r="AK9" i="2"/>
  <c r="AK10" i="2"/>
  <c r="AK11" i="2"/>
  <c r="AK12" i="2"/>
  <c r="AK13" i="2"/>
  <c r="AK14" i="2"/>
  <c r="AK15" i="2"/>
  <c r="AK16" i="2"/>
  <c r="AK17" i="2"/>
  <c r="AK18" i="2"/>
  <c r="AK19" i="2"/>
  <c r="AK20" i="2"/>
  <c r="AK21" i="2"/>
  <c r="AK22" i="2"/>
  <c r="AK23" i="2"/>
  <c r="AK24" i="2"/>
  <c r="AK25" i="2"/>
  <c r="AK26" i="2"/>
  <c r="AK27" i="2"/>
  <c r="AK28" i="2"/>
  <c r="AK29" i="2"/>
  <c r="AK30" i="2"/>
  <c r="AK31" i="2"/>
  <c r="AJ2" i="2"/>
  <c r="AJ3" i="2"/>
  <c r="AJ4" i="2"/>
  <c r="AJ5" i="2"/>
  <c r="AJ6" i="2"/>
  <c r="AJ7" i="2"/>
  <c r="AJ8" i="2"/>
  <c r="AJ9" i="2"/>
  <c r="AJ10" i="2"/>
  <c r="AJ11" i="2"/>
  <c r="AJ12" i="2"/>
  <c r="AJ13" i="2"/>
  <c r="AJ14" i="2"/>
  <c r="AJ15" i="2"/>
  <c r="AJ16" i="2"/>
  <c r="AJ17" i="2"/>
  <c r="AJ18" i="2"/>
  <c r="AJ19" i="2"/>
  <c r="AJ20" i="2"/>
  <c r="AJ21" i="2"/>
  <c r="AJ22" i="2"/>
  <c r="AJ23" i="2"/>
  <c r="AJ24" i="2"/>
  <c r="AJ25" i="2"/>
  <c r="AJ26" i="2"/>
  <c r="AJ27" i="2"/>
  <c r="AJ28" i="2"/>
  <c r="AJ29" i="2"/>
  <c r="AJ30" i="2"/>
  <c r="AJ31" i="2"/>
  <c r="AI2" i="2"/>
  <c r="AI3" i="2"/>
  <c r="AI4" i="2"/>
  <c r="AI5" i="2"/>
  <c r="AI6" i="2"/>
  <c r="AI7" i="2"/>
  <c r="AI8" i="2"/>
  <c r="AI9" i="2"/>
  <c r="AI10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27" i="2"/>
  <c r="AI28" i="2"/>
  <c r="AI29" i="2"/>
  <c r="AI30" i="2"/>
  <c r="AI31" i="2"/>
  <c r="AI32" i="2"/>
  <c r="AI33" i="2"/>
  <c r="AI34" i="2"/>
  <c r="AI35" i="2"/>
  <c r="AI36" i="2"/>
  <c r="AI37" i="2"/>
  <c r="AI38" i="2"/>
  <c r="AI39" i="2"/>
  <c r="AI40" i="2"/>
  <c r="AI41" i="2"/>
  <c r="AI42" i="2"/>
  <c r="AI43" i="2"/>
  <c r="AI44" i="2"/>
  <c r="AI45" i="2"/>
  <c r="AI46" i="2"/>
  <c r="AI47" i="2"/>
  <c r="AI48" i="2"/>
  <c r="AI49" i="2"/>
  <c r="AI50" i="2"/>
  <c r="AI51" i="2"/>
  <c r="AI52" i="2"/>
  <c r="AI53" i="2"/>
  <c r="AI54" i="2"/>
  <c r="AI55" i="2"/>
  <c r="AI56" i="2"/>
  <c r="AI57" i="2"/>
  <c r="AI58" i="2"/>
  <c r="AI59" i="2"/>
  <c r="AI60" i="2"/>
  <c r="AI61" i="2"/>
  <c r="AH61" i="2"/>
  <c r="AH2" i="2"/>
  <c r="AH3" i="2"/>
  <c r="AH4" i="2"/>
  <c r="AH5" i="2"/>
  <c r="AH6" i="2"/>
  <c r="AH7" i="2"/>
  <c r="AH8" i="2"/>
  <c r="AH9" i="2"/>
  <c r="AH10" i="2"/>
  <c r="AH11" i="2"/>
  <c r="AH12" i="2"/>
  <c r="AH13" i="2"/>
  <c r="AH14" i="2"/>
  <c r="AH15" i="2"/>
  <c r="AH16" i="2"/>
  <c r="AH17" i="2"/>
  <c r="AH18" i="2"/>
  <c r="AH19" i="2"/>
  <c r="AH20" i="2"/>
  <c r="AH21" i="2"/>
  <c r="AH22" i="2"/>
  <c r="AH23" i="2"/>
  <c r="AH24" i="2"/>
  <c r="AH25" i="2"/>
  <c r="AH26" i="2"/>
  <c r="AH27" i="2"/>
  <c r="AH28" i="2"/>
  <c r="AH29" i="2"/>
  <c r="AH30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AH46" i="2"/>
  <c r="AH47" i="2"/>
  <c r="AH48" i="2"/>
  <c r="AH49" i="2"/>
  <c r="AH50" i="2"/>
  <c r="AH51" i="2"/>
  <c r="AH52" i="2"/>
  <c r="AH53" i="2"/>
  <c r="AH54" i="2"/>
  <c r="AH55" i="2"/>
  <c r="AH56" i="2"/>
  <c r="AH57" i="2"/>
  <c r="AH58" i="2"/>
  <c r="AH59" i="2"/>
  <c r="AH60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0" i="2"/>
  <c r="Z51" i="2"/>
  <c r="Z52" i="2"/>
  <c r="Z53" i="2"/>
  <c r="Z54" i="2"/>
  <c r="Z55" i="2"/>
  <c r="Z56" i="2"/>
  <c r="Z57" i="2"/>
  <c r="Z58" i="2"/>
  <c r="Z59" i="2"/>
  <c r="Z60" i="2"/>
  <c r="Z61" i="2"/>
  <c r="Y2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8" i="2"/>
  <c r="Y39" i="2"/>
  <c r="Y40" i="2"/>
  <c r="Y41" i="2"/>
  <c r="Y42" i="2"/>
  <c r="Y43" i="2"/>
  <c r="Y44" i="2"/>
  <c r="Y45" i="2"/>
  <c r="Y46" i="2"/>
  <c r="Y47" i="2"/>
  <c r="Y48" i="2"/>
  <c r="Y49" i="2"/>
  <c r="Y50" i="2"/>
  <c r="Y51" i="2"/>
  <c r="Y52" i="2"/>
  <c r="Y53" i="2"/>
  <c r="Y54" i="2"/>
  <c r="Y55" i="2"/>
  <c r="Y56" i="2"/>
  <c r="Y57" i="2"/>
  <c r="Y58" i="2"/>
  <c r="Y59" i="2"/>
  <c r="Y60" i="2"/>
  <c r="Y61" i="2"/>
  <c r="X2" i="2"/>
  <c r="X3" i="2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O32" i="2"/>
  <c r="AJ32" i="2" s="1"/>
  <c r="O33" i="2"/>
  <c r="AK33" i="2" s="1"/>
  <c r="O34" i="2"/>
  <c r="AJ34" i="2" s="1"/>
  <c r="O35" i="2"/>
  <c r="AJ35" i="2" s="1"/>
  <c r="O36" i="2"/>
  <c r="AJ36" i="2" s="1"/>
  <c r="O37" i="2"/>
  <c r="AJ37" i="2" s="1"/>
  <c r="O38" i="2"/>
  <c r="AJ38" i="2" s="1"/>
  <c r="O39" i="2"/>
  <c r="AJ39" i="2" s="1"/>
  <c r="O40" i="2"/>
  <c r="AJ40" i="2" s="1"/>
  <c r="O41" i="2"/>
  <c r="AK41" i="2" s="1"/>
  <c r="O42" i="2"/>
  <c r="AK42" i="2" s="1"/>
  <c r="O43" i="2"/>
  <c r="AJ43" i="2" s="1"/>
  <c r="O44" i="2"/>
  <c r="AJ44" i="2" s="1"/>
  <c r="O45" i="2"/>
  <c r="AK45" i="2" s="1"/>
  <c r="O46" i="2"/>
  <c r="AJ46" i="2" s="1"/>
  <c r="O47" i="2"/>
  <c r="AJ47" i="2" s="1"/>
  <c r="O48" i="2"/>
  <c r="AJ48" i="2" s="1"/>
  <c r="O49" i="2"/>
  <c r="AK49" i="2" s="1"/>
  <c r="O50" i="2"/>
  <c r="AJ50" i="2" s="1"/>
  <c r="O51" i="2"/>
  <c r="AJ51" i="2" s="1"/>
  <c r="O52" i="2"/>
  <c r="AJ52" i="2" s="1"/>
  <c r="O53" i="2"/>
  <c r="AJ53" i="2" s="1"/>
  <c r="O54" i="2"/>
  <c r="AJ54" i="2" s="1"/>
  <c r="O55" i="2"/>
  <c r="AJ55" i="2" s="1"/>
  <c r="O56" i="2"/>
  <c r="AJ56" i="2" s="1"/>
  <c r="O57" i="2"/>
  <c r="AK57" i="2" s="1"/>
  <c r="O58" i="2"/>
  <c r="AK58" i="2" s="1"/>
  <c r="O59" i="2"/>
  <c r="AJ59" i="2" s="1"/>
  <c r="O60" i="2"/>
  <c r="AJ60" i="2" s="1"/>
  <c r="O61" i="2"/>
  <c r="AK61" i="2" s="1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2" i="2"/>
  <c r="Q2" i="2"/>
  <c r="AQ3" i="2"/>
  <c r="AQ4" i="2"/>
  <c r="AQ5" i="2"/>
  <c r="AQ6" i="2"/>
  <c r="AQ7" i="2"/>
  <c r="AQ8" i="2"/>
  <c r="AQ9" i="2"/>
  <c r="AQ10" i="2"/>
  <c r="AQ11" i="2"/>
  <c r="AQ12" i="2"/>
  <c r="AQ13" i="2"/>
  <c r="AQ14" i="2"/>
  <c r="AQ15" i="2"/>
  <c r="AQ16" i="2"/>
  <c r="AQ17" i="2"/>
  <c r="AQ18" i="2"/>
  <c r="AQ19" i="2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38" i="2"/>
  <c r="AQ39" i="2"/>
  <c r="AQ40" i="2"/>
  <c r="AQ41" i="2"/>
  <c r="AQ42" i="2"/>
  <c r="AQ43" i="2"/>
  <c r="AQ45" i="2"/>
  <c r="AQ46" i="2"/>
  <c r="AQ47" i="2"/>
  <c r="AQ48" i="2"/>
  <c r="AQ49" i="2"/>
  <c r="AQ50" i="2"/>
  <c r="AQ51" i="2"/>
  <c r="AQ52" i="2"/>
  <c r="AQ53" i="2"/>
  <c r="AQ54" i="2"/>
  <c r="AQ55" i="2"/>
  <c r="AQ56" i="2"/>
  <c r="AQ57" i="2"/>
  <c r="AQ58" i="2"/>
  <c r="AQ59" i="2"/>
  <c r="AQ60" i="2"/>
  <c r="AQ61" i="2"/>
  <c r="AP32" i="2"/>
  <c r="AP33" i="2"/>
  <c r="AP34" i="2"/>
  <c r="AP35" i="2"/>
  <c r="AP36" i="2"/>
  <c r="AP37" i="2"/>
  <c r="AP38" i="2"/>
  <c r="AP39" i="2"/>
  <c r="AP40" i="2"/>
  <c r="AP41" i="2"/>
  <c r="AP42" i="2"/>
  <c r="AP43" i="2"/>
  <c r="AP44" i="2"/>
  <c r="AP45" i="2"/>
  <c r="AP46" i="2"/>
  <c r="AP47" i="2"/>
  <c r="AP48" i="2"/>
  <c r="AP49" i="2"/>
  <c r="AP50" i="2"/>
  <c r="AP51" i="2"/>
  <c r="AP52" i="2"/>
  <c r="AP53" i="2"/>
  <c r="AP54" i="2"/>
  <c r="AP55" i="2"/>
  <c r="AP56" i="2"/>
  <c r="AP57" i="2"/>
  <c r="AP58" i="2"/>
  <c r="AP59" i="2"/>
  <c r="AP60" i="2"/>
  <c r="AP61" i="2"/>
  <c r="Q32" i="2"/>
  <c r="AN32" i="2" s="1"/>
  <c r="Q33" i="2"/>
  <c r="AN33" i="2" s="1"/>
  <c r="Q34" i="2"/>
  <c r="AN34" i="2" s="1"/>
  <c r="Q35" i="2"/>
  <c r="AN35" i="2" s="1"/>
  <c r="Q36" i="2"/>
  <c r="AO36" i="2" s="1"/>
  <c r="Q37" i="2"/>
  <c r="AO37" i="2" s="1"/>
  <c r="Q38" i="2"/>
  <c r="AO38" i="2" s="1"/>
  <c r="Q39" i="2"/>
  <c r="AO39" i="2" s="1"/>
  <c r="Q40" i="2"/>
  <c r="AO40" i="2" s="1"/>
  <c r="Q41" i="2"/>
  <c r="AO41" i="2" s="1"/>
  <c r="Q42" i="2"/>
  <c r="AO42" i="2" s="1"/>
  <c r="Q43" i="2"/>
  <c r="AO43" i="2" s="1"/>
  <c r="Q44" i="2"/>
  <c r="AO44" i="2" s="1"/>
  <c r="Q45" i="2"/>
  <c r="AO45" i="2" s="1"/>
  <c r="Q46" i="2"/>
  <c r="AO46" i="2" s="1"/>
  <c r="Q47" i="2"/>
  <c r="AO47" i="2" s="1"/>
  <c r="Q48" i="2"/>
  <c r="AN48" i="2" s="1"/>
  <c r="Q49" i="2"/>
  <c r="AN49" i="2" s="1"/>
  <c r="Q50" i="2"/>
  <c r="AN50" i="2" s="1"/>
  <c r="Q51" i="2"/>
  <c r="AN51" i="2" s="1"/>
  <c r="Q52" i="2"/>
  <c r="AO52" i="2" s="1"/>
  <c r="Q53" i="2"/>
  <c r="AO53" i="2" s="1"/>
  <c r="Q54" i="2"/>
  <c r="AO54" i="2" s="1"/>
  <c r="Q55" i="2"/>
  <c r="AO55" i="2" s="1"/>
  <c r="Q56" i="2"/>
  <c r="AO56" i="2" s="1"/>
  <c r="Q57" i="2"/>
  <c r="AO57" i="2" s="1"/>
  <c r="Q58" i="2"/>
  <c r="AO58" i="2" s="1"/>
  <c r="Q59" i="2"/>
  <c r="AO59" i="2" s="1"/>
  <c r="Q60" i="2"/>
  <c r="AO60" i="2" s="1"/>
  <c r="Q61" i="2"/>
  <c r="AO61" i="2" s="1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46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AO50" i="2" l="1"/>
  <c r="AO34" i="2"/>
  <c r="AN46" i="2"/>
  <c r="AO49" i="2"/>
  <c r="AO33" i="2"/>
  <c r="AN61" i="2"/>
  <c r="AN45" i="2"/>
  <c r="AO48" i="2"/>
  <c r="AO32" i="2"/>
  <c r="AN60" i="2"/>
  <c r="AN44" i="2"/>
  <c r="AN59" i="2"/>
  <c r="AN43" i="2"/>
  <c r="AN58" i="2"/>
  <c r="AN42" i="2"/>
  <c r="AN57" i="2"/>
  <c r="AN41" i="2"/>
  <c r="AN56" i="2"/>
  <c r="AN40" i="2"/>
  <c r="AN55" i="2"/>
  <c r="AN39" i="2"/>
  <c r="AN54" i="2"/>
  <c r="AN38" i="2"/>
  <c r="AN53" i="2"/>
  <c r="AN37" i="2"/>
  <c r="AN52" i="2"/>
  <c r="AN36" i="2"/>
  <c r="AJ42" i="2"/>
  <c r="AK52" i="2"/>
  <c r="AJ41" i="2"/>
  <c r="AK36" i="2"/>
  <c r="AK53" i="2"/>
  <c r="AK44" i="2"/>
  <c r="AK43" i="2"/>
  <c r="AK37" i="2"/>
  <c r="AJ58" i="2"/>
  <c r="AJ57" i="2"/>
  <c r="AJ49" i="2"/>
  <c r="AK60" i="2"/>
  <c r="AJ33" i="2"/>
  <c r="AK59" i="2"/>
  <c r="AJ61" i="2"/>
  <c r="AJ45" i="2"/>
  <c r="AK56" i="2"/>
  <c r="AK40" i="2"/>
  <c r="AK55" i="2"/>
  <c r="AK39" i="2"/>
  <c r="AK54" i="2"/>
  <c r="AK38" i="2"/>
  <c r="AK51" i="2"/>
  <c r="AK35" i="2"/>
  <c r="AK50" i="2"/>
  <c r="AK34" i="2"/>
  <c r="AK48" i="2"/>
  <c r="AK32" i="2"/>
  <c r="AK47" i="2"/>
  <c r="AK46" i="2"/>
  <c r="AP3" i="2" l="1"/>
  <c r="AP4" i="2"/>
  <c r="AP5" i="2"/>
  <c r="AP6" i="2"/>
  <c r="AP8" i="2"/>
  <c r="AP9" i="2"/>
  <c r="AP10" i="2"/>
  <c r="AP11" i="2"/>
  <c r="AP12" i="2"/>
  <c r="AP13" i="2"/>
  <c r="AP14" i="2"/>
  <c r="AP15" i="2"/>
  <c r="AP16" i="2"/>
  <c r="AP17" i="2"/>
  <c r="AP18" i="2"/>
  <c r="AP19" i="2"/>
  <c r="AP20" i="2"/>
  <c r="AP21" i="2"/>
  <c r="AP22" i="2"/>
  <c r="AP23" i="2"/>
  <c r="AP24" i="2"/>
  <c r="AP25" i="2"/>
  <c r="AP26" i="2"/>
  <c r="AP27" i="2"/>
  <c r="AP28" i="2"/>
  <c r="AP29" i="2"/>
  <c r="AP30" i="2"/>
  <c r="AP31" i="2"/>
  <c r="AP2" i="2"/>
  <c r="Q4" i="2"/>
  <c r="Q3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P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M4" i="1"/>
  <c r="M3" i="1"/>
  <c r="AO20" i="2" l="1"/>
  <c r="AN20" i="2"/>
  <c r="AN3" i="2"/>
  <c r="AO3" i="2"/>
  <c r="AN17" i="2"/>
  <c r="AO17" i="2"/>
  <c r="AN16" i="2"/>
  <c r="AO16" i="2"/>
  <c r="AO15" i="2"/>
  <c r="AN15" i="2"/>
  <c r="AO14" i="2"/>
  <c r="AN14" i="2"/>
  <c r="AO29" i="2"/>
  <c r="AN29" i="2"/>
  <c r="AO13" i="2"/>
  <c r="AN13" i="2"/>
  <c r="AO28" i="2"/>
  <c r="AN28" i="2"/>
  <c r="AO12" i="2"/>
  <c r="AN12" i="2"/>
  <c r="AO5" i="2"/>
  <c r="AN5" i="2"/>
  <c r="AO27" i="2"/>
  <c r="AN27" i="2"/>
  <c r="AO11" i="2"/>
  <c r="AN11" i="2"/>
  <c r="AO30" i="2"/>
  <c r="AN30" i="2"/>
  <c r="AO26" i="2"/>
  <c r="AN26" i="2"/>
  <c r="AO10" i="2"/>
  <c r="AN10" i="2"/>
  <c r="AO4" i="2"/>
  <c r="AN4" i="2"/>
  <c r="AO25" i="2"/>
  <c r="AN25" i="2"/>
  <c r="AO9" i="2"/>
  <c r="AN9" i="2"/>
  <c r="AO21" i="2"/>
  <c r="AN21" i="2"/>
  <c r="AO24" i="2"/>
  <c r="AN24" i="2"/>
  <c r="AO8" i="2"/>
  <c r="AN8" i="2"/>
  <c r="AN18" i="2"/>
  <c r="AO18" i="2"/>
  <c r="AO23" i="2"/>
  <c r="AN23" i="2"/>
  <c r="AO7" i="2"/>
  <c r="AN7" i="2"/>
  <c r="AN19" i="2"/>
  <c r="AO19" i="2"/>
  <c r="AO31" i="2"/>
  <c r="AN31" i="2"/>
  <c r="AO22" i="2"/>
  <c r="AN22" i="2"/>
  <c r="AO6" i="2"/>
  <c r="AN6" i="2"/>
  <c r="AM26" i="2"/>
  <c r="AM10" i="2"/>
  <c r="AM21" i="2"/>
  <c r="AM5" i="2"/>
  <c r="AM20" i="2"/>
  <c r="AM4" i="2"/>
  <c r="AM11" i="2"/>
  <c r="AM3" i="2"/>
  <c r="AM17" i="2"/>
  <c r="AM16" i="2"/>
  <c r="AM15" i="2"/>
  <c r="AM30" i="2"/>
  <c r="AM19" i="2"/>
  <c r="AM18" i="2"/>
  <c r="AM31" i="2"/>
  <c r="AM14" i="2"/>
  <c r="AM29" i="2"/>
  <c r="AM13" i="2"/>
  <c r="AM28" i="2"/>
  <c r="AM12" i="2"/>
  <c r="AM25" i="2"/>
  <c r="AM24" i="2"/>
  <c r="AM23" i="2"/>
  <c r="AM27" i="2"/>
  <c r="AM9" i="2"/>
  <c r="AM8" i="2"/>
  <c r="AM7" i="2"/>
  <c r="AM22" i="2"/>
  <c r="AM6" i="2"/>
  <c r="F7" i="1" l="1"/>
  <c r="G7" i="1"/>
  <c r="H7" i="1"/>
  <c r="I7" i="1"/>
  <c r="E7" i="1"/>
  <c r="J7" i="1"/>
  <c r="D28" i="1"/>
  <c r="F6" i="1" l="1"/>
  <c r="E6" i="1" l="1"/>
  <c r="M2" i="1" l="1"/>
  <c r="G6" i="1"/>
  <c r="H6" i="1"/>
  <c r="I6" i="1"/>
  <c r="J6" i="1"/>
  <c r="M6" i="1" l="1"/>
  <c r="M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Simula</author>
    <author>Andrea Chiocca</author>
  </authors>
  <commentList>
    <comment ref="K1" authorId="0" shapeId="0" xr:uid="{6F04C3C2-FECD-4FFF-AA88-91952C0B68F1}">
      <text>
        <r>
          <rPr>
            <b/>
            <sz val="14"/>
            <color indexed="81"/>
            <rFont val="Tahoma"/>
            <family val="2"/>
          </rPr>
          <t>Simula:</t>
        </r>
        <r>
          <rPr>
            <sz val="14"/>
            <color indexed="81"/>
            <rFont val="Tahoma"/>
            <family val="2"/>
          </rPr>
          <t xml:space="preserve">
long side</t>
        </r>
      </text>
    </comment>
    <comment ref="L1" authorId="0" shapeId="0" xr:uid="{66E3A68F-8EB9-44F9-874B-239CE193C68B}">
      <text>
        <r>
          <rPr>
            <b/>
            <sz val="14"/>
            <color indexed="81"/>
            <rFont val="Tahoma"/>
            <family val="2"/>
          </rPr>
          <t>Simula:</t>
        </r>
        <r>
          <rPr>
            <sz val="14"/>
            <color indexed="81"/>
            <rFont val="Tahoma"/>
            <family val="2"/>
          </rPr>
          <t xml:space="preserve">
short side</t>
        </r>
      </text>
    </comment>
    <comment ref="O1" authorId="1" shapeId="0" xr:uid="{1CC4F29A-57B3-44F7-965B-DA237098AC81}">
      <text>
        <r>
          <rPr>
            <b/>
            <sz val="14"/>
            <color indexed="81"/>
            <rFont val="Tahoma"/>
            <family val="2"/>
          </rPr>
          <t>Net</t>
        </r>
        <r>
          <rPr>
            <sz val="14"/>
            <color indexed="81"/>
            <rFont val="Tahoma"/>
            <family val="2"/>
          </rPr>
          <t xml:space="preserve"> or </t>
        </r>
        <r>
          <rPr>
            <b/>
            <sz val="14"/>
            <color indexed="81"/>
            <rFont val="Tahoma"/>
            <family val="2"/>
          </rPr>
          <t>gross</t>
        </r>
        <r>
          <rPr>
            <sz val="14"/>
            <color indexed="81"/>
            <rFont val="Tahoma"/>
            <family val="2"/>
          </rPr>
          <t xml:space="preserve"> area depending on what the author used to evaluate the nominal stresses</t>
        </r>
      </text>
    </comment>
    <comment ref="P1" authorId="0" shapeId="0" xr:uid="{679AC68E-6E1E-49D7-95C8-CB4738B37734}">
      <text>
        <r>
          <rPr>
            <b/>
            <sz val="14"/>
            <color indexed="81"/>
            <rFont val="Tahoma"/>
            <family val="2"/>
          </rPr>
          <t>Simula:</t>
        </r>
        <r>
          <rPr>
            <sz val="14"/>
            <color indexed="81"/>
            <rFont val="Tahoma"/>
            <family val="2"/>
          </rPr>
          <t xml:space="preserve">
if Flat with neutral-axis bending // along the long sideo</t>
        </r>
      </text>
    </comment>
    <comment ref="AB1" authorId="0" shapeId="0" xr:uid="{F0DA867F-3D3D-465D-BB43-47CFC5DF21E7}">
      <text>
        <r>
          <rPr>
            <b/>
            <sz val="9"/>
            <color indexed="81"/>
            <rFont val="Tahoma"/>
            <family val="2"/>
          </rPr>
          <t>Simula: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It is hypothesized that the radial stress (second axial stress) can be generated solely by internal pressure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9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</futureMetadata>
  <valueMetadata count="9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</valueMetadata>
</metadata>
</file>

<file path=xl/sharedStrings.xml><?xml version="1.0" encoding="utf-8"?>
<sst xmlns="http://schemas.openxmlformats.org/spreadsheetml/2006/main" count="836" uniqueCount="88">
  <si>
    <t>Material name</t>
  </si>
  <si>
    <t>Poisson's ratio (-)</t>
  </si>
  <si>
    <t>Tensile strength (MPa)</t>
  </si>
  <si>
    <t>Yield strength (MPa)</t>
  </si>
  <si>
    <t>K</t>
  </si>
  <si>
    <t>Number of cycles to failure</t>
  </si>
  <si>
    <t>Run out (Yes/No)</t>
  </si>
  <si>
    <t>Mean RADIAL stress  (MPa)</t>
  </si>
  <si>
    <t>Amplitute RADIAL stress  (MPa)</t>
  </si>
  <si>
    <t>Mean SHEAR stress  (MPa)</t>
  </si>
  <si>
    <t>Amplitute SHEAR stress  (MPa)</t>
  </si>
  <si>
    <t>Amplitude TORQUE (Nmm)</t>
  </si>
  <si>
    <t>Mean TORQUE (Nmm)</t>
  </si>
  <si>
    <t>Lambda (tauA/sigmaA)</t>
  </si>
  <si>
    <t>Load ratio (RADIAL)</t>
  </si>
  <si>
    <t>Load ratio (TORSIONAL)</t>
  </si>
  <si>
    <t>Geometry picture</t>
  </si>
  <si>
    <t>Diameter (mm)</t>
  </si>
  <si>
    <t>Failure type (complete rupture/stiffness decrease)</t>
  </si>
  <si>
    <t>Specimen name</t>
  </si>
  <si>
    <t>No</t>
  </si>
  <si>
    <t>Null</t>
  </si>
  <si>
    <t>Young's modulus (MPa)</t>
  </si>
  <si>
    <t>Standard deviation</t>
  </si>
  <si>
    <t>Average</t>
  </si>
  <si>
    <t>Article year</t>
  </si>
  <si>
    <t>Authors</t>
  </si>
  <si>
    <t>cylindrical</t>
  </si>
  <si>
    <t>Notched</t>
  </si>
  <si>
    <t>LEGEND:</t>
  </si>
  <si>
    <r>
      <rPr>
        <b/>
        <u/>
        <sz val="11"/>
        <color theme="0"/>
        <rFont val="Calibri"/>
        <family val="2"/>
        <scheme val="minor"/>
      </rPr>
      <t>INPUT</t>
    </r>
    <r>
      <rPr>
        <b/>
        <sz val="11"/>
        <color theme="0"/>
        <rFont val="Calibri"/>
        <family val="2"/>
        <scheme val="minor"/>
      </rPr>
      <t xml:space="preserve"> to be inserted by the user</t>
    </r>
  </si>
  <si>
    <r>
      <rPr>
        <b/>
        <u/>
        <sz val="11"/>
        <color theme="0"/>
        <rFont val="Calibri"/>
        <family val="2"/>
        <scheme val="minor"/>
      </rPr>
      <t>OUTPUT</t>
    </r>
    <r>
      <rPr>
        <b/>
        <sz val="11"/>
        <color theme="0"/>
        <rFont val="Calibri"/>
        <family val="2"/>
        <scheme val="minor"/>
      </rPr>
      <t xml:space="preserve"> automatically provided by the excel table</t>
    </r>
  </si>
  <si>
    <t>Yes</t>
  </si>
  <si>
    <t>Area (mm^2)</t>
  </si>
  <si>
    <t>Data count</t>
  </si>
  <si>
    <t>Meneghetti et al.</t>
  </si>
  <si>
    <t>Ti6Al4V</t>
  </si>
  <si>
    <t>10.1016/j.tafmec.2018.06.010</t>
  </si>
  <si>
    <t>potential drop (crack initiation)</t>
  </si>
  <si>
    <t>BENDING_SN_RHO0.1_Dnet12</t>
  </si>
  <si>
    <t>Mean BENDING moment (Nmm)</t>
  </si>
  <si>
    <t>Amplitude BENDING moment (Nmm)</t>
  </si>
  <si>
    <t xml:space="preserve">TORSION_SN_RHO0.1_Dnet12 </t>
  </si>
  <si>
    <t xml:space="preserve">B+T_PHI0°_LAM_rad3__SN_RHO0.1_Dnet12 </t>
  </si>
  <si>
    <t xml:space="preserve">B+T_PHI90°_LAM_rad3__SN_RHO0.1_Dnet12 </t>
  </si>
  <si>
    <t>BENDING_BN_RHO4_Dnet12</t>
  </si>
  <si>
    <t xml:space="preserve"> TORSION_BN_RHO4_Dnet12</t>
  </si>
  <si>
    <t xml:space="preserve">B+T_PHI0°_LAM_rad3__BN_RHO4_Dnet12 </t>
  </si>
  <si>
    <t xml:space="preserve">B+T_PHI90°_LAM_rad3__BN_RHO4_Dnet12 </t>
  </si>
  <si>
    <t>Number of Cycles (cycles)</t>
  </si>
  <si>
    <t>Stress ratio R</t>
  </si>
  <si>
    <t>Tensile fatigue limit (MPa)</t>
  </si>
  <si>
    <t>Torsional fatigue limit (MPa)</t>
  </si>
  <si>
    <t>Delahay T, Palin‐Luc T. Estimation of the fatigue strength distribution
in high‐cycle multiaxial fatigue taking into account the
stress‐strain gradient. Int J Fatigue. 2006;28(5‐6):474‐484.</t>
  </si>
  <si>
    <t>Delahay T</t>
  </si>
  <si>
    <t>Ti64Al4V</t>
  </si>
  <si>
    <t>SPECIMEN_5</t>
  </si>
  <si>
    <t>Complete rupture</t>
  </si>
  <si>
    <t>A (mm)</t>
  </si>
  <si>
    <t>B (mm)</t>
  </si>
  <si>
    <t>Hole diameter (mm)</t>
  </si>
  <si>
    <t>Geometry type (flat/cylindrical/hollow cylinder)</t>
  </si>
  <si>
    <t>Phase RADIAL load (°)</t>
  </si>
  <si>
    <t>Phase AXIAL load (°)</t>
  </si>
  <si>
    <t>Phase TORSIONAL load (°)</t>
  </si>
  <si>
    <t>Freq RADIAL load [Hz]</t>
  </si>
  <si>
    <t>Freq AXIAL load[Hz]</t>
  </si>
  <si>
    <t>Freq TORSIONAL load [Hz]</t>
  </si>
  <si>
    <t>Load ratio (AXIAL)</t>
  </si>
  <si>
    <t>Mean AXIAL stress  (MPa)</t>
  </si>
  <si>
    <t>Amplitute AXIAL stress  (MPa)</t>
  </si>
  <si>
    <t>Mean internal PRESSURE  (MPa)</t>
  </si>
  <si>
    <t>Amplitute internal PRESSURE (MPa)</t>
  </si>
  <si>
    <t>derived from (AXIAL/BENDING) load</t>
  </si>
  <si>
    <t>BENDING</t>
  </si>
  <si>
    <t>torsional momento of inertia (mm^4)</t>
  </si>
  <si>
    <t>flessional momento of inertia (mm^4)</t>
  </si>
  <si>
    <t>Mean AXIAL load (N)</t>
  </si>
  <si>
    <t>AXIAL</t>
  </si>
  <si>
    <t>Article DOI / Reference</t>
  </si>
  <si>
    <t>Axial_SN_RHO0.1_Dnet13</t>
  </si>
  <si>
    <t xml:space="preserve"> Torsion_SN_RHO0.1_Dnet13</t>
  </si>
  <si>
    <t>Axial Plain</t>
  </si>
  <si>
    <t>Torsional Plain</t>
  </si>
  <si>
    <t>10-30</t>
  </si>
  <si>
    <t>2-8</t>
  </si>
  <si>
    <t>Amplitude von Mises (MPa)</t>
  </si>
  <si>
    <t>Amplitute AXIAL load (N)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</si>
</sst>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u/>
      <sz val="11"/>
      <color theme="0"/>
      <name val="Calibri"/>
      <family val="2"/>
      <scheme val="minor"/>
    </font>
    <font>
      <b/>
      <sz val="9"/>
      <color indexed="81"/>
      <name val="Tahoma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indexed="81"/>
      <name val="Tahoma"/>
      <family val="2"/>
    </font>
    <font>
      <sz val="14"/>
      <color indexed="81"/>
      <name val="Tahoma"/>
      <family val="2"/>
    </font>
  </fonts>
  <fills count="1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42A2A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12" xfId="0" applyBorder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11" fontId="0" fillId="0" borderId="12" xfId="0" applyNumberFormat="1" applyBorder="1" applyAlignment="1">
      <alignment horizontal="center" vertical="center"/>
    </xf>
    <xf numFmtId="11" fontId="0" fillId="0" borderId="5" xfId="0" applyNumberFormat="1" applyBorder="1" applyAlignment="1">
      <alignment horizontal="center" vertical="center"/>
    </xf>
    <xf numFmtId="0" fontId="0" fillId="0" borderId="0" xfId="0" applyAlignment="1">
      <alignment horizontal="center" vertical="top" wrapText="1"/>
    </xf>
    <xf numFmtId="2" fontId="0" fillId="0" borderId="0" xfId="0" applyNumberFormat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" fontId="0" fillId="0" borderId="13" xfId="0" applyNumberFormat="1" applyBorder="1" applyAlignment="1">
      <alignment horizontal="center" vertical="center"/>
    </xf>
    <xf numFmtId="164" fontId="0" fillId="0" borderId="13" xfId="0" applyNumberFormat="1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0" fillId="0" borderId="14" xfId="0" applyNumberFormat="1" applyBorder="1" applyAlignment="1">
      <alignment horizontal="center" vertical="center"/>
    </xf>
    <xf numFmtId="1" fontId="0" fillId="0" borderId="14" xfId="0" applyNumberFormat="1" applyBorder="1" applyAlignment="1">
      <alignment horizontal="center" vertical="center"/>
    </xf>
    <xf numFmtId="0" fontId="0" fillId="2" borderId="14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6" borderId="0" xfId="0" applyFill="1" applyAlignment="1">
      <alignment horizontal="center" vertical="center" wrapText="1"/>
    </xf>
    <xf numFmtId="0" fontId="7" fillId="5" borderId="14" xfId="0" applyFont="1" applyFill="1" applyBorder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0" fillId="0" borderId="13" xfId="0" applyNumberFormat="1" applyBorder="1" applyAlignment="1">
      <alignment horizontal="center" vertical="center"/>
    </xf>
    <xf numFmtId="0" fontId="0" fillId="8" borderId="0" xfId="0" applyFill="1" applyAlignment="1">
      <alignment horizontal="center" vertical="center" wrapText="1"/>
    </xf>
    <xf numFmtId="1" fontId="0" fillId="0" borderId="15" xfId="0" applyNumberForma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" fontId="0" fillId="0" borderId="16" xfId="0" applyNumberFormat="1" applyBorder="1" applyAlignment="1">
      <alignment horizontal="center" vertical="center"/>
    </xf>
    <xf numFmtId="1" fontId="0" fillId="0" borderId="17" xfId="0" applyNumberFormat="1" applyBorder="1" applyAlignment="1">
      <alignment horizontal="center" vertical="center"/>
    </xf>
    <xf numFmtId="49" fontId="0" fillId="0" borderId="16" xfId="0" applyNumberFormat="1" applyBorder="1" applyAlignment="1">
      <alignment horizontal="center" vertical="center"/>
    </xf>
    <xf numFmtId="164" fontId="0" fillId="0" borderId="16" xfId="0" applyNumberFormat="1" applyBorder="1" applyAlignment="1">
      <alignment horizontal="center" vertical="center"/>
    </xf>
    <xf numFmtId="2" fontId="0" fillId="0" borderId="16" xfId="0" applyNumberFormat="1" applyBorder="1" applyAlignment="1">
      <alignment horizontal="center" vertical="center"/>
    </xf>
    <xf numFmtId="0" fontId="8" fillId="4" borderId="0" xfId="0" applyFont="1" applyFill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49" fontId="8" fillId="13" borderId="0" xfId="0" applyNumberFormat="1" applyFont="1" applyFill="1" applyAlignment="1">
      <alignment horizontal="center" vertical="center" wrapText="1"/>
    </xf>
    <xf numFmtId="0" fontId="0" fillId="9" borderId="14" xfId="0" applyFill="1" applyBorder="1" applyAlignment="1">
      <alignment horizontal="center" vertical="center" wrapText="1"/>
    </xf>
    <xf numFmtId="164" fontId="0" fillId="0" borderId="15" xfId="0" applyNumberFormat="1" applyBorder="1" applyAlignment="1">
      <alignment horizontal="center" vertical="center"/>
    </xf>
    <xf numFmtId="0" fontId="7" fillId="4" borderId="18" xfId="0" applyFont="1" applyFill="1" applyBorder="1" applyAlignment="1">
      <alignment horizontal="center" vertical="center" wrapText="1"/>
    </xf>
    <xf numFmtId="2" fontId="0" fillId="0" borderId="18" xfId="0" applyNumberFormat="1" applyBorder="1" applyAlignment="1">
      <alignment horizontal="center" vertical="center"/>
    </xf>
    <xf numFmtId="2" fontId="0" fillId="0" borderId="19" xfId="0" applyNumberForma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64" fontId="0" fillId="0" borderId="17" xfId="0" applyNumberFormat="1" applyBorder="1" applyAlignment="1">
      <alignment horizontal="center" vertical="center"/>
    </xf>
    <xf numFmtId="2" fontId="0" fillId="0" borderId="20" xfId="0" applyNumberForma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164" fontId="0" fillId="9" borderId="0" xfId="0" applyNumberFormat="1" applyFill="1" applyAlignment="1">
      <alignment horizontal="center" vertical="center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2" fontId="0" fillId="2" borderId="0" xfId="0" applyNumberFormat="1" applyFill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0" fontId="0" fillId="8" borderId="0" xfId="0" applyFill="1" applyBorder="1" applyAlignment="1">
      <alignment horizontal="center" vertical="center" wrapText="1"/>
    </xf>
    <xf numFmtId="164" fontId="7" fillId="0" borderId="0" xfId="0" applyNumberFormat="1" applyFont="1" applyAlignment="1">
      <alignment horizontal="center" vertical="center"/>
    </xf>
    <xf numFmtId="164" fontId="7" fillId="10" borderId="0" xfId="0" applyNumberFormat="1" applyFont="1" applyFill="1" applyAlignment="1">
      <alignment horizontal="center" vertical="center" wrapText="1"/>
    </xf>
    <xf numFmtId="49" fontId="7" fillId="11" borderId="0" xfId="0" applyNumberFormat="1" applyFont="1" applyFill="1" applyAlignment="1">
      <alignment horizontal="center" vertical="center" wrapText="1"/>
    </xf>
    <xf numFmtId="164" fontId="7" fillId="12" borderId="0" xfId="0" applyNumberFormat="1" applyFont="1" applyFill="1" applyAlignment="1">
      <alignment horizontal="center" vertical="center" wrapText="1"/>
    </xf>
    <xf numFmtId="164" fontId="7" fillId="7" borderId="0" xfId="0" applyNumberFormat="1" applyFont="1" applyFill="1" applyAlignment="1">
      <alignment horizontal="center" vertical="center" wrapText="1"/>
    </xf>
    <xf numFmtId="164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left" vertical="top"/>
    </xf>
    <xf numFmtId="1" fontId="8" fillId="13" borderId="0" xfId="0" applyNumberFormat="1" applyFont="1" applyFill="1" applyAlignment="1">
      <alignment horizontal="center" vertical="center" wrapText="1"/>
    </xf>
    <xf numFmtId="164" fontId="0" fillId="0" borderId="22" xfId="0" applyNumberFormat="1" applyBorder="1" applyAlignment="1">
      <alignment horizontal="center" vertical="center"/>
    </xf>
    <xf numFmtId="164" fontId="0" fillId="0" borderId="23" xfId="0" applyNumberFormat="1" applyBorder="1" applyAlignment="1">
      <alignment horizontal="center" vertical="center"/>
    </xf>
    <xf numFmtId="164" fontId="7" fillId="7" borderId="14" xfId="0" applyNumberFormat="1" applyFont="1" applyFill="1" applyBorder="1" applyAlignment="1">
      <alignment horizontal="center" vertical="center" wrapText="1"/>
    </xf>
    <xf numFmtId="164" fontId="0" fillId="0" borderId="21" xfId="0" applyNumberFormat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</cellXfs>
  <cellStyles count="1">
    <cellStyle name="Normale" xfId="0" builtinId="0"/>
  </cellStyles>
  <dxfs count="60">
    <dxf>
      <numFmt numFmtId="164" formatCode="0.0"/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</border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indent="0" justifyLastLine="0" shrinkToFit="0" readingOrder="0"/>
      <border outline="0">
        <left style="thin">
          <color indexed="64"/>
        </left>
        <right/>
      </border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indent="0" justifyLastLine="0" shrinkToFit="0" readingOrder="0"/>
      <border diagonalUp="0" diagonalDown="0">
        <left style="thin">
          <color indexed="64"/>
        </left>
        <right/>
        <vertical/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0" formatCode="@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0.0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 style="medium">
          <color indexed="64"/>
        </bottom>
        <vertical/>
        <horizontal/>
      </border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</border>
    </dxf>
    <dxf>
      <numFmt numFmtId="30" formatCode="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</border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5" formatCode="0.00E+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i val="0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42A2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Summary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Dataset!$E$2:$E$61</c:f>
              <c:numCache>
                <c:formatCode>0.00</c:formatCode>
                <c:ptCount val="60"/>
                <c:pt idx="0">
                  <c:v>17876.023155486</c:v>
                </c:pt>
                <c:pt idx="1">
                  <c:v>41141.922315656098</c:v>
                </c:pt>
                <c:pt idx="2">
                  <c:v>156073.108346058</c:v>
                </c:pt>
                <c:pt idx="3">
                  <c:v>591768.25872921105</c:v>
                </c:pt>
                <c:pt idx="4">
                  <c:v>1445619.51028433</c:v>
                </c:pt>
                <c:pt idx="5">
                  <c:v>1316.80900711289</c:v>
                </c:pt>
                <c:pt idx="6">
                  <c:v>4540.3384530670101</c:v>
                </c:pt>
                <c:pt idx="7">
                  <c:v>100239.404671478</c:v>
                </c:pt>
                <c:pt idx="8">
                  <c:v>8621.0969314316008</c:v>
                </c:pt>
                <c:pt idx="9">
                  <c:v>13553.0136757449</c:v>
                </c:pt>
                <c:pt idx="10">
                  <c:v>48585.384940432501</c:v>
                </c:pt>
                <c:pt idx="11">
                  <c:v>254887.560263961</c:v>
                </c:pt>
                <c:pt idx="12">
                  <c:v>8351.3819979889595</c:v>
                </c:pt>
                <c:pt idx="13">
                  <c:v>13129.0014867423</c:v>
                </c:pt>
                <c:pt idx="14">
                  <c:v>40166.1089711694</c:v>
                </c:pt>
                <c:pt idx="15">
                  <c:v>185623.367455103</c:v>
                </c:pt>
                <c:pt idx="16">
                  <c:v>19279.378730674001</c:v>
                </c:pt>
                <c:pt idx="17">
                  <c:v>50726.243060808403</c:v>
                </c:pt>
                <c:pt idx="18">
                  <c:v>611311.43642663897</c:v>
                </c:pt>
                <c:pt idx="19">
                  <c:v>656779.61184379098</c:v>
                </c:pt>
                <c:pt idx="20">
                  <c:v>25675.445016501399</c:v>
                </c:pt>
                <c:pt idx="21">
                  <c:v>38475.048455512799</c:v>
                </c:pt>
                <c:pt idx="22">
                  <c:v>168162.667423701</c:v>
                </c:pt>
                <c:pt idx="23">
                  <c:v>861348.14151387499</c:v>
                </c:pt>
                <c:pt idx="24">
                  <c:v>3295.3736338287699</c:v>
                </c:pt>
                <c:pt idx="25">
                  <c:v>16747.2489383387</c:v>
                </c:pt>
                <c:pt idx="26">
                  <c:v>85776.470984341795</c:v>
                </c:pt>
                <c:pt idx="27">
                  <c:v>94294.745817563395</c:v>
                </c:pt>
                <c:pt idx="28">
                  <c:v>152991.49288309101</c:v>
                </c:pt>
                <c:pt idx="29">
                  <c:v>312415.009375158</c:v>
                </c:pt>
                <c:pt idx="30">
                  <c:v>5248.4152309562496</c:v>
                </c:pt>
                <c:pt idx="31">
                  <c:v>15189.0817027989</c:v>
                </c:pt>
                <c:pt idx="32">
                  <c:v>22946.101915388201</c:v>
                </c:pt>
                <c:pt idx="33">
                  <c:v>140995.83501291199</c:v>
                </c:pt>
                <c:pt idx="34">
                  <c:v>261836.02448193799</c:v>
                </c:pt>
                <c:pt idx="35">
                  <c:v>569228.94161965896</c:v>
                </c:pt>
                <c:pt idx="36">
                  <c:v>2422.7898378381401</c:v>
                </c:pt>
                <c:pt idx="37">
                  <c:v>3000.8304573946298</c:v>
                </c:pt>
                <c:pt idx="38">
                  <c:v>7124.7566202500902</c:v>
                </c:pt>
                <c:pt idx="39">
                  <c:v>7958.5173493168204</c:v>
                </c:pt>
                <c:pt idx="40">
                  <c:v>14320.192035824201</c:v>
                </c:pt>
                <c:pt idx="41">
                  <c:v>14323.9524613006</c:v>
                </c:pt>
                <c:pt idx="42">
                  <c:v>112541.98379256501</c:v>
                </c:pt>
                <c:pt idx="43">
                  <c:v>423130.485588971</c:v>
                </c:pt>
                <c:pt idx="44">
                  <c:v>629155.17297901702</c:v>
                </c:pt>
                <c:pt idx="45">
                  <c:v>659841.46810794901</c:v>
                </c:pt>
                <c:pt idx="46">
                  <c:v>42965.4273003532</c:v>
                </c:pt>
                <c:pt idx="47">
                  <c:v>53224.3063861345</c:v>
                </c:pt>
                <c:pt idx="48">
                  <c:v>74235.914721927402</c:v>
                </c:pt>
                <c:pt idx="49">
                  <c:v>84965.203220913594</c:v>
                </c:pt>
                <c:pt idx="50">
                  <c:v>85644.660116190003</c:v>
                </c:pt>
                <c:pt idx="51">
                  <c:v>105236.60189674101</c:v>
                </c:pt>
                <c:pt idx="52">
                  <c:v>68593.4749905809</c:v>
                </c:pt>
                <c:pt idx="53">
                  <c:v>69123.857420208195</c:v>
                </c:pt>
                <c:pt idx="54">
                  <c:v>113049.056923065</c:v>
                </c:pt>
                <c:pt idx="55">
                  <c:v>421641.22786915302</c:v>
                </c:pt>
                <c:pt idx="56">
                  <c:v>1000000</c:v>
                </c:pt>
                <c:pt idx="57">
                  <c:v>1000000</c:v>
                </c:pt>
                <c:pt idx="58">
                  <c:v>1000000</c:v>
                </c:pt>
                <c:pt idx="59">
                  <c:v>1000000</c:v>
                </c:pt>
              </c:numCache>
            </c:numRef>
          </c:xVal>
          <c:yVal>
            <c:numRef>
              <c:f>Dataset!$AQ$2:$AQ$61</c:f>
              <c:numCache>
                <c:formatCode>0.00</c:formatCode>
                <c:ptCount val="60"/>
                <c:pt idx="0">
                  <c:v>242.40925707163501</c:v>
                </c:pt>
                <c:pt idx="1">
                  <c:v>216.223956803302</c:v>
                </c:pt>
                <c:pt idx="2">
                  <c:v>194.9784227023215</c:v>
                </c:pt>
                <c:pt idx="3">
                  <c:v>193.91994825728301</c:v>
                </c:pt>
                <c:pt idx="4">
                  <c:v>169.24694249979649</c:v>
                </c:pt>
                <c:pt idx="5">
                  <c:v>645.46256164768181</c:v>
                </c:pt>
                <c:pt idx="6">
                  <c:v>617.95738637440536</c:v>
                </c:pt>
                <c:pt idx="7">
                  <c:v>545.23660535944964</c:v>
                </c:pt>
                <c:pt idx="8">
                  <c:v>534.49404128447497</c:v>
                </c:pt>
                <c:pt idx="9">
                  <c:v>482.85155269576518</c:v>
                </c:pt>
                <c:pt idx="10">
                  <c:v>449.04798270259971</c:v>
                </c:pt>
                <c:pt idx="11">
                  <c:v>396.92389947473538</c:v>
                </c:pt>
                <c:pt idx="12">
                  <c:v>542.30929034156463</c:v>
                </c:pt>
                <c:pt idx="13">
                  <c:v>489.91169715097971</c:v>
                </c:pt>
                <c:pt idx="14">
                  <c:v>452.31900726288012</c:v>
                </c:pt>
                <c:pt idx="15">
                  <c:v>396.92389947473538</c:v>
                </c:pt>
                <c:pt idx="16">
                  <c:v>609.34662407451003</c:v>
                </c:pt>
                <c:pt idx="17">
                  <c:v>581.26722490879001</c:v>
                </c:pt>
                <c:pt idx="18">
                  <c:v>591.91051673993502</c:v>
                </c:pt>
                <c:pt idx="19">
                  <c:v>548.47789562819003</c:v>
                </c:pt>
                <c:pt idx="20">
                  <c:v>851.99772107044487</c:v>
                </c:pt>
                <c:pt idx="21">
                  <c:v>824.62032688138356</c:v>
                </c:pt>
                <c:pt idx="22">
                  <c:v>764.11215680232442</c:v>
                </c:pt>
                <c:pt idx="23">
                  <c:v>695.31237973175485</c:v>
                </c:pt>
                <c:pt idx="24">
                  <c:v>859.81427037204992</c:v>
                </c:pt>
                <c:pt idx="25">
                  <c:v>771.12241070076948</c:v>
                </c:pt>
                <c:pt idx="26">
                  <c:v>709.37243740362999</c:v>
                </c:pt>
                <c:pt idx="27">
                  <c:v>773.92587898720205</c:v>
                </c:pt>
                <c:pt idx="28">
                  <c:v>719.74471818569612</c:v>
                </c:pt>
                <c:pt idx="29">
                  <c:v>657.32081231921825</c:v>
                </c:pt>
                <c:pt idx="30">
                  <c:v>159.12121327644451</c:v>
                </c:pt>
                <c:pt idx="31">
                  <c:v>148.51941950817201</c:v>
                </c:pt>
                <c:pt idx="32">
                  <c:v>139.12797011035599</c:v>
                </c:pt>
                <c:pt idx="33">
                  <c:v>134.65734632083499</c:v>
                </c:pt>
                <c:pt idx="34">
                  <c:v>119.026743362489</c:v>
                </c:pt>
                <c:pt idx="35">
                  <c:v>127.061314961492</c:v>
                </c:pt>
                <c:pt idx="36">
                  <c:v>601.36506722516867</c:v>
                </c:pt>
                <c:pt idx="37">
                  <c:v>610.15808905812219</c:v>
                </c:pt>
                <c:pt idx="38">
                  <c:v>545.23660535944964</c:v>
                </c:pt>
                <c:pt idx="39">
                  <c:v>579.93291086673548</c:v>
                </c:pt>
                <c:pt idx="40">
                  <c:v>497.94789636591599</c:v>
                </c:pt>
                <c:pt idx="41">
                  <c:v>473.28123346725886</c:v>
                </c:pt>
                <c:pt idx="42">
                  <c:v>453.11324224118539</c:v>
                </c:pt>
                <c:pt idx="43">
                  <c:v>415.3189004212187</c:v>
                </c:pt>
                <c:pt idx="44">
                  <c:v>390.47114444470731</c:v>
                </c:pt>
                <c:pt idx="45">
                  <c:v>386.24317012379674</c:v>
                </c:pt>
                <c:pt idx="46">
                  <c:v>534.72048327796995</c:v>
                </c:pt>
                <c:pt idx="47">
                  <c:v>527.01459693751497</c:v>
                </c:pt>
                <c:pt idx="48">
                  <c:v>550.47192454612002</c:v>
                </c:pt>
                <c:pt idx="49">
                  <c:v>527.01459693751497</c:v>
                </c:pt>
                <c:pt idx="50">
                  <c:v>523.20339806564004</c:v>
                </c:pt>
                <c:pt idx="51">
                  <c:v>534.72048327796995</c:v>
                </c:pt>
                <c:pt idx="52">
                  <c:v>912.81605822620918</c:v>
                </c:pt>
                <c:pt idx="53">
                  <c:v>953.44534145410125</c:v>
                </c:pt>
                <c:pt idx="54">
                  <c:v>880.28404472455611</c:v>
                </c:pt>
                <c:pt idx="55">
                  <c:v>821.63322308045326</c:v>
                </c:pt>
                <c:pt idx="56">
                  <c:v>652</c:v>
                </c:pt>
                <c:pt idx="57">
                  <c:v>763.83440613787491</c:v>
                </c:pt>
                <c:pt idx="58">
                  <c:v>624.85118228262957</c:v>
                </c:pt>
                <c:pt idx="59">
                  <c:v>802.64624835602388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58-439C-BD78-518C8A90A1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6816096"/>
        <c:axId val="406816456"/>
      </c:scatterChart>
      <c:valAx>
        <c:axId val="406816096"/>
        <c:scaling>
          <c:logBase val="10"/>
          <c:orientation val="minMax"/>
          <c:max val="2500000"/>
          <c:min val="100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Number</a:t>
                </a:r>
                <a:r>
                  <a:rPr lang="en-GB" baseline="0"/>
                  <a:t> of cycles to failure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816456"/>
        <c:crosses val="autoZero"/>
        <c:crossBetween val="midCat"/>
      </c:valAx>
      <c:valAx>
        <c:axId val="406816456"/>
        <c:scaling>
          <c:logBase val="10"/>
          <c:orientation val="minMax"/>
          <c:max val="3000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Amplitude von MIses (MPa)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816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26</xdr:row>
      <xdr:rowOff>0</xdr:rowOff>
    </xdr:from>
    <xdr:to>
      <xdr:col>2</xdr:col>
      <xdr:colOff>917865</xdr:colOff>
      <xdr:row>41</xdr:row>
      <xdr:rowOff>72390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660A1232-E067-4380-A306-8D17032AE7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9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B9CA7B-F9F7-4B65-BAF9-0554C4DD3A3C}" name="Tabella1" displayName="Tabella1" ref="A1:M5" totalsRowShown="0" headerRowDxfId="59" dataDxfId="58">
  <autoFilter ref="A1:M5" xr:uid="{7EB9CA7B-F9F7-4B65-BAF9-0554C4DD3A3C}"/>
  <tableColumns count="13">
    <tableColumn id="1" xr3:uid="{8E3D1E9D-FBEE-441F-8710-5037CD4F23F4}" name="Article DOI / Reference" dataDxfId="57"/>
    <tableColumn id="11" xr3:uid="{DB748F3A-E0FD-40A7-AD76-C03A14000D6D}" name="Authors" dataDxfId="56"/>
    <tableColumn id="8" xr3:uid="{5AA73CAD-51B7-41DD-94EB-F60F774B9687}" name="Article year" dataDxfId="55"/>
    <tableColumn id="2" xr3:uid="{06FA6682-59D0-409F-9A0C-E6CD1808F355}" name="Material name" dataDxfId="54"/>
    <tableColumn id="3" xr3:uid="{576FC30A-97BD-425F-92F2-9A2823474F7C}" name="Young's modulus (MPa)" dataDxfId="53"/>
    <tableColumn id="4" xr3:uid="{63CF6BC0-ABE3-408E-84A9-EDA0B421D7E2}" name="Poisson's ratio (-)" dataDxfId="52"/>
    <tableColumn id="5" xr3:uid="{BF08D467-4D62-4CAB-A94F-0030F94E8A2E}" name="Tensile strength (MPa)" dataDxfId="51"/>
    <tableColumn id="6" xr3:uid="{CDCD2563-ECD7-4843-B859-5F7762FE830B}" name="Yield strength (MPa)" dataDxfId="50"/>
    <tableColumn id="7" xr3:uid="{7991DD6F-6040-4C6F-AEB4-2211698F999C}" name="Tensile fatigue limit (MPa)" dataDxfId="49"/>
    <tableColumn id="9" xr3:uid="{C339353B-B530-41A6-97D0-BD9E3EFB3E1B}" name="Torsional fatigue limit (MPa)" dataDxfId="48">
      <calculatedColumnFormula>845/2</calculatedColumnFormula>
    </tableColumn>
    <tableColumn id="13" xr3:uid="{61EEDB63-8EB1-4E68-8C73-6F3D35C9EEF7}" name="Number of Cycles (cycles)" dataDxfId="47"/>
    <tableColumn id="12" xr3:uid="{5EB3D6EA-60A8-471D-AB0E-73C0B9E22DD2}" name="Stress ratio R" dataDxfId="46"/>
    <tableColumn id="10" xr3:uid="{EC242BA9-DE01-42A2-8C6C-75459CDE529E}" name="K" dataDxfId="45">
      <calculatedColumnFormula>IF(COUNTIF(Tabella1[[#This Row],[Tensile fatigue limit (MPa)]:[Torsional fatigue limit (MPa)]],"Null")&gt;0, "Null", IF(COUNT(Tabella1[[#This Row],[Tensile fatigue limit (MPa)]:[Torsional fatigue limit (MPa)]])=0, "Null", Tabella1[[#This Row],[Tensile fatigue limit (MPa)]]/Tabella1[[#This Row],[Torsional fatigue limit (MPa)]]))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6243907-AA5D-4F4D-8699-490D77B21127}" name="Tabella2" displayName="Tabella2" ref="A1:AQ61" totalsRowShown="0" headerRowDxfId="1" dataDxfId="44">
  <autoFilter ref="A1:AQ61" xr:uid="{86243907-AA5D-4F4D-8699-490D77B21127}"/>
  <tableColumns count="43">
    <tableColumn id="31" xr3:uid="{05937513-BC98-44D1-A5DC-F19589B15DDF}" name="Authors" dataDxfId="43"/>
    <tableColumn id="32" xr3:uid="{DCBCBA66-A67E-429B-A752-67A81643133E}" name="Article year" dataDxfId="42"/>
    <tableColumn id="1" xr3:uid="{D75788C8-C867-4D50-A818-DADFA5044830}" name="Article DOI / Reference" dataDxfId="25"/>
    <tableColumn id="30" xr3:uid="{FA5CACDD-A594-4207-9BA7-C7F165153D5B}" name="Specimen name" dataDxfId="24"/>
    <tableColumn id="2" xr3:uid="{19DD8629-B305-4804-A689-1057FBADF71C}" name="Number of cycles to failure" dataDxfId="22"/>
    <tableColumn id="4" xr3:uid="{27575528-FAA3-4B4C-8860-7A7CFCB79DBE}" name="Run out (Yes/No)" dataDxfId="23"/>
    <tableColumn id="3" xr3:uid="{0CF78E1F-0EC3-474A-B3FD-519C01702157}" name="Failure type (complete rupture/stiffness decrease)" dataDxfId="41"/>
    <tableColumn id="26" xr3:uid="{05D9D755-9B11-40C9-8DCB-B9E39E20FA04}" name="Geometry picture" dataDxfId="40"/>
    <tableColumn id="33" xr3:uid="{936299CD-E030-4427-B1AB-D5CB204A04BE}" name="Geometry type (flat/cylindrical/hollow cylinder)" dataDxfId="39"/>
    <tableColumn id="34" xr3:uid="{09266E8F-9B14-40D4-88AB-80CC92F93BA2}" name="Notched" dataDxfId="38"/>
    <tableColumn id="39" xr3:uid="{108E1228-D670-44CE-87DA-2A1B0D22E417}" name="A (mm)" dataDxfId="37"/>
    <tableColumn id="38" xr3:uid="{D6414C63-3F42-4BCA-BB3F-506FCA7B7866}" name="B (mm)" dataDxfId="36"/>
    <tableColumn id="37" xr3:uid="{8138AA3A-CE2D-441D-907D-E35AD875EC90}" name="Hole diameter (mm)" dataDxfId="35"/>
    <tableColumn id="27" xr3:uid="{D5A8CCC0-542A-450B-8F88-B47472F29E40}" name="Diameter (mm)" dataDxfId="34"/>
    <tableColumn id="28" xr3:uid="{36725B61-E4CB-4B7E-AF40-7F3BC6BE6CB3}" name="Area (mm^2)" dataDxfId="33">
      <calculatedColumnFormula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calculatedColumnFormula>
    </tableColumn>
    <tableColumn id="45" xr3:uid="{127345D3-F57D-4266-B1E4-4F059E8B31BE}" name="flessional momento of inertia (mm^4)" dataDxfId="32">
      <calculatedColumnFormula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calculatedColumnFormula>
    </tableColumn>
    <tableColumn id="29" xr3:uid="{ADA51E38-565E-4B07-AA7F-4531D7FB559A}" name="torsional momento of inertia (mm^4)" dataDxfId="31">
      <calculatedColumnFormula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calculatedColumnFormula>
    </tableColumn>
    <tableColumn id="21" xr3:uid="{C8363B8B-B0C3-4670-AE9B-A3DF1F1D9748}" name="Phase RADIAL load (°)" dataDxfId="30"/>
    <tableColumn id="40" xr3:uid="{FF54B50E-D6C4-4EF8-BED6-8558889E32B3}" name="Phase AXIAL load (°)" dataDxfId="29"/>
    <tableColumn id="22" xr3:uid="{9A8358C3-645B-4F7B-A800-BF2013564F31}" name="Phase TORSIONAL load (°)" dataDxfId="21"/>
    <tableColumn id="43" xr3:uid="{32E76D00-2B52-4D17-881F-6CB825346CD9}" name="Freq RADIAL load [Hz]" dataDxfId="19"/>
    <tableColumn id="42" xr3:uid="{A0DFAB77-F821-4A7F-A0A1-75075998D45D}" name="Freq AXIAL load[Hz]" dataDxfId="20"/>
    <tableColumn id="41" xr3:uid="{DEC77E42-D985-463A-B500-A8E16CF67856}" name="Freq TORSIONAL load [Hz]" dataDxfId="28"/>
    <tableColumn id="23" xr3:uid="{9724DA05-688A-43E5-9AAC-5035994CD3C7}" name="Load ratio (RADIAL)" dataDxfId="18">
      <calculatedColumnFormula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calculatedColumnFormula>
    </tableColumn>
    <tableColumn id="24" xr3:uid="{5794A9BC-D825-4DEA-82F2-22B1FB825367}" name="Load ratio (AXIAL)" dataDxfId="17">
      <calculatedColumnFormula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calculatedColumnFormula>
    </tableColumn>
    <tableColumn id="25" xr3:uid="{A209A6A1-8B94-4DAE-9AD9-68A32BB08635}" name="Load ratio (TORSIONAL)" dataDxfId="16">
      <calculatedColumnFormula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calculatedColumnFormula>
    </tableColumn>
    <tableColumn id="15" xr3:uid="{79C3F669-131B-420A-8FF5-9D61125EAD7C}" name="Mean RADIAL stress  (MPa)" dataDxfId="10"/>
    <tableColumn id="6" xr3:uid="{CFA41242-20EF-4D5D-9025-FC3F232CBE04}" name="Amplitute RADIAL stress  (MPa)" dataDxfId="15"/>
    <tableColumn id="16" xr3:uid="{F37D511D-F078-4171-84FD-3AE13D4078DC}" name="Mean AXIAL stress  (MPa)" dataDxfId="14"/>
    <tableColumn id="8" xr3:uid="{933ACC34-FA80-47BE-87CF-5D7D742564A2}" name="Amplitute AXIAL stress  (MPa)" dataDxfId="13"/>
    <tableColumn id="44" xr3:uid="{460C3648-EA91-4BC9-8C0D-58B3E19E1ED3}" name="derived from (AXIAL/BENDING) load" dataDxfId="12"/>
    <tableColumn id="19" xr3:uid="{06584471-CEAD-405D-A12E-5A2E79E8CA33}" name="Mean SHEAR stress  (MPa)" dataDxfId="11"/>
    <tableColumn id="10" xr3:uid="{2FCDB52E-3BD8-4D04-8689-303C003D64AE}" name="Amplitute SHEAR stress  (MPa)" dataDxfId="9"/>
    <tableColumn id="36" xr3:uid="{EF2440ED-01F8-493F-BD7F-BDBCFC67F43F}" name="Mean internal PRESSURE  (MPa)" dataDxfId="8">
      <calculatedColumnFormula>IF(ISNUMBER(Tabella2[[#This Row],[Mean RADIAL stress  (MPa)]]), Tabella2[[#This Row],[Mean RADIAL stress  (MPa)]],"")</calculatedColumnFormula>
    </tableColumn>
    <tableColumn id="12" xr3:uid="{A3A206A7-7207-472E-A9D8-013B3CFCAFCB}" name="Amplitute internal PRESSURE (MPa)" dataDxfId="7">
      <calculatedColumnFormula>IF(ISNUMBER(Tabella2[[#This Row],[Amplitute RADIAL stress  (MPa)]]), Tabella2[[#This Row],[Amplitute RADIAL stress  (MPa)]],"")</calculatedColumnFormula>
    </tableColumn>
    <tableColumn id="47" xr3:uid="{2D0E8715-4DDF-44E6-8D9C-9880A8CC9001}" name="Mean AXIAL load (N)" dataDxfId="6">
      <calculatedColumnFormula>IF(ISNUMBER(Tabella2[[#This Row],[Mean AXIAL stress  (MPa)]]), IF(Tabella2[[#This Row],[derived from (AXIAL/BENDING) load]]="AXIAL",Tabella2[[#This Row],[Mean AXIAL stress  (MPa)]]*Tabella2[[#This Row],[Area (mm^2)]],"Null"), "")</calculatedColumnFormula>
    </tableColumn>
    <tableColumn id="46" xr3:uid="{74D06968-9F0E-4F66-B0FC-A6FDF325A23C}" name="Amplitute AXIAL load (N)" dataDxfId="5">
      <calculatedColumnFormula>IF(ISNUMBER(Tabella2[[#This Row],[Amplitute AXIAL stress  (MPa)]]),    IF(Tabella2[[#This Row],[derived from (AXIAL/BENDING) load]]="AXIAL",Tabella2[[#This Row],[Amplitute AXIAL stress  (MPa)]]*Tabella2[[#This Row],[Area (mm^2)]],"Null"), "")</calculatedColumnFormula>
    </tableColumn>
    <tableColumn id="14" xr3:uid="{B1691BE1-3E2F-4716-9F3A-1870C13BFA59}" name="Mean BENDING moment (Nmm)" dataDxfId="0">
      <calculatedColumnFormula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calculatedColumnFormula>
    </tableColumn>
    <tableColumn id="48" xr3:uid="{879D775B-56C1-4C8B-B0F2-AB881BBC76CB}" name="Amplitude BENDING moment (Nmm)" dataDxfId="4">
      <calculatedColumnFormula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calculatedColumnFormula>
    </tableColumn>
    <tableColumn id="17" xr3:uid="{B9FCDDAE-82CF-4FB8-907C-A1558D43EF84}" name="Mean TORQUE (Nmm)" dataDxfId="3">
      <calculatedColumnFormula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calculatedColumnFormula>
    </tableColumn>
    <tableColumn id="18" xr3:uid="{C66D42EC-66DD-4028-A153-9A90E5649F9D}" name="Amplitude TORQUE (Nmm)" dataDxfId="2">
      <calculatedColumnFormula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calculatedColumnFormula>
    </tableColumn>
    <tableColumn id="20" xr3:uid="{D27EA8AC-AA88-4708-8985-FCB1FE48E26F}" name="Lambda (tauA/sigmaA)" dataDxfId="27">
      <calculatedColumnFormula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calculatedColumnFormula>
    </tableColumn>
    <tableColumn id="13" xr3:uid="{202EB95B-F464-428F-A067-490417EBEC52}" name="Amplitude von Mises (MPa)" dataDxfId="26">
      <calculatedColumnFormula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8"/>
  <sheetViews>
    <sheetView zoomScaleNormal="100" workbookViewId="0">
      <selection activeCell="A3" sqref="A3"/>
    </sheetView>
  </sheetViews>
  <sheetFormatPr defaultRowHeight="15" x14ac:dyDescent="0.25"/>
  <cols>
    <col min="1" max="1" width="29.140625" bestFit="1" customWidth="1"/>
    <col min="2" max="2" width="68.42578125" customWidth="1"/>
    <col min="3" max="3" width="42.28515625" bestFit="1" customWidth="1"/>
    <col min="4" max="4" width="31.7109375" customWidth="1"/>
    <col min="5" max="5" width="41.85546875" customWidth="1"/>
    <col min="6" max="6" width="31.140625" customWidth="1"/>
    <col min="7" max="7" width="35" customWidth="1"/>
    <col min="8" max="8" width="33.140625" customWidth="1"/>
    <col min="9" max="9" width="38" customWidth="1"/>
    <col min="10" max="10" width="40.85546875" customWidth="1"/>
    <col min="11" max="11" width="41.140625" customWidth="1"/>
    <col min="12" max="12" width="30.7109375" customWidth="1"/>
    <col min="13" max="13" width="9.5703125" bestFit="1" customWidth="1"/>
  </cols>
  <sheetData>
    <row r="1" spans="1:13" ht="20.100000000000001" customHeight="1" x14ac:dyDescent="0.25">
      <c r="A1" s="2" t="s">
        <v>79</v>
      </c>
      <c r="B1" s="2" t="s">
        <v>26</v>
      </c>
      <c r="C1" s="2" t="s">
        <v>25</v>
      </c>
      <c r="D1" s="2" t="s">
        <v>0</v>
      </c>
      <c r="E1" s="2" t="s">
        <v>22</v>
      </c>
      <c r="F1" s="2" t="s">
        <v>1</v>
      </c>
      <c r="G1" s="2" t="s">
        <v>2</v>
      </c>
      <c r="H1" s="2" t="s">
        <v>3</v>
      </c>
      <c r="I1" s="2" t="s">
        <v>51</v>
      </c>
      <c r="J1" s="2" t="s">
        <v>52</v>
      </c>
      <c r="K1" s="2" t="s">
        <v>49</v>
      </c>
      <c r="L1" s="2" t="s">
        <v>50</v>
      </c>
      <c r="M1" s="1" t="s">
        <v>4</v>
      </c>
    </row>
    <row r="2" spans="1:13" ht="20.100000000000001" customHeight="1" x14ac:dyDescent="0.25">
      <c r="A2" s="1" t="s">
        <v>37</v>
      </c>
      <c r="B2" s="1" t="s">
        <v>35</v>
      </c>
      <c r="C2" s="1">
        <v>2018</v>
      </c>
      <c r="D2" s="1" t="s">
        <v>36</v>
      </c>
      <c r="E2" s="1">
        <v>110000</v>
      </c>
      <c r="F2" s="1">
        <v>0.3</v>
      </c>
      <c r="G2" s="1">
        <v>980</v>
      </c>
      <c r="H2" s="1">
        <v>915</v>
      </c>
      <c r="I2" s="1">
        <v>500</v>
      </c>
      <c r="J2" s="1">
        <v>422.5</v>
      </c>
      <c r="K2" s="10">
        <v>2000000</v>
      </c>
      <c r="L2" s="1">
        <v>-1</v>
      </c>
      <c r="M2" s="14">
        <f>IF(COUNTIF(Tabella1[[#This Row],[Tensile fatigue limit (MPa)]:[Torsional fatigue limit (MPa)]],"Null")&gt;0, "Null", IF(COUNT(Tabella1[[#This Row],[Tensile fatigue limit (MPa)]:[Torsional fatigue limit (MPa)]])=0, "Null", Tabella1[[#This Row],[Tensile fatigue limit (MPa)]]/Tabella1[[#This Row],[Torsional fatigue limit (MPa)]]))</f>
        <v>1.1834319526627219</v>
      </c>
    </row>
    <row r="3" spans="1:13" ht="20.100000000000001" customHeight="1" x14ac:dyDescent="0.25">
      <c r="A3" s="13" t="s">
        <v>53</v>
      </c>
      <c r="B3" s="1" t="s">
        <v>54</v>
      </c>
      <c r="C3" s="1">
        <v>2006</v>
      </c>
      <c r="D3" s="1" t="s">
        <v>55</v>
      </c>
      <c r="E3" s="1">
        <v>110000</v>
      </c>
      <c r="F3" s="1">
        <v>0.3</v>
      </c>
      <c r="G3" s="1">
        <v>1090</v>
      </c>
      <c r="H3" s="1">
        <v>980</v>
      </c>
      <c r="I3" s="1">
        <v>652</v>
      </c>
      <c r="J3" s="1">
        <v>411</v>
      </c>
      <c r="K3" s="10">
        <v>1000000</v>
      </c>
      <c r="L3" s="1">
        <v>-1</v>
      </c>
      <c r="M3" s="14">
        <f>IF(COUNTIF(Tabella1[[#This Row],[Tensile fatigue limit (MPa)]:[Torsional fatigue limit (MPa)]],"Null")&gt;0, "Null", IF(COUNT(Tabella1[[#This Row],[Tensile fatigue limit (MPa)]:[Torsional fatigue limit (MPa)]])=0, "Null", Tabella1[[#This Row],[Tensile fatigue limit (MPa)]]/Tabella1[[#This Row],[Torsional fatigue limit (MPa)]]))</f>
        <v>1.586374695863747</v>
      </c>
    </row>
    <row r="4" spans="1:13" ht="20.100000000000001" customHeight="1" x14ac:dyDescent="0.25">
      <c r="A4" s="13"/>
      <c r="B4" s="1"/>
      <c r="C4" s="1"/>
      <c r="D4" s="1"/>
      <c r="E4" s="1"/>
      <c r="F4" s="1"/>
      <c r="G4" s="1"/>
      <c r="H4" s="1"/>
      <c r="I4" s="1"/>
      <c r="J4" s="1"/>
      <c r="K4" s="10"/>
      <c r="L4" s="1"/>
      <c r="M4" s="14" t="str">
        <f>IF(COUNTIF(Tabella1[[#This Row],[Tensile fatigue limit (MPa)]:[Torsional fatigue limit (MPa)]],"Null")&gt;0, "Null", IF(COUNT(Tabella1[[#This Row],[Tensile fatigue limit (MPa)]:[Torsional fatigue limit (MPa)]])=0, "Null", Tabella1[[#This Row],[Tensile fatigue limit (MPa)]]/Tabella1[[#This Row],[Torsional fatigue limit (MPa)]]))</f>
        <v>Null</v>
      </c>
    </row>
    <row r="5" spans="1:13" ht="20.100000000000001" customHeight="1" thickBo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0"/>
      <c r="L5" s="1"/>
      <c r="M5" s="14"/>
    </row>
    <row r="6" spans="1:13" ht="20.100000000000001" customHeight="1" x14ac:dyDescent="0.25">
      <c r="A6" s="55" t="s">
        <v>24</v>
      </c>
      <c r="B6" s="56"/>
      <c r="C6" s="56"/>
      <c r="D6" s="57"/>
      <c r="E6" s="3">
        <f>IF(COUNT(Tabella1[Young''s modulus (MPa)])=0, "Null", AVERAGE(Tabella1[Young''s modulus (MPa)]))</f>
        <v>110000</v>
      </c>
      <c r="F6" s="3">
        <f>IF(COUNT(Tabella1[Poisson''s ratio (-)])=0, "Null", AVERAGE(Tabella1[Poisson''s ratio (-)]))</f>
        <v>0.3</v>
      </c>
      <c r="G6" s="3">
        <f>IF(COUNT(Tabella1[Tensile strength (MPa)])=0, "Null", AVERAGE(Tabella1[Tensile strength (MPa)]))</f>
        <v>1035</v>
      </c>
      <c r="H6" s="3">
        <f>IF(COUNT(Tabella1[Yield strength (MPa)])=0, "Null", AVERAGE(Tabella1[Yield strength (MPa)]))</f>
        <v>947.5</v>
      </c>
      <c r="I6" s="3">
        <f>IF(COUNT(Tabella1[Tensile fatigue limit (MPa)])=0, "Null", AVERAGE(Tabella1[Tensile fatigue limit (MPa)]))</f>
        <v>576</v>
      </c>
      <c r="J6" s="3">
        <f>IF(COUNT(Tabella1[Torsional fatigue limit (MPa)])=0, "Null", AVERAGE(Tabella1[Torsional fatigue limit (MPa)]))</f>
        <v>416.75</v>
      </c>
      <c r="K6" s="11"/>
      <c r="L6" s="9"/>
      <c r="M6" s="15">
        <f>IF(COUNT(Tabella1[K])=0, "Null", AVERAGE(Tabella1[K]))</f>
        <v>1.3849033242632345</v>
      </c>
    </row>
    <row r="7" spans="1:13" ht="20.100000000000001" customHeight="1" thickBot="1" x14ac:dyDescent="0.3">
      <c r="A7" s="58" t="s">
        <v>23</v>
      </c>
      <c r="B7" s="59"/>
      <c r="C7" s="59"/>
      <c r="D7" s="60"/>
      <c r="E7" s="4">
        <f>IF(COUNT(Tabella1[Young''s modulus (MPa)])=0, "Null", _xlfn.STDEV.P(Tabella1[Young''s modulus (MPa)]))</f>
        <v>0</v>
      </c>
      <c r="F7" s="4">
        <f>IF(COUNT(Tabella1[Poisson''s ratio (-)])=0, "Null", _xlfn.STDEV.P(Tabella1[Poisson''s ratio (-)]))</f>
        <v>0</v>
      </c>
      <c r="G7" s="4">
        <f>IF(COUNT(Tabella1[Tensile strength (MPa)])=0, "Null", _xlfn.STDEV.P(Tabella1[Tensile strength (MPa)]))</f>
        <v>55</v>
      </c>
      <c r="H7" s="4">
        <f>IF(COUNT(Tabella1[Yield strength (MPa)])=0, "Null", _xlfn.STDEV.P(Tabella1[Yield strength (MPa)]))</f>
        <v>32.5</v>
      </c>
      <c r="I7" s="4">
        <f>IF(COUNT(Tabella1[Tensile fatigue limit (MPa)])=0, "Null", _xlfn.STDEV.P(Tabella1[Tensile fatigue limit (MPa)]))</f>
        <v>76</v>
      </c>
      <c r="J7" s="4">
        <f>IF(COUNT(Tabella1[Torsional fatigue limit (MPa)])=0, "Null", _xlfn.STDEV.P(Tabella1[Torsional fatigue limit (MPa)]))</f>
        <v>5.75</v>
      </c>
      <c r="K7" s="12"/>
      <c r="L7" s="4"/>
      <c r="M7" s="16">
        <f>IF(COUNT(Tabella1[K])=0, "Null", _xlfn.STDEV.P(Tabella1[K]))</f>
        <v>0.20147137160051243</v>
      </c>
    </row>
    <row r="8" spans="1:13" ht="20.100000000000001" customHeight="1" x14ac:dyDescent="0.25"/>
    <row r="9" spans="1:13" ht="20.100000000000001" customHeight="1" x14ac:dyDescent="0.25"/>
    <row r="10" spans="1:13" ht="20.100000000000001" customHeight="1" x14ac:dyDescent="0.25"/>
    <row r="11" spans="1:13" ht="20.100000000000001" customHeight="1" x14ac:dyDescent="0.25"/>
    <row r="12" spans="1:13" ht="20.100000000000001" customHeight="1" thickBot="1" x14ac:dyDescent="0.3"/>
    <row r="13" spans="1:13" ht="20.100000000000001" customHeight="1" x14ac:dyDescent="0.25">
      <c r="A13" s="61" t="s">
        <v>29</v>
      </c>
      <c r="B13" s="5" t="s">
        <v>30</v>
      </c>
    </row>
    <row r="14" spans="1:13" ht="20.100000000000001" customHeight="1" thickBot="1" x14ac:dyDescent="0.3">
      <c r="A14" s="62"/>
      <c r="B14" s="6" t="s">
        <v>31</v>
      </c>
    </row>
    <row r="27" spans="4:4" x14ac:dyDescent="0.25">
      <c r="D27" s="7" t="s">
        <v>34</v>
      </c>
    </row>
    <row r="28" spans="4:4" x14ac:dyDescent="0.25">
      <c r="D28" s="8">
        <f>COUNTA(Tabella2[Authors])</f>
        <v>60</v>
      </c>
    </row>
  </sheetData>
  <mergeCells count="3">
    <mergeCell ref="A6:D6"/>
    <mergeCell ref="A7:D7"/>
    <mergeCell ref="A13:A14"/>
  </mergeCells>
  <pageMargins left="0.7" right="0.7" top="0.75" bottom="0.75" header="0.3" footer="0.3"/>
  <ignoredErrors>
    <ignoredError sqref="J2:J3" calculatedColumn="1"/>
  </ignoredErrors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B26AA-516E-43B0-A4A2-503832E5DF1E}">
  <dimension ref="A1:AQ192"/>
  <sheetViews>
    <sheetView tabSelected="1" zoomScale="70" zoomScaleNormal="70" workbookViewId="0">
      <pane ySplit="1" topLeftCell="A25" activePane="bottomLeft" state="frozen"/>
      <selection activeCell="B1" sqref="B1"/>
      <selection pane="bottomLeft" activeCell="AQ3" sqref="AQ3"/>
    </sheetView>
  </sheetViews>
  <sheetFormatPr defaultColWidth="52.7109375" defaultRowHeight="15" x14ac:dyDescent="0.25"/>
  <cols>
    <col min="1" max="1" width="32.42578125" style="1" customWidth="1"/>
    <col min="2" max="2" width="25.5703125" style="1" customWidth="1"/>
    <col min="3" max="3" width="40.42578125" style="1" customWidth="1"/>
    <col min="4" max="4" width="54" style="1" customWidth="1"/>
    <col min="5" max="5" width="32.85546875" style="14" customWidth="1"/>
    <col min="6" max="6" width="24.5703125" style="1" customWidth="1"/>
    <col min="7" max="7" width="49.140625" style="21" customWidth="1"/>
    <col min="8" max="8" width="28.7109375" style="1" customWidth="1"/>
    <col min="9" max="9" width="63.5703125" style="1" customWidth="1"/>
    <col min="10" max="10" width="31.28515625" style="1" customWidth="1"/>
    <col min="11" max="11" width="26.5703125" style="1" customWidth="1"/>
    <col min="12" max="12" width="28" style="1" customWidth="1"/>
    <col min="13" max="13" width="35" style="1" customWidth="1"/>
    <col min="14" max="14" width="31.85546875" style="1" customWidth="1"/>
    <col min="15" max="15" width="35" style="1" customWidth="1"/>
    <col min="16" max="16" width="49.42578125" style="1" customWidth="1"/>
    <col min="17" max="17" width="53.140625" style="21" customWidth="1"/>
    <col min="18" max="18" width="42.140625" style="1" customWidth="1"/>
    <col min="19" max="19" width="33.5703125" style="1" customWidth="1"/>
    <col min="20" max="20" width="38.42578125" style="1" customWidth="1"/>
    <col min="21" max="21" width="37.140625" style="28" customWidth="1"/>
    <col min="22" max="22" width="40.7109375" style="33" customWidth="1"/>
    <col min="23" max="23" width="40" style="33" customWidth="1"/>
    <col min="24" max="24" width="35.140625" style="1" customWidth="1"/>
    <col min="25" max="25" width="34.28515625" style="1" customWidth="1"/>
    <col min="26" max="26" width="41.42578125" style="67" customWidth="1"/>
    <col min="27" max="27" width="28.7109375" style="75" customWidth="1"/>
    <col min="28" max="28" width="29.5703125" style="29" customWidth="1"/>
    <col min="29" max="29" width="27.42578125" style="29" customWidth="1"/>
    <col min="30" max="30" width="30.140625" style="29" customWidth="1"/>
    <col min="31" max="31" width="30.85546875" style="33" customWidth="1"/>
    <col min="32" max="32" width="25" style="29" customWidth="1"/>
    <col min="33" max="33" width="30.28515625" style="21" customWidth="1"/>
    <col min="34" max="34" width="28.5703125" style="29" customWidth="1"/>
    <col min="35" max="35" width="29.28515625" style="29" customWidth="1"/>
    <col min="36" max="36" width="20.140625" style="29" customWidth="1"/>
    <col min="37" max="37" width="23.140625" style="29" customWidth="1"/>
    <col min="38" max="38" width="23.28515625" style="29" customWidth="1"/>
    <col min="39" max="39" width="25.85546875" style="29" customWidth="1"/>
    <col min="40" max="40" width="23.85546875" style="29" customWidth="1"/>
    <col min="41" max="41" width="24" style="23" customWidth="1"/>
    <col min="42" max="42" width="34" style="52" customWidth="1"/>
    <col min="43" max="43" width="52.7109375" style="14"/>
    <col min="44" max="16384" width="52.7109375" style="1"/>
  </cols>
  <sheetData>
    <row r="1" spans="1:43" s="27" customFormat="1" ht="44.25" customHeight="1" x14ac:dyDescent="0.25">
      <c r="A1" s="26" t="s">
        <v>26</v>
      </c>
      <c r="B1" s="26" t="s">
        <v>25</v>
      </c>
      <c r="C1" s="26" t="s">
        <v>79</v>
      </c>
      <c r="D1" s="26" t="s">
        <v>19</v>
      </c>
      <c r="E1" s="66" t="s">
        <v>5</v>
      </c>
      <c r="F1" s="26" t="s">
        <v>6</v>
      </c>
      <c r="G1" s="25" t="s">
        <v>18</v>
      </c>
      <c r="H1" s="32" t="s">
        <v>16</v>
      </c>
      <c r="I1" s="32" t="s">
        <v>61</v>
      </c>
      <c r="J1" s="32" t="s">
        <v>28</v>
      </c>
      <c r="K1" s="44" t="s">
        <v>58</v>
      </c>
      <c r="L1" s="44" t="s">
        <v>59</v>
      </c>
      <c r="M1" s="44" t="s">
        <v>60</v>
      </c>
      <c r="N1" s="32" t="s">
        <v>17</v>
      </c>
      <c r="O1" s="45" t="s">
        <v>33</v>
      </c>
      <c r="P1" s="45" t="s">
        <v>76</v>
      </c>
      <c r="Q1" s="31" t="s">
        <v>75</v>
      </c>
      <c r="R1" s="30" t="s">
        <v>62</v>
      </c>
      <c r="S1" s="30" t="s">
        <v>63</v>
      </c>
      <c r="T1" s="30" t="s">
        <v>64</v>
      </c>
      <c r="U1" s="77" t="s">
        <v>65</v>
      </c>
      <c r="V1" s="46" t="s">
        <v>66</v>
      </c>
      <c r="W1" s="46" t="s">
        <v>67</v>
      </c>
      <c r="X1" s="35" t="s">
        <v>14</v>
      </c>
      <c r="Y1" s="35" t="s">
        <v>68</v>
      </c>
      <c r="Z1" s="69" t="s">
        <v>15</v>
      </c>
      <c r="AA1" s="81" t="s">
        <v>7</v>
      </c>
      <c r="AB1" s="63" t="s">
        <v>8</v>
      </c>
      <c r="AC1" s="63" t="s">
        <v>69</v>
      </c>
      <c r="AD1" s="63" t="s">
        <v>70</v>
      </c>
      <c r="AE1" s="72" t="s">
        <v>73</v>
      </c>
      <c r="AF1" s="71" t="s">
        <v>9</v>
      </c>
      <c r="AG1" s="47" t="s">
        <v>10</v>
      </c>
      <c r="AH1" s="73" t="s">
        <v>71</v>
      </c>
      <c r="AI1" s="74" t="s">
        <v>72</v>
      </c>
      <c r="AJ1" s="73" t="s">
        <v>77</v>
      </c>
      <c r="AK1" s="74" t="s">
        <v>87</v>
      </c>
      <c r="AL1" s="73" t="s">
        <v>40</v>
      </c>
      <c r="AM1" s="74" t="s">
        <v>41</v>
      </c>
      <c r="AN1" s="73" t="s">
        <v>12</v>
      </c>
      <c r="AO1" s="80" t="s">
        <v>11</v>
      </c>
      <c r="AP1" s="49" t="s">
        <v>13</v>
      </c>
      <c r="AQ1" s="82" t="s">
        <v>86</v>
      </c>
    </row>
    <row r="2" spans="1:43" ht="20.100000000000001" customHeight="1" x14ac:dyDescent="0.25">
      <c r="A2" s="1" t="s">
        <v>35</v>
      </c>
      <c r="B2" s="1">
        <v>2018</v>
      </c>
      <c r="C2" s="1" t="s">
        <v>37</v>
      </c>
      <c r="D2" s="1" t="s">
        <v>39</v>
      </c>
      <c r="E2" s="14">
        <v>17876.023155486</v>
      </c>
      <c r="F2" s="1" t="s">
        <v>20</v>
      </c>
      <c r="G2" s="21" t="s">
        <v>38</v>
      </c>
      <c r="H2" s="1" t="e" vm="1">
        <v>#VALUE!</v>
      </c>
      <c r="I2" s="1" t="s">
        <v>27</v>
      </c>
      <c r="J2" s="1" t="s">
        <v>32</v>
      </c>
      <c r="K2" s="1" t="s">
        <v>21</v>
      </c>
      <c r="L2" s="1" t="s">
        <v>21</v>
      </c>
      <c r="M2" s="1">
        <v>0</v>
      </c>
      <c r="N2" s="1">
        <v>12</v>
      </c>
      <c r="O2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113.09733552923255</v>
      </c>
      <c r="P2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1017.8760197630929</v>
      </c>
      <c r="Q2" s="2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2035.7520395261859</v>
      </c>
      <c r="R2" s="1">
        <v>0</v>
      </c>
      <c r="S2" s="1">
        <v>0</v>
      </c>
      <c r="T2" s="1">
        <v>0</v>
      </c>
      <c r="U2" s="28" t="s">
        <v>85</v>
      </c>
      <c r="V2" s="33" t="s">
        <v>85</v>
      </c>
      <c r="W2" s="33" t="s">
        <v>85</v>
      </c>
      <c r="X2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2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2" s="1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2" s="75">
        <v>0</v>
      </c>
      <c r="AB2" s="29">
        <v>0</v>
      </c>
      <c r="AC2" s="29">
        <v>0</v>
      </c>
      <c r="AD2" s="29">
        <v>242.40925707163501</v>
      </c>
      <c r="AE2" s="33" t="s">
        <v>74</v>
      </c>
      <c r="AF2" s="29">
        <v>0</v>
      </c>
      <c r="AG2" s="23">
        <v>0</v>
      </c>
      <c r="AH2" s="29">
        <f>IF(ISNUMBER(Tabella2[[#This Row],[Mean RADIAL stress  (MPa)]]), Tabella2[[#This Row],[Mean RADIAL stress  (MPa)]],"")</f>
        <v>0</v>
      </c>
      <c r="AI2" s="29">
        <f>IF(ISNUMBER(Tabella2[[#This Row],[Amplitute RADIAL stress  (MPa)]]), Tabella2[[#This Row],[Amplitute RADIAL stress  (MPa)]],"")</f>
        <v>0</v>
      </c>
      <c r="AJ2" s="29" t="str">
        <f>IF(ISNUMBER(Tabella2[[#This Row],[Mean AXIAL stress  (MPa)]]), IF(Tabella2[[#This Row],[derived from (AXIAL/BENDING) load]]="AXIAL",Tabella2[[#This Row],[Mean AXIAL stress  (MPa)]]*Tabella2[[#This Row],[Area (mm^2)]],"Null"), "")</f>
        <v>Null</v>
      </c>
      <c r="AK2" s="29" t="str">
        <f>IF(ISNUMBER(Tabella2[[#This Row],[Amplitute AXIAL stress  (MPa)]]),    IF(Tabella2[[#This Row],[derived from (AXIAL/BENDING) load]]="AXIAL",Tabella2[[#This Row],[Amplitute AXIAL stress  (MPa)]]*Tabella2[[#This Row],[Area (mm^2)]],"Null"), "")</f>
        <v>Null</v>
      </c>
      <c r="AL2" s="29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0</v>
      </c>
      <c r="AM2" s="29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41123.76162363404</v>
      </c>
      <c r="AN2" s="29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2" s="2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2" s="50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2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242.40925707163501</v>
      </c>
    </row>
    <row r="3" spans="1:43" ht="20.100000000000001" customHeight="1" x14ac:dyDescent="0.25">
      <c r="A3" s="1" t="s">
        <v>35</v>
      </c>
      <c r="B3" s="1">
        <v>2018</v>
      </c>
      <c r="C3" s="1" t="s">
        <v>37</v>
      </c>
      <c r="D3" s="1" t="s">
        <v>39</v>
      </c>
      <c r="E3" s="14">
        <v>41141.922315656098</v>
      </c>
      <c r="F3" s="1" t="s">
        <v>20</v>
      </c>
      <c r="G3" s="21" t="s">
        <v>38</v>
      </c>
      <c r="H3" s="1" t="e" vm="1">
        <v>#VALUE!</v>
      </c>
      <c r="I3" s="1" t="s">
        <v>27</v>
      </c>
      <c r="J3" s="1" t="s">
        <v>32</v>
      </c>
      <c r="K3" s="1" t="s">
        <v>21</v>
      </c>
      <c r="L3" s="1" t="s">
        <v>21</v>
      </c>
      <c r="M3" s="1">
        <v>0</v>
      </c>
      <c r="N3" s="1">
        <v>12</v>
      </c>
      <c r="O3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113.09733552923255</v>
      </c>
      <c r="P3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1017.8760197630929</v>
      </c>
      <c r="Q3" s="2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2035.7520395261859</v>
      </c>
      <c r="R3" s="1">
        <v>0</v>
      </c>
      <c r="S3" s="1">
        <v>0</v>
      </c>
      <c r="T3" s="1">
        <v>0</v>
      </c>
      <c r="U3" s="28" t="s">
        <v>85</v>
      </c>
      <c r="V3" s="33" t="s">
        <v>85</v>
      </c>
      <c r="W3" s="33" t="s">
        <v>85</v>
      </c>
      <c r="X3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3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3" s="1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3" s="75">
        <v>0</v>
      </c>
      <c r="AB3" s="29">
        <v>0</v>
      </c>
      <c r="AC3" s="29">
        <v>0</v>
      </c>
      <c r="AD3" s="29">
        <v>216.223956803302</v>
      </c>
      <c r="AE3" s="33" t="s">
        <v>74</v>
      </c>
      <c r="AF3" s="29">
        <v>0</v>
      </c>
      <c r="AG3" s="23">
        <v>0</v>
      </c>
      <c r="AH3" s="29">
        <f>IF(ISNUMBER(Tabella2[[#This Row],[Mean RADIAL stress  (MPa)]]), Tabella2[[#This Row],[Mean RADIAL stress  (MPa)]],"")</f>
        <v>0</v>
      </c>
      <c r="AI3" s="29">
        <f>IF(ISNUMBER(Tabella2[[#This Row],[Amplitute RADIAL stress  (MPa)]]), Tabella2[[#This Row],[Amplitute RADIAL stress  (MPa)]],"")</f>
        <v>0</v>
      </c>
      <c r="AJ3" s="29" t="str">
        <f>IF(ISNUMBER(Tabella2[[#This Row],[Mean AXIAL stress  (MPa)]]), IF(Tabella2[[#This Row],[derived from (AXIAL/BENDING) load]]="AXIAL",Tabella2[[#This Row],[Mean AXIAL stress  (MPa)]]*Tabella2[[#This Row],[Area (mm^2)]],"Null"), "")</f>
        <v>Null</v>
      </c>
      <c r="AK3" s="29" t="str">
        <f>IF(ISNUMBER(Tabella2[[#This Row],[Amplitute AXIAL stress  (MPa)]]),    IF(Tabella2[[#This Row],[derived from (AXIAL/BENDING) load]]="AXIAL",Tabella2[[#This Row],[Amplitute AXIAL stress  (MPa)]]*Tabella2[[#This Row],[Area (mm^2)]],"Null"), "")</f>
        <v>Null</v>
      </c>
      <c r="AL3" s="29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0</v>
      </c>
      <c r="AM3" s="29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36681.530088061998</v>
      </c>
      <c r="AN3" s="29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3" s="2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3" s="50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3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216.223956803302</v>
      </c>
    </row>
    <row r="4" spans="1:43" ht="20.100000000000001" customHeight="1" x14ac:dyDescent="0.25">
      <c r="A4" s="1" t="s">
        <v>35</v>
      </c>
      <c r="B4" s="1">
        <v>2018</v>
      </c>
      <c r="C4" s="1" t="s">
        <v>37</v>
      </c>
      <c r="D4" s="1" t="s">
        <v>39</v>
      </c>
      <c r="E4" s="14">
        <v>156073.108346058</v>
      </c>
      <c r="F4" s="1" t="s">
        <v>20</v>
      </c>
      <c r="G4" s="21" t="s">
        <v>38</v>
      </c>
      <c r="H4" s="1" t="e" vm="1">
        <v>#VALUE!</v>
      </c>
      <c r="I4" s="1" t="s">
        <v>27</v>
      </c>
      <c r="J4" s="1" t="s">
        <v>32</v>
      </c>
      <c r="K4" s="1" t="s">
        <v>21</v>
      </c>
      <c r="L4" s="1" t="s">
        <v>21</v>
      </c>
      <c r="M4" s="1">
        <v>0</v>
      </c>
      <c r="N4" s="1">
        <v>12</v>
      </c>
      <c r="O4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113.09733552923255</v>
      </c>
      <c r="P4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1017.8760197630929</v>
      </c>
      <c r="Q4" s="2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2035.7520395261859</v>
      </c>
      <c r="R4" s="1">
        <v>0</v>
      </c>
      <c r="S4" s="1">
        <v>0</v>
      </c>
      <c r="T4" s="1">
        <v>0</v>
      </c>
      <c r="U4" s="28" t="s">
        <v>85</v>
      </c>
      <c r="V4" s="33" t="s">
        <v>85</v>
      </c>
      <c r="W4" s="33" t="s">
        <v>85</v>
      </c>
      <c r="X4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4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4" s="1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4" s="75">
        <v>0</v>
      </c>
      <c r="AB4" s="29">
        <v>0</v>
      </c>
      <c r="AC4" s="29">
        <v>0</v>
      </c>
      <c r="AD4" s="29">
        <v>194.9784227023215</v>
      </c>
      <c r="AE4" s="33" t="s">
        <v>74</v>
      </c>
      <c r="AF4" s="29">
        <v>0</v>
      </c>
      <c r="AG4" s="23">
        <v>0</v>
      </c>
      <c r="AH4" s="29">
        <f>IF(ISNUMBER(Tabella2[[#This Row],[Mean RADIAL stress  (MPa)]]), Tabella2[[#This Row],[Mean RADIAL stress  (MPa)]],"")</f>
        <v>0</v>
      </c>
      <c r="AI4" s="29">
        <f>IF(ISNUMBER(Tabella2[[#This Row],[Amplitute RADIAL stress  (MPa)]]), Tabella2[[#This Row],[Amplitute RADIAL stress  (MPa)]],"")</f>
        <v>0</v>
      </c>
      <c r="AJ4" s="29" t="str">
        <f>IF(ISNUMBER(Tabella2[[#This Row],[Mean AXIAL stress  (MPa)]]), IF(Tabella2[[#This Row],[derived from (AXIAL/BENDING) load]]="AXIAL",Tabella2[[#This Row],[Mean AXIAL stress  (MPa)]]*Tabella2[[#This Row],[Area (mm^2)]],"Null"), "")</f>
        <v>Null</v>
      </c>
      <c r="AK4" s="29" t="str">
        <f>IF(ISNUMBER(Tabella2[[#This Row],[Amplitute AXIAL stress  (MPa)]]),    IF(Tabella2[[#This Row],[derived from (AXIAL/BENDING) load]]="AXIAL",Tabella2[[#This Row],[Amplitute AXIAL stress  (MPa)]]*Tabella2[[#This Row],[Area (mm^2)]],"Null"), "")</f>
        <v>Null</v>
      </c>
      <c r="AL4" s="29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0</v>
      </c>
      <c r="AM4" s="29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33077.310139987479</v>
      </c>
      <c r="AN4" s="29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4" s="2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4" s="50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4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194.9784227023215</v>
      </c>
    </row>
    <row r="5" spans="1:43" ht="20.100000000000001" customHeight="1" x14ac:dyDescent="0.25">
      <c r="A5" s="1" t="s">
        <v>35</v>
      </c>
      <c r="B5" s="1">
        <v>2018</v>
      </c>
      <c r="C5" s="1" t="s">
        <v>37</v>
      </c>
      <c r="D5" s="1" t="s">
        <v>39</v>
      </c>
      <c r="E5" s="14">
        <v>591768.25872921105</v>
      </c>
      <c r="F5" s="1" t="s">
        <v>32</v>
      </c>
      <c r="G5" s="21" t="s">
        <v>38</v>
      </c>
      <c r="H5" s="1" t="e" vm="1">
        <v>#VALUE!</v>
      </c>
      <c r="I5" s="1" t="s">
        <v>27</v>
      </c>
      <c r="J5" s="1" t="s">
        <v>32</v>
      </c>
      <c r="K5" s="1" t="s">
        <v>21</v>
      </c>
      <c r="L5" s="1" t="s">
        <v>21</v>
      </c>
      <c r="M5" s="1">
        <v>0</v>
      </c>
      <c r="N5" s="1">
        <v>12</v>
      </c>
      <c r="O5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113.09733552923255</v>
      </c>
      <c r="P5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1017.8760197630929</v>
      </c>
      <c r="Q5" s="2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2035.7520395261859</v>
      </c>
      <c r="R5" s="1">
        <v>0</v>
      </c>
      <c r="S5" s="1">
        <v>0</v>
      </c>
      <c r="T5" s="1">
        <v>0</v>
      </c>
      <c r="U5" s="28" t="s">
        <v>85</v>
      </c>
      <c r="V5" s="33" t="s">
        <v>85</v>
      </c>
      <c r="W5" s="33" t="s">
        <v>85</v>
      </c>
      <c r="X5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5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5" s="1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5" s="75">
        <v>0</v>
      </c>
      <c r="AB5" s="29">
        <v>0</v>
      </c>
      <c r="AC5" s="29">
        <v>0</v>
      </c>
      <c r="AD5" s="29">
        <v>193.91994825728301</v>
      </c>
      <c r="AE5" s="33" t="s">
        <v>74</v>
      </c>
      <c r="AF5" s="29">
        <v>0</v>
      </c>
      <c r="AG5" s="23">
        <v>0</v>
      </c>
      <c r="AH5" s="29">
        <f>IF(ISNUMBER(Tabella2[[#This Row],[Mean RADIAL stress  (MPa)]]), Tabella2[[#This Row],[Mean RADIAL stress  (MPa)]],"")</f>
        <v>0</v>
      </c>
      <c r="AI5" s="29">
        <f>IF(ISNUMBER(Tabella2[[#This Row],[Amplitute RADIAL stress  (MPa)]]), Tabella2[[#This Row],[Amplitute RADIAL stress  (MPa)]],"")</f>
        <v>0</v>
      </c>
      <c r="AJ5" s="29" t="str">
        <f>IF(ISNUMBER(Tabella2[[#This Row],[Mean AXIAL stress  (MPa)]]), IF(Tabella2[[#This Row],[derived from (AXIAL/BENDING) load]]="AXIAL",Tabella2[[#This Row],[Mean AXIAL stress  (MPa)]]*Tabella2[[#This Row],[Area (mm^2)]],"Null"), "")</f>
        <v>Null</v>
      </c>
      <c r="AK5" s="29" t="str">
        <f>IF(ISNUMBER(Tabella2[[#This Row],[Amplitute AXIAL stress  (MPa)]]),    IF(Tabella2[[#This Row],[derived from (AXIAL/BENDING) load]]="AXIAL",Tabella2[[#This Row],[Amplitute AXIAL stress  (MPa)]]*Tabella2[[#This Row],[Area (mm^2)]],"Null"), "")</f>
        <v>Null</v>
      </c>
      <c r="AL5" s="29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0</v>
      </c>
      <c r="AM5" s="29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32897.744180798029</v>
      </c>
      <c r="AN5" s="29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5" s="2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5" s="50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5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193.91994825728301</v>
      </c>
    </row>
    <row r="6" spans="1:43" ht="20.100000000000001" customHeight="1" x14ac:dyDescent="0.25">
      <c r="A6" s="1" t="s">
        <v>35</v>
      </c>
      <c r="B6" s="1">
        <v>2018</v>
      </c>
      <c r="C6" s="1" t="s">
        <v>37</v>
      </c>
      <c r="D6" s="1" t="s">
        <v>39</v>
      </c>
      <c r="E6" s="14">
        <v>1445619.51028433</v>
      </c>
      <c r="F6" s="1" t="s">
        <v>32</v>
      </c>
      <c r="G6" s="21" t="s">
        <v>38</v>
      </c>
      <c r="H6" s="1" t="e" vm="1">
        <v>#VALUE!</v>
      </c>
      <c r="I6" s="1" t="s">
        <v>27</v>
      </c>
      <c r="J6" s="1" t="s">
        <v>32</v>
      </c>
      <c r="K6" s="1" t="s">
        <v>21</v>
      </c>
      <c r="L6" s="1" t="s">
        <v>21</v>
      </c>
      <c r="M6" s="1">
        <v>0</v>
      </c>
      <c r="N6" s="1">
        <v>12</v>
      </c>
      <c r="O6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113.09733552923255</v>
      </c>
      <c r="P6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1017.8760197630929</v>
      </c>
      <c r="Q6" s="2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2035.7520395261859</v>
      </c>
      <c r="R6" s="1">
        <v>0</v>
      </c>
      <c r="S6" s="1">
        <v>0</v>
      </c>
      <c r="T6" s="1">
        <v>0</v>
      </c>
      <c r="U6" s="28" t="s">
        <v>85</v>
      </c>
      <c r="V6" s="33" t="s">
        <v>85</v>
      </c>
      <c r="W6" s="33" t="s">
        <v>85</v>
      </c>
      <c r="X6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6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6" s="1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6" s="75">
        <v>0</v>
      </c>
      <c r="AB6" s="29">
        <v>0</v>
      </c>
      <c r="AC6" s="29">
        <v>0</v>
      </c>
      <c r="AD6" s="29">
        <v>169.24694249979649</v>
      </c>
      <c r="AE6" s="33" t="s">
        <v>74</v>
      </c>
      <c r="AF6" s="29">
        <v>0</v>
      </c>
      <c r="AG6" s="23">
        <v>0</v>
      </c>
      <c r="AH6" s="29">
        <f>IF(ISNUMBER(Tabella2[[#This Row],[Mean RADIAL stress  (MPa)]]), Tabella2[[#This Row],[Mean RADIAL stress  (MPa)]],"")</f>
        <v>0</v>
      </c>
      <c r="AI6" s="29">
        <f>IF(ISNUMBER(Tabella2[[#This Row],[Amplitute RADIAL stress  (MPa)]]), Tabella2[[#This Row],[Amplitute RADIAL stress  (MPa)]],"")</f>
        <v>0</v>
      </c>
      <c r="AJ6" s="29" t="str">
        <f>IF(ISNUMBER(Tabella2[[#This Row],[Mean AXIAL stress  (MPa)]]), IF(Tabella2[[#This Row],[derived from (AXIAL/BENDING) load]]="AXIAL",Tabella2[[#This Row],[Mean AXIAL stress  (MPa)]]*Tabella2[[#This Row],[Area (mm^2)]],"Null"), "")</f>
        <v>Null</v>
      </c>
      <c r="AK6" s="29" t="str">
        <f>IF(ISNUMBER(Tabella2[[#This Row],[Amplitute AXIAL stress  (MPa)]]),    IF(Tabella2[[#This Row],[derived from (AXIAL/BENDING) load]]="AXIAL",Tabella2[[#This Row],[Amplitute AXIAL stress  (MPa)]]*Tabella2[[#This Row],[Area (mm^2)]],"Null"), "")</f>
        <v>Null</v>
      </c>
      <c r="AL6" s="29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0</v>
      </c>
      <c r="AM6" s="29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28712.067364794319</v>
      </c>
      <c r="AN6" s="29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6" s="2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6" s="50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6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169.24694249979649</v>
      </c>
    </row>
    <row r="7" spans="1:43" ht="20.100000000000001" customHeight="1" x14ac:dyDescent="0.25">
      <c r="A7" s="1" t="s">
        <v>35</v>
      </c>
      <c r="B7" s="1">
        <v>2018</v>
      </c>
      <c r="C7" s="1" t="s">
        <v>37</v>
      </c>
      <c r="D7" s="1" t="s">
        <v>42</v>
      </c>
      <c r="E7" s="14">
        <v>1316.80900711289</v>
      </c>
      <c r="F7" s="1" t="s">
        <v>20</v>
      </c>
      <c r="G7" s="21" t="s">
        <v>38</v>
      </c>
      <c r="H7" s="1" t="e" vm="1">
        <v>#VALUE!</v>
      </c>
      <c r="I7" s="1" t="s">
        <v>27</v>
      </c>
      <c r="J7" s="1" t="s">
        <v>32</v>
      </c>
      <c r="K7" s="1" t="s">
        <v>21</v>
      </c>
      <c r="L7" s="1" t="s">
        <v>21</v>
      </c>
      <c r="M7" s="1">
        <v>0</v>
      </c>
      <c r="N7" s="1">
        <v>12</v>
      </c>
      <c r="O7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113.09733552923255</v>
      </c>
      <c r="P7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1017.8760197630929</v>
      </c>
      <c r="Q7" s="2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2035.7520395261859</v>
      </c>
      <c r="R7" s="1">
        <v>0</v>
      </c>
      <c r="S7" s="1">
        <v>0</v>
      </c>
      <c r="T7" s="1">
        <v>0</v>
      </c>
      <c r="U7" s="28" t="s">
        <v>85</v>
      </c>
      <c r="V7" s="33" t="s">
        <v>85</v>
      </c>
      <c r="W7" s="33" t="s">
        <v>85</v>
      </c>
      <c r="X7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7" s="1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7" s="1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7" s="75">
        <v>0</v>
      </c>
      <c r="AB7" s="29">
        <v>0</v>
      </c>
      <c r="AC7" s="29">
        <v>0</v>
      </c>
      <c r="AD7" s="29">
        <v>0</v>
      </c>
      <c r="AE7" s="33" t="s">
        <v>74</v>
      </c>
      <c r="AF7" s="29">
        <v>0</v>
      </c>
      <c r="AG7" s="23">
        <v>372.6579837191145</v>
      </c>
      <c r="AH7" s="29">
        <f>IF(ISNUMBER(Tabella2[[#This Row],[Mean RADIAL stress  (MPa)]]), Tabella2[[#This Row],[Mean RADIAL stress  (MPa)]],"")</f>
        <v>0</v>
      </c>
      <c r="AI7" s="29">
        <f>IF(ISNUMBER(Tabella2[[#This Row],[Amplitute RADIAL stress  (MPa)]]), Tabella2[[#This Row],[Amplitute RADIAL stress  (MPa)]],"")</f>
        <v>0</v>
      </c>
      <c r="AJ7" s="29" t="str">
        <f>IF(ISNUMBER(Tabella2[[#This Row],[Mean AXIAL stress  (MPa)]]), IF(Tabella2[[#This Row],[derived from (AXIAL/BENDING) load]]="AXIAL",Tabella2[[#This Row],[Mean AXIAL stress  (MPa)]]*Tabella2[[#This Row],[Area (mm^2)]],"Null"), "")</f>
        <v>Null</v>
      </c>
      <c r="AK7" s="29" t="str">
        <f>IF(ISNUMBER(Tabella2[[#This Row],[Amplitute AXIAL stress  (MPa)]]),    IF(Tabella2[[#This Row],[derived from (AXIAL/BENDING) load]]="AXIAL",Tabella2[[#This Row],[Amplitute AXIAL stress  (MPa)]]*Tabella2[[#This Row],[Area (mm^2)]],"Null"), "")</f>
        <v>Null</v>
      </c>
      <c r="AL7" s="29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0</v>
      </c>
      <c r="AM7" s="29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0</v>
      </c>
      <c r="AN7" s="29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7" s="2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126439.87506698392</v>
      </c>
      <c r="AP7" s="50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7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645.46256164768181</v>
      </c>
    </row>
    <row r="8" spans="1:43" ht="20.100000000000001" customHeight="1" x14ac:dyDescent="0.25">
      <c r="A8" s="1" t="s">
        <v>35</v>
      </c>
      <c r="B8" s="1">
        <v>2018</v>
      </c>
      <c r="C8" s="1" t="s">
        <v>37</v>
      </c>
      <c r="D8" s="1" t="s">
        <v>42</v>
      </c>
      <c r="E8" s="14">
        <v>4540.3384530670101</v>
      </c>
      <c r="F8" s="1" t="s">
        <v>20</v>
      </c>
      <c r="G8" s="21" t="s">
        <v>38</v>
      </c>
      <c r="H8" s="1" t="e" vm="1">
        <v>#VALUE!</v>
      </c>
      <c r="I8" s="1" t="s">
        <v>27</v>
      </c>
      <c r="J8" s="1" t="s">
        <v>32</v>
      </c>
      <c r="K8" s="1" t="s">
        <v>21</v>
      </c>
      <c r="L8" s="1" t="s">
        <v>21</v>
      </c>
      <c r="M8" s="1">
        <v>0</v>
      </c>
      <c r="N8" s="1">
        <v>12</v>
      </c>
      <c r="O8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113.09733552923255</v>
      </c>
      <c r="P8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1017.8760197630929</v>
      </c>
      <c r="Q8" s="2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2035.7520395261859</v>
      </c>
      <c r="R8" s="1">
        <v>0</v>
      </c>
      <c r="S8" s="1">
        <v>0</v>
      </c>
      <c r="T8" s="1">
        <v>0</v>
      </c>
      <c r="U8" s="28" t="s">
        <v>85</v>
      </c>
      <c r="V8" s="33" t="s">
        <v>85</v>
      </c>
      <c r="W8" s="33" t="s">
        <v>85</v>
      </c>
      <c r="X8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8" s="1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8" s="1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8" s="75">
        <v>0</v>
      </c>
      <c r="AB8" s="29">
        <v>0</v>
      </c>
      <c r="AC8" s="29">
        <v>0</v>
      </c>
      <c r="AD8" s="29">
        <v>0</v>
      </c>
      <c r="AE8" s="33" t="s">
        <v>74</v>
      </c>
      <c r="AF8" s="29">
        <v>0</v>
      </c>
      <c r="AG8" s="23">
        <v>356.77786337098053</v>
      </c>
      <c r="AH8" s="29">
        <f>IF(ISNUMBER(Tabella2[[#This Row],[Mean RADIAL stress  (MPa)]]), Tabella2[[#This Row],[Mean RADIAL stress  (MPa)]],"")</f>
        <v>0</v>
      </c>
      <c r="AI8" s="29">
        <f>IF(ISNUMBER(Tabella2[[#This Row],[Amplitute RADIAL stress  (MPa)]]), Tabella2[[#This Row],[Amplitute RADIAL stress  (MPa)]],"")</f>
        <v>0</v>
      </c>
      <c r="AJ8" s="29" t="str">
        <f>IF(ISNUMBER(Tabella2[[#This Row],[Mean AXIAL stress  (MPa)]]), IF(Tabella2[[#This Row],[derived from (AXIAL/BENDING) load]]="AXIAL",Tabella2[[#This Row],[Mean AXIAL stress  (MPa)]]*Tabella2[[#This Row],[Area (mm^2)]],"Null"), "")</f>
        <v>Null</v>
      </c>
      <c r="AK8" s="29" t="str">
        <f>IF(ISNUMBER(Tabella2[[#This Row],[Amplitute AXIAL stress  (MPa)]]),    IF(Tabella2[[#This Row],[derived from (AXIAL/BENDING) load]]="AXIAL",Tabella2[[#This Row],[Amplitute AXIAL stress  (MPa)]]*Tabella2[[#This Row],[Area (mm^2)]],"Null"), "")</f>
        <v>Null</v>
      </c>
      <c r="AL8" s="29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0</v>
      </c>
      <c r="AM8" s="29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0</v>
      </c>
      <c r="AN8" s="29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8" s="2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121051.87716921141</v>
      </c>
      <c r="AP8" s="50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8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617.95738637440536</v>
      </c>
    </row>
    <row r="9" spans="1:43" ht="20.100000000000001" customHeight="1" x14ac:dyDescent="0.25">
      <c r="A9" s="1" t="s">
        <v>35</v>
      </c>
      <c r="B9" s="1">
        <v>2018</v>
      </c>
      <c r="C9" s="1" t="s">
        <v>37</v>
      </c>
      <c r="D9" s="1" t="s">
        <v>42</v>
      </c>
      <c r="E9" s="14">
        <v>100239.404671478</v>
      </c>
      <c r="F9" s="1" t="s">
        <v>20</v>
      </c>
      <c r="G9" s="21" t="s">
        <v>38</v>
      </c>
      <c r="H9" s="1" t="e" vm="1">
        <v>#VALUE!</v>
      </c>
      <c r="I9" s="1" t="s">
        <v>27</v>
      </c>
      <c r="J9" s="1" t="s">
        <v>32</v>
      </c>
      <c r="K9" s="1" t="s">
        <v>21</v>
      </c>
      <c r="L9" s="1" t="s">
        <v>21</v>
      </c>
      <c r="M9" s="1">
        <v>0</v>
      </c>
      <c r="N9" s="1">
        <v>12</v>
      </c>
      <c r="O9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113.09733552923255</v>
      </c>
      <c r="P9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1017.8760197630929</v>
      </c>
      <c r="Q9" s="2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2035.7520395261859</v>
      </c>
      <c r="R9" s="1">
        <v>0</v>
      </c>
      <c r="S9" s="1">
        <v>0</v>
      </c>
      <c r="T9" s="1">
        <v>0</v>
      </c>
      <c r="U9" s="28" t="s">
        <v>85</v>
      </c>
      <c r="V9" s="33" t="s">
        <v>85</v>
      </c>
      <c r="W9" s="33" t="s">
        <v>85</v>
      </c>
      <c r="X9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9" s="1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9" s="1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9" s="75">
        <v>0</v>
      </c>
      <c r="AB9" s="29">
        <v>0</v>
      </c>
      <c r="AC9" s="29">
        <v>0</v>
      </c>
      <c r="AD9" s="29">
        <v>0</v>
      </c>
      <c r="AE9" s="33" t="s">
        <v>74</v>
      </c>
      <c r="AF9" s="29">
        <v>0</v>
      </c>
      <c r="AG9" s="23">
        <v>314.79250087631601</v>
      </c>
      <c r="AH9" s="29">
        <f>IF(ISNUMBER(Tabella2[[#This Row],[Mean RADIAL stress  (MPa)]]), Tabella2[[#This Row],[Mean RADIAL stress  (MPa)]],"")</f>
        <v>0</v>
      </c>
      <c r="AI9" s="29">
        <f>IF(ISNUMBER(Tabella2[[#This Row],[Amplitute RADIAL stress  (MPa)]]), Tabella2[[#This Row],[Amplitute RADIAL stress  (MPa)]],"")</f>
        <v>0</v>
      </c>
      <c r="AJ9" s="29" t="str">
        <f>IF(ISNUMBER(Tabella2[[#This Row],[Mean AXIAL stress  (MPa)]]), IF(Tabella2[[#This Row],[derived from (AXIAL/BENDING) load]]="AXIAL",Tabella2[[#This Row],[Mean AXIAL stress  (MPa)]]*Tabella2[[#This Row],[Area (mm^2)]],"Null"), "")</f>
        <v>Null</v>
      </c>
      <c r="AK9" s="29" t="str">
        <f>IF(ISNUMBER(Tabella2[[#This Row],[Amplitute AXIAL stress  (MPa)]]),    IF(Tabella2[[#This Row],[derived from (AXIAL/BENDING) load]]="AXIAL",Tabella2[[#This Row],[Amplitute AXIAL stress  (MPa)]]*Tabella2[[#This Row],[Area (mm^2)]],"Null"), "")</f>
        <v>Null</v>
      </c>
      <c r="AL9" s="29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0</v>
      </c>
      <c r="AM9" s="29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0</v>
      </c>
      <c r="AN9" s="29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9" s="2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106806.57928108482</v>
      </c>
      <c r="AP9" s="50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9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545.23660535944964</v>
      </c>
    </row>
    <row r="10" spans="1:43" ht="20.100000000000001" customHeight="1" x14ac:dyDescent="0.25">
      <c r="A10" s="1" t="s">
        <v>35</v>
      </c>
      <c r="B10" s="1">
        <v>2018</v>
      </c>
      <c r="C10" s="1" t="s">
        <v>37</v>
      </c>
      <c r="D10" s="1" t="s">
        <v>43</v>
      </c>
      <c r="E10" s="14">
        <v>8621.0969314316008</v>
      </c>
      <c r="F10" s="1" t="s">
        <v>20</v>
      </c>
      <c r="G10" s="21" t="s">
        <v>38</v>
      </c>
      <c r="H10" s="1" t="e" vm="1">
        <v>#VALUE!</v>
      </c>
      <c r="I10" s="1" t="s">
        <v>27</v>
      </c>
      <c r="J10" s="1" t="s">
        <v>32</v>
      </c>
      <c r="K10" s="1" t="s">
        <v>21</v>
      </c>
      <c r="L10" s="1" t="s">
        <v>21</v>
      </c>
      <c r="M10" s="1">
        <v>0</v>
      </c>
      <c r="N10" s="1">
        <v>12</v>
      </c>
      <c r="O10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113.09733552923255</v>
      </c>
      <c r="P10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1017.8760197630929</v>
      </c>
      <c r="Q10" s="2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2035.7520395261859</v>
      </c>
      <c r="R10" s="1">
        <v>0</v>
      </c>
      <c r="S10" s="1">
        <v>0</v>
      </c>
      <c r="T10" s="1">
        <v>0</v>
      </c>
      <c r="U10" s="28" t="s">
        <v>85</v>
      </c>
      <c r="V10" s="33" t="s">
        <v>85</v>
      </c>
      <c r="W10" s="33" t="s">
        <v>85</v>
      </c>
      <c r="X10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0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0" s="1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10" s="75">
        <v>0</v>
      </c>
      <c r="AB10" s="29">
        <v>0</v>
      </c>
      <c r="AC10" s="29">
        <v>0</v>
      </c>
      <c r="AD10" s="29">
        <v>169.02185662470109</v>
      </c>
      <c r="AE10" s="33" t="s">
        <v>74</v>
      </c>
      <c r="AF10" s="29">
        <v>0</v>
      </c>
      <c r="AG10" s="23">
        <v>292.75444326360451</v>
      </c>
      <c r="AH10" s="29">
        <f>IF(ISNUMBER(Tabella2[[#This Row],[Mean RADIAL stress  (MPa)]]), Tabella2[[#This Row],[Mean RADIAL stress  (MPa)]],"")</f>
        <v>0</v>
      </c>
      <c r="AI10" s="29">
        <f>IF(ISNUMBER(Tabella2[[#This Row],[Amplitute RADIAL stress  (MPa)]]), Tabella2[[#This Row],[Amplitute RADIAL stress  (MPa)]],"")</f>
        <v>0</v>
      </c>
      <c r="AJ10" s="29" t="str">
        <f>IF(ISNUMBER(Tabella2[[#This Row],[Mean AXIAL stress  (MPa)]]), IF(Tabella2[[#This Row],[derived from (AXIAL/BENDING) load]]="AXIAL",Tabella2[[#This Row],[Mean AXIAL stress  (MPa)]]*Tabella2[[#This Row],[Area (mm^2)]],"Null"), "")</f>
        <v>Null</v>
      </c>
      <c r="AK10" s="29" t="str">
        <f>IF(ISNUMBER(Tabella2[[#This Row],[Amplitute AXIAL stress  (MPa)]]),    IF(Tabella2[[#This Row],[derived from (AXIAL/BENDING) load]]="AXIAL",Tabella2[[#This Row],[Amplitute AXIAL stress  (MPa)]]*Tabella2[[#This Row],[Area (mm^2)]],"Null"), "")</f>
        <v>Null</v>
      </c>
      <c r="AL10" s="29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0</v>
      </c>
      <c r="AM10" s="29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28673.882445686482</v>
      </c>
      <c r="AN10" s="29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0" s="2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99329.24249237265</v>
      </c>
      <c r="AP10" s="50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1.7320508075688774</v>
      </c>
      <c r="AQ10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534.49404128447497</v>
      </c>
    </row>
    <row r="11" spans="1:43" ht="20.100000000000001" customHeight="1" x14ac:dyDescent="0.25">
      <c r="A11" s="1" t="s">
        <v>35</v>
      </c>
      <c r="B11" s="1">
        <v>2018</v>
      </c>
      <c r="C11" s="1" t="s">
        <v>37</v>
      </c>
      <c r="D11" s="1" t="s">
        <v>43</v>
      </c>
      <c r="E11" s="14">
        <v>13553.0136757449</v>
      </c>
      <c r="F11" s="1" t="s">
        <v>20</v>
      </c>
      <c r="G11" s="21" t="s">
        <v>38</v>
      </c>
      <c r="H11" s="1" t="e" vm="1">
        <v>#VALUE!</v>
      </c>
      <c r="I11" s="1" t="s">
        <v>27</v>
      </c>
      <c r="J11" s="1" t="s">
        <v>32</v>
      </c>
      <c r="K11" s="1" t="s">
        <v>21</v>
      </c>
      <c r="L11" s="1" t="s">
        <v>21</v>
      </c>
      <c r="M11" s="1">
        <v>0</v>
      </c>
      <c r="N11" s="1">
        <v>12</v>
      </c>
      <c r="O11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113.09733552923255</v>
      </c>
      <c r="P11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1017.8760197630929</v>
      </c>
      <c r="Q11" s="2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2035.7520395261859</v>
      </c>
      <c r="R11" s="1">
        <v>0</v>
      </c>
      <c r="S11" s="1">
        <v>0</v>
      </c>
      <c r="T11" s="1">
        <v>0</v>
      </c>
      <c r="U11" s="28" t="s">
        <v>85</v>
      </c>
      <c r="V11" s="33" t="s">
        <v>85</v>
      </c>
      <c r="W11" s="33" t="s">
        <v>85</v>
      </c>
      <c r="X11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1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1" s="1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11" s="75">
        <v>0</v>
      </c>
      <c r="AB11" s="29">
        <v>0</v>
      </c>
      <c r="AC11" s="29">
        <v>0</v>
      </c>
      <c r="AD11" s="29">
        <v>152.69106782674334</v>
      </c>
      <c r="AE11" s="33" t="s">
        <v>74</v>
      </c>
      <c r="AF11" s="29">
        <v>0</v>
      </c>
      <c r="AG11" s="23">
        <v>264.46868733786499</v>
      </c>
      <c r="AH11" s="29">
        <f>IF(ISNUMBER(Tabella2[[#This Row],[Mean RADIAL stress  (MPa)]]), Tabella2[[#This Row],[Mean RADIAL stress  (MPa)]],"")</f>
        <v>0</v>
      </c>
      <c r="AI11" s="29">
        <f>IF(ISNUMBER(Tabella2[[#This Row],[Amplitute RADIAL stress  (MPa)]]), Tabella2[[#This Row],[Amplitute RADIAL stress  (MPa)]],"")</f>
        <v>0</v>
      </c>
      <c r="AJ11" s="29" t="str">
        <f>IF(ISNUMBER(Tabella2[[#This Row],[Mean AXIAL stress  (MPa)]]), IF(Tabella2[[#This Row],[derived from (AXIAL/BENDING) load]]="AXIAL",Tabella2[[#This Row],[Mean AXIAL stress  (MPa)]]*Tabella2[[#This Row],[Area (mm^2)]],"Null"), "")</f>
        <v>Null</v>
      </c>
      <c r="AK11" s="29" t="str">
        <f>IF(ISNUMBER(Tabella2[[#This Row],[Amplitute AXIAL stress  (MPa)]]),    IF(Tabella2[[#This Row],[derived from (AXIAL/BENDING) load]]="AXIAL",Tabella2[[#This Row],[Amplitute AXIAL stress  (MPa)]]*Tabella2[[#This Row],[Area (mm^2)]],"Null"), "")</f>
        <v>Null</v>
      </c>
      <c r="AL11" s="29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0</v>
      </c>
      <c r="AM11" s="29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25903.429395476993</v>
      </c>
      <c r="AN11" s="29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1" s="2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89732.111606478633</v>
      </c>
      <c r="AP11" s="50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1.7320508075688772</v>
      </c>
      <c r="AQ11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482.85155269576518</v>
      </c>
    </row>
    <row r="12" spans="1:43" ht="20.100000000000001" customHeight="1" x14ac:dyDescent="0.25">
      <c r="A12" s="1" t="s">
        <v>35</v>
      </c>
      <c r="B12" s="1">
        <v>2018</v>
      </c>
      <c r="C12" s="1" t="s">
        <v>37</v>
      </c>
      <c r="D12" s="1" t="s">
        <v>43</v>
      </c>
      <c r="E12" s="14">
        <v>48585.384940432501</v>
      </c>
      <c r="F12" s="1" t="s">
        <v>20</v>
      </c>
      <c r="G12" s="21" t="s">
        <v>38</v>
      </c>
      <c r="H12" s="1" t="e" vm="1">
        <v>#VALUE!</v>
      </c>
      <c r="I12" s="1" t="s">
        <v>27</v>
      </c>
      <c r="J12" s="1" t="s">
        <v>32</v>
      </c>
      <c r="K12" s="1" t="s">
        <v>21</v>
      </c>
      <c r="L12" s="1" t="s">
        <v>21</v>
      </c>
      <c r="M12" s="1">
        <v>0</v>
      </c>
      <c r="N12" s="1">
        <v>12</v>
      </c>
      <c r="O12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113.09733552923255</v>
      </c>
      <c r="P12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1017.8760197630929</v>
      </c>
      <c r="Q12" s="2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2035.7520395261859</v>
      </c>
      <c r="R12" s="1">
        <v>0</v>
      </c>
      <c r="S12" s="1">
        <v>0</v>
      </c>
      <c r="T12" s="1">
        <v>0</v>
      </c>
      <c r="U12" s="28" t="s">
        <v>85</v>
      </c>
      <c r="V12" s="33" t="s">
        <v>85</v>
      </c>
      <c r="W12" s="33" t="s">
        <v>85</v>
      </c>
      <c r="X12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2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2" s="1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12" s="75">
        <v>0</v>
      </c>
      <c r="AB12" s="29">
        <v>0</v>
      </c>
      <c r="AC12" s="29">
        <v>0</v>
      </c>
      <c r="AD12" s="29">
        <v>142.0014404044108</v>
      </c>
      <c r="AE12" s="33" t="s">
        <v>74</v>
      </c>
      <c r="AF12" s="29">
        <v>0</v>
      </c>
      <c r="AG12" s="23">
        <v>245.95370952840349</v>
      </c>
      <c r="AH12" s="29">
        <f>IF(ISNUMBER(Tabella2[[#This Row],[Mean RADIAL stress  (MPa)]]), Tabella2[[#This Row],[Mean RADIAL stress  (MPa)]],"")</f>
        <v>0</v>
      </c>
      <c r="AI12" s="29">
        <f>IF(ISNUMBER(Tabella2[[#This Row],[Amplitute RADIAL stress  (MPa)]]), Tabella2[[#This Row],[Amplitute RADIAL stress  (MPa)]],"")</f>
        <v>0</v>
      </c>
      <c r="AJ12" s="29" t="str">
        <f>IF(ISNUMBER(Tabella2[[#This Row],[Mean AXIAL stress  (MPa)]]), IF(Tabella2[[#This Row],[derived from (AXIAL/BENDING) load]]="AXIAL",Tabella2[[#This Row],[Mean AXIAL stress  (MPa)]]*Tabella2[[#This Row],[Area (mm^2)]],"Null"), "")</f>
        <v>Null</v>
      </c>
      <c r="AK12" s="29" t="str">
        <f>IF(ISNUMBER(Tabella2[[#This Row],[Amplitute AXIAL stress  (MPa)]]),    IF(Tabella2[[#This Row],[derived from (AXIAL/BENDING) load]]="AXIAL",Tabella2[[#This Row],[Amplitute AXIAL stress  (MPa)]]*Tabella2[[#This Row],[Area (mm^2)]],"Null"), "")</f>
        <v>Null</v>
      </c>
      <c r="AL12" s="29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0</v>
      </c>
      <c r="AM12" s="29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24089.976826577953</v>
      </c>
      <c r="AN12" s="29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2" s="2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83450.127633579759</v>
      </c>
      <c r="AP12" s="50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1.732050807568877</v>
      </c>
      <c r="AQ12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449.04798270259971</v>
      </c>
    </row>
    <row r="13" spans="1:43" ht="20.100000000000001" customHeight="1" x14ac:dyDescent="0.25">
      <c r="A13" s="1" t="s">
        <v>35</v>
      </c>
      <c r="B13" s="1">
        <v>2018</v>
      </c>
      <c r="C13" s="1" t="s">
        <v>37</v>
      </c>
      <c r="D13" s="1" t="s">
        <v>43</v>
      </c>
      <c r="E13" s="14">
        <v>254887.560263961</v>
      </c>
      <c r="F13" s="1" t="s">
        <v>20</v>
      </c>
      <c r="G13" s="21" t="s">
        <v>38</v>
      </c>
      <c r="H13" s="1" t="e" vm="1">
        <v>#VALUE!</v>
      </c>
      <c r="I13" s="1" t="s">
        <v>27</v>
      </c>
      <c r="J13" s="1" t="s">
        <v>32</v>
      </c>
      <c r="K13" s="1" t="s">
        <v>21</v>
      </c>
      <c r="L13" s="1" t="s">
        <v>21</v>
      </c>
      <c r="M13" s="1">
        <v>0</v>
      </c>
      <c r="N13" s="1">
        <v>12</v>
      </c>
      <c r="O13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113.09733552923255</v>
      </c>
      <c r="P13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1017.8760197630929</v>
      </c>
      <c r="Q13" s="2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2035.7520395261859</v>
      </c>
      <c r="R13" s="1">
        <v>0</v>
      </c>
      <c r="S13" s="1">
        <v>0</v>
      </c>
      <c r="T13" s="1">
        <v>0</v>
      </c>
      <c r="U13" s="28" t="s">
        <v>85</v>
      </c>
      <c r="V13" s="33" t="s">
        <v>85</v>
      </c>
      <c r="W13" s="33" t="s">
        <v>85</v>
      </c>
      <c r="X13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3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3" s="1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13" s="75">
        <v>0</v>
      </c>
      <c r="AB13" s="29">
        <v>0</v>
      </c>
      <c r="AC13" s="29">
        <v>0</v>
      </c>
      <c r="AD13" s="29">
        <v>125.51835800958752</v>
      </c>
      <c r="AE13" s="33" t="s">
        <v>74</v>
      </c>
      <c r="AF13" s="29">
        <v>0</v>
      </c>
      <c r="AG13" s="23">
        <v>217.40417335522551</v>
      </c>
      <c r="AH13" s="29">
        <f>IF(ISNUMBER(Tabella2[[#This Row],[Mean RADIAL stress  (MPa)]]), Tabella2[[#This Row],[Mean RADIAL stress  (MPa)]],"")</f>
        <v>0</v>
      </c>
      <c r="AI13" s="29">
        <f>IF(ISNUMBER(Tabella2[[#This Row],[Amplitute RADIAL stress  (MPa)]]), Tabella2[[#This Row],[Amplitute RADIAL stress  (MPa)]],"")</f>
        <v>0</v>
      </c>
      <c r="AJ13" s="29" t="str">
        <f>IF(ISNUMBER(Tabella2[[#This Row],[Mean AXIAL stress  (MPa)]]), IF(Tabella2[[#This Row],[derived from (AXIAL/BENDING) load]]="AXIAL",Tabella2[[#This Row],[Mean AXIAL stress  (MPa)]]*Tabella2[[#This Row],[Area (mm^2)]],"Null"), "")</f>
        <v>Null</v>
      </c>
      <c r="AK13" s="29" t="str">
        <f>IF(ISNUMBER(Tabella2[[#This Row],[Amplitute AXIAL stress  (MPa)]]),    IF(Tabella2[[#This Row],[derived from (AXIAL/BENDING) load]]="AXIAL",Tabella2[[#This Row],[Amplitute AXIAL stress  (MPa)]]*Tabella2[[#This Row],[Area (mm^2)]],"Null"), "")</f>
        <v>Null</v>
      </c>
      <c r="AL13" s="29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0</v>
      </c>
      <c r="AM13" s="29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21293.687776332979</v>
      </c>
      <c r="AN13" s="29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3" s="2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73763.498218234134</v>
      </c>
      <c r="AP13" s="50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1.7320508075688772</v>
      </c>
      <c r="AQ13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396.92389947473538</v>
      </c>
    </row>
    <row r="14" spans="1:43" ht="20.100000000000001" customHeight="1" x14ac:dyDescent="0.25">
      <c r="A14" s="1" t="s">
        <v>35</v>
      </c>
      <c r="B14" s="1">
        <v>2018</v>
      </c>
      <c r="C14" s="1" t="s">
        <v>37</v>
      </c>
      <c r="D14" s="1" t="s">
        <v>44</v>
      </c>
      <c r="E14" s="14">
        <v>8351.3819979889595</v>
      </c>
      <c r="F14" s="1" t="s">
        <v>20</v>
      </c>
      <c r="G14" s="21" t="s">
        <v>38</v>
      </c>
      <c r="H14" s="1" t="e" vm="1">
        <v>#VALUE!</v>
      </c>
      <c r="I14" s="1" t="s">
        <v>27</v>
      </c>
      <c r="J14" s="1" t="s">
        <v>32</v>
      </c>
      <c r="K14" s="1" t="s">
        <v>21</v>
      </c>
      <c r="L14" s="1" t="s">
        <v>21</v>
      </c>
      <c r="M14" s="1">
        <v>0</v>
      </c>
      <c r="N14" s="1">
        <v>12</v>
      </c>
      <c r="O14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113.09733552923255</v>
      </c>
      <c r="P14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1017.8760197630929</v>
      </c>
      <c r="Q14" s="2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2035.7520395261859</v>
      </c>
      <c r="R14" s="1">
        <v>0</v>
      </c>
      <c r="S14" s="1">
        <v>0</v>
      </c>
      <c r="T14" s="1">
        <v>90</v>
      </c>
      <c r="U14" s="28" t="s">
        <v>85</v>
      </c>
      <c r="V14" s="33" t="s">
        <v>85</v>
      </c>
      <c r="W14" s="33" t="s">
        <v>85</v>
      </c>
      <c r="X14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4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4" s="1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14" s="75">
        <v>0</v>
      </c>
      <c r="AB14" s="29">
        <v>0</v>
      </c>
      <c r="AC14" s="29">
        <v>0</v>
      </c>
      <c r="AD14" s="29">
        <v>171.49325537488974</v>
      </c>
      <c r="AE14" s="33" t="s">
        <v>74</v>
      </c>
      <c r="AF14" s="29">
        <v>0</v>
      </c>
      <c r="AG14" s="23">
        <v>297.03503146469347</v>
      </c>
      <c r="AH14" s="29">
        <f>IF(ISNUMBER(Tabella2[[#This Row],[Mean RADIAL stress  (MPa)]]), Tabella2[[#This Row],[Mean RADIAL stress  (MPa)]],"")</f>
        <v>0</v>
      </c>
      <c r="AI14" s="29">
        <f>IF(ISNUMBER(Tabella2[[#This Row],[Amplitute RADIAL stress  (MPa)]]), Tabella2[[#This Row],[Amplitute RADIAL stress  (MPa)]],"")</f>
        <v>0</v>
      </c>
      <c r="AJ14" s="29" t="str">
        <f>IF(ISNUMBER(Tabella2[[#This Row],[Mean AXIAL stress  (MPa)]]), IF(Tabella2[[#This Row],[derived from (AXIAL/BENDING) load]]="AXIAL",Tabella2[[#This Row],[Mean AXIAL stress  (MPa)]]*Tabella2[[#This Row],[Area (mm^2)]],"Null"), "")</f>
        <v>Null</v>
      </c>
      <c r="AK14" s="29" t="str">
        <f>IF(ISNUMBER(Tabella2[[#This Row],[Amplitute AXIAL stress  (MPa)]]),    IF(Tabella2[[#This Row],[derived from (AXIAL/BENDING) load]]="AXIAL",Tabella2[[#This Row],[Amplitute AXIAL stress  (MPa)]]*Tabella2[[#This Row],[Area (mm^2)]],"Null"), "")</f>
        <v>Null</v>
      </c>
      <c r="AL14" s="29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0</v>
      </c>
      <c r="AM14" s="29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29093.145366201399</v>
      </c>
      <c r="AN14" s="29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4" s="2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100781.61185249576</v>
      </c>
      <c r="AP14" s="50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1.7320508075688772</v>
      </c>
      <c r="AQ14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542.30929034156463</v>
      </c>
    </row>
    <row r="15" spans="1:43" ht="20.100000000000001" customHeight="1" x14ac:dyDescent="0.25">
      <c r="A15" s="1" t="s">
        <v>35</v>
      </c>
      <c r="B15" s="1">
        <v>2018</v>
      </c>
      <c r="C15" s="1" t="s">
        <v>37</v>
      </c>
      <c r="D15" s="1" t="s">
        <v>44</v>
      </c>
      <c r="E15" s="14">
        <v>13129.0014867423</v>
      </c>
      <c r="F15" s="1" t="s">
        <v>20</v>
      </c>
      <c r="G15" s="21" t="s">
        <v>38</v>
      </c>
      <c r="H15" s="1" t="e" vm="1">
        <v>#VALUE!</v>
      </c>
      <c r="I15" s="1" t="s">
        <v>27</v>
      </c>
      <c r="J15" s="1" t="s">
        <v>32</v>
      </c>
      <c r="K15" s="1" t="s">
        <v>21</v>
      </c>
      <c r="L15" s="1" t="s">
        <v>21</v>
      </c>
      <c r="M15" s="1">
        <v>0</v>
      </c>
      <c r="N15" s="1">
        <v>12</v>
      </c>
      <c r="O15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113.09733552923255</v>
      </c>
      <c r="P15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1017.8760197630929</v>
      </c>
      <c r="Q15" s="2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2035.7520395261859</v>
      </c>
      <c r="R15" s="1">
        <v>0</v>
      </c>
      <c r="S15" s="1">
        <v>0</v>
      </c>
      <c r="T15" s="1">
        <v>90</v>
      </c>
      <c r="U15" s="28" t="s">
        <v>85</v>
      </c>
      <c r="V15" s="33" t="s">
        <v>85</v>
      </c>
      <c r="W15" s="33" t="s">
        <v>85</v>
      </c>
      <c r="X15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5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5" s="1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15" s="75">
        <v>0</v>
      </c>
      <c r="AB15" s="29">
        <v>0</v>
      </c>
      <c r="AC15" s="29">
        <v>0</v>
      </c>
      <c r="AD15" s="29">
        <v>154.923681535572</v>
      </c>
      <c r="AE15" s="33" t="s">
        <v>74</v>
      </c>
      <c r="AF15" s="29">
        <v>0</v>
      </c>
      <c r="AG15" s="23">
        <v>268.33568771523102</v>
      </c>
      <c r="AH15" s="29">
        <f>IF(ISNUMBER(Tabella2[[#This Row],[Mean RADIAL stress  (MPa)]]), Tabella2[[#This Row],[Mean RADIAL stress  (MPa)]],"")</f>
        <v>0</v>
      </c>
      <c r="AI15" s="29">
        <f>IF(ISNUMBER(Tabella2[[#This Row],[Amplitute RADIAL stress  (MPa)]]), Tabella2[[#This Row],[Amplitute RADIAL stress  (MPa)]],"")</f>
        <v>0</v>
      </c>
      <c r="AJ15" s="29" t="str">
        <f>IF(ISNUMBER(Tabella2[[#This Row],[Mean AXIAL stress  (MPa)]]), IF(Tabella2[[#This Row],[derived from (AXIAL/BENDING) load]]="AXIAL",Tabella2[[#This Row],[Mean AXIAL stress  (MPa)]]*Tabella2[[#This Row],[Area (mm^2)]],"Null"), "")</f>
        <v>Null</v>
      </c>
      <c r="AK15" s="29" t="str">
        <f>IF(ISNUMBER(Tabella2[[#This Row],[Amplitute AXIAL stress  (MPa)]]),    IF(Tabella2[[#This Row],[derived from (AXIAL/BENDING) load]]="AXIAL",Tabella2[[#This Row],[Amplitute AXIAL stress  (MPa)]]*Tabella2[[#This Row],[Area (mm^2)]],"Null"), "")</f>
        <v>Null</v>
      </c>
      <c r="AL15" s="29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0</v>
      </c>
      <c r="AM15" s="29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26282.183388078833</v>
      </c>
      <c r="AN15" s="29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5" s="2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91044.15392399054</v>
      </c>
      <c r="AP15" s="50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1.7320508075688772</v>
      </c>
      <c r="AQ15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489.91169715097971</v>
      </c>
    </row>
    <row r="16" spans="1:43" ht="20.100000000000001" customHeight="1" x14ac:dyDescent="0.25">
      <c r="A16" s="1" t="s">
        <v>35</v>
      </c>
      <c r="B16" s="1">
        <v>2018</v>
      </c>
      <c r="C16" s="1" t="s">
        <v>37</v>
      </c>
      <c r="D16" s="1" t="s">
        <v>44</v>
      </c>
      <c r="E16" s="14">
        <v>40166.1089711694</v>
      </c>
      <c r="F16" s="1" t="s">
        <v>20</v>
      </c>
      <c r="G16" s="21" t="s">
        <v>38</v>
      </c>
      <c r="H16" s="1" t="e" vm="1">
        <v>#VALUE!</v>
      </c>
      <c r="I16" s="1" t="s">
        <v>27</v>
      </c>
      <c r="J16" s="1" t="s">
        <v>32</v>
      </c>
      <c r="K16" s="1" t="s">
        <v>21</v>
      </c>
      <c r="L16" s="1" t="s">
        <v>21</v>
      </c>
      <c r="M16" s="1">
        <v>0</v>
      </c>
      <c r="N16" s="1">
        <v>12</v>
      </c>
      <c r="O16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113.09733552923255</v>
      </c>
      <c r="P16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1017.8760197630929</v>
      </c>
      <c r="Q16" s="2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2035.7520395261859</v>
      </c>
      <c r="R16" s="1">
        <v>0</v>
      </c>
      <c r="S16" s="1">
        <v>0</v>
      </c>
      <c r="T16" s="1">
        <v>90</v>
      </c>
      <c r="U16" s="28" t="s">
        <v>85</v>
      </c>
      <c r="V16" s="33" t="s">
        <v>85</v>
      </c>
      <c r="W16" s="33" t="s">
        <v>85</v>
      </c>
      <c r="X16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6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6" s="1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16" s="75">
        <v>0</v>
      </c>
      <c r="AB16" s="29">
        <v>0</v>
      </c>
      <c r="AC16" s="29">
        <v>0</v>
      </c>
      <c r="AD16" s="29">
        <v>143.03582919369447</v>
      </c>
      <c r="AE16" s="33" t="s">
        <v>74</v>
      </c>
      <c r="AF16" s="29">
        <v>0</v>
      </c>
      <c r="AG16" s="23">
        <v>247.74532346622249</v>
      </c>
      <c r="AH16" s="29">
        <f>IF(ISNUMBER(Tabella2[[#This Row],[Mean RADIAL stress  (MPa)]]), Tabella2[[#This Row],[Mean RADIAL stress  (MPa)]],"")</f>
        <v>0</v>
      </c>
      <c r="AI16" s="29">
        <f>IF(ISNUMBER(Tabella2[[#This Row],[Amplitute RADIAL stress  (MPa)]]), Tabella2[[#This Row],[Amplitute RADIAL stress  (MPa)]],"")</f>
        <v>0</v>
      </c>
      <c r="AJ16" s="29" t="str">
        <f>IF(ISNUMBER(Tabella2[[#This Row],[Mean AXIAL stress  (MPa)]]), IF(Tabella2[[#This Row],[derived from (AXIAL/BENDING) load]]="AXIAL",Tabella2[[#This Row],[Mean AXIAL stress  (MPa)]]*Tabella2[[#This Row],[Area (mm^2)]],"Null"), "")</f>
        <v>Null</v>
      </c>
      <c r="AK16" s="29" t="str">
        <f>IF(ISNUMBER(Tabella2[[#This Row],[Amplitute AXIAL stress  (MPa)]]),    IF(Tabella2[[#This Row],[derived from (AXIAL/BENDING) load]]="AXIAL",Tabella2[[#This Row],[Amplitute AXIAL stress  (MPa)]]*Tabella2[[#This Row],[Area (mm^2)]],"Null"), "")</f>
        <v>Null</v>
      </c>
      <c r="AL16" s="29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0</v>
      </c>
      <c r="AM16" s="29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24265.456750531888</v>
      </c>
      <c r="AN16" s="29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6" s="2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84058.007921572847</v>
      </c>
      <c r="AP16" s="50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1.7320508075688772</v>
      </c>
      <c r="AQ16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452.31900726288012</v>
      </c>
    </row>
    <row r="17" spans="1:43" ht="20.100000000000001" customHeight="1" x14ac:dyDescent="0.25">
      <c r="A17" s="1" t="s">
        <v>35</v>
      </c>
      <c r="B17" s="1">
        <v>2018</v>
      </c>
      <c r="C17" s="1" t="s">
        <v>37</v>
      </c>
      <c r="D17" s="1" t="s">
        <v>44</v>
      </c>
      <c r="E17" s="14">
        <v>185623.367455103</v>
      </c>
      <c r="F17" s="1" t="s">
        <v>20</v>
      </c>
      <c r="G17" s="21" t="s">
        <v>38</v>
      </c>
      <c r="H17" s="1" t="e" vm="1">
        <v>#VALUE!</v>
      </c>
      <c r="I17" s="1" t="s">
        <v>27</v>
      </c>
      <c r="J17" s="1" t="s">
        <v>32</v>
      </c>
      <c r="K17" s="1" t="s">
        <v>21</v>
      </c>
      <c r="L17" s="1" t="s">
        <v>21</v>
      </c>
      <c r="M17" s="1">
        <v>0</v>
      </c>
      <c r="N17" s="1">
        <v>12</v>
      </c>
      <c r="O17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113.09733552923255</v>
      </c>
      <c r="P17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1017.8760197630929</v>
      </c>
      <c r="Q17" s="2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2035.7520395261859</v>
      </c>
      <c r="R17" s="1">
        <v>0</v>
      </c>
      <c r="S17" s="1">
        <v>0</v>
      </c>
      <c r="T17" s="1">
        <v>90</v>
      </c>
      <c r="U17" s="28" t="s">
        <v>85</v>
      </c>
      <c r="V17" s="33" t="s">
        <v>85</v>
      </c>
      <c r="W17" s="33" t="s">
        <v>85</v>
      </c>
      <c r="X17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7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7" s="1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17" s="75">
        <v>0</v>
      </c>
      <c r="AB17" s="29">
        <v>0</v>
      </c>
      <c r="AC17" s="29">
        <v>0</v>
      </c>
      <c r="AD17" s="29">
        <v>125.51835800958752</v>
      </c>
      <c r="AE17" s="33" t="s">
        <v>74</v>
      </c>
      <c r="AF17" s="29">
        <v>0</v>
      </c>
      <c r="AG17" s="23">
        <v>217.40417335522551</v>
      </c>
      <c r="AH17" s="29">
        <f>IF(ISNUMBER(Tabella2[[#This Row],[Mean RADIAL stress  (MPa)]]), Tabella2[[#This Row],[Mean RADIAL stress  (MPa)]],"")</f>
        <v>0</v>
      </c>
      <c r="AI17" s="29">
        <f>IF(ISNUMBER(Tabella2[[#This Row],[Amplitute RADIAL stress  (MPa)]]), Tabella2[[#This Row],[Amplitute RADIAL stress  (MPa)]],"")</f>
        <v>0</v>
      </c>
      <c r="AJ17" s="29" t="str">
        <f>IF(ISNUMBER(Tabella2[[#This Row],[Mean AXIAL stress  (MPa)]]), IF(Tabella2[[#This Row],[derived from (AXIAL/BENDING) load]]="AXIAL",Tabella2[[#This Row],[Mean AXIAL stress  (MPa)]]*Tabella2[[#This Row],[Area (mm^2)]],"Null"), "")</f>
        <v>Null</v>
      </c>
      <c r="AK17" s="29" t="str">
        <f>IF(ISNUMBER(Tabella2[[#This Row],[Amplitute AXIAL stress  (MPa)]]),    IF(Tabella2[[#This Row],[derived from (AXIAL/BENDING) load]]="AXIAL",Tabella2[[#This Row],[Amplitute AXIAL stress  (MPa)]]*Tabella2[[#This Row],[Area (mm^2)]],"Null"), "")</f>
        <v>Null</v>
      </c>
      <c r="AL17" s="29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0</v>
      </c>
      <c r="AM17" s="29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21293.687776332979</v>
      </c>
      <c r="AN17" s="29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7" s="2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73763.498218234134</v>
      </c>
      <c r="AP17" s="50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1.7320508075688772</v>
      </c>
      <c r="AQ17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396.92389947473538</v>
      </c>
    </row>
    <row r="18" spans="1:43" ht="20.100000000000001" customHeight="1" x14ac:dyDescent="0.25">
      <c r="A18" s="1" t="s">
        <v>35</v>
      </c>
      <c r="B18" s="1">
        <v>2018</v>
      </c>
      <c r="C18" s="1" t="s">
        <v>37</v>
      </c>
      <c r="D18" s="1" t="s">
        <v>45</v>
      </c>
      <c r="E18" s="14">
        <v>19279.378730674001</v>
      </c>
      <c r="F18" s="1" t="s">
        <v>20</v>
      </c>
      <c r="G18" s="21" t="s">
        <v>38</v>
      </c>
      <c r="H18" s="1" t="e" vm="2">
        <v>#VALUE!</v>
      </c>
      <c r="I18" s="1" t="s">
        <v>27</v>
      </c>
      <c r="J18" s="1" t="s">
        <v>32</v>
      </c>
      <c r="K18" s="1" t="s">
        <v>21</v>
      </c>
      <c r="L18" s="1" t="s">
        <v>21</v>
      </c>
      <c r="M18" s="1">
        <v>0</v>
      </c>
      <c r="N18" s="1">
        <v>12</v>
      </c>
      <c r="O18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113.09733552923255</v>
      </c>
      <c r="P18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1017.8760197630929</v>
      </c>
      <c r="Q18" s="2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2035.7520395261859</v>
      </c>
      <c r="R18" s="1">
        <v>0</v>
      </c>
      <c r="S18" s="1">
        <v>0</v>
      </c>
      <c r="T18" s="1">
        <v>0</v>
      </c>
      <c r="U18" s="28" t="s">
        <v>85</v>
      </c>
      <c r="V18" s="33" t="s">
        <v>85</v>
      </c>
      <c r="W18" s="33" t="s">
        <v>85</v>
      </c>
      <c r="X18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8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8" s="1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18" s="75">
        <v>0</v>
      </c>
      <c r="AB18" s="29">
        <v>0</v>
      </c>
      <c r="AC18" s="29">
        <v>0</v>
      </c>
      <c r="AD18" s="29">
        <v>609.34662407451003</v>
      </c>
      <c r="AE18" s="33" t="s">
        <v>74</v>
      </c>
      <c r="AF18" s="29">
        <v>0</v>
      </c>
      <c r="AG18" s="23">
        <v>0</v>
      </c>
      <c r="AH18" s="29">
        <f>IF(ISNUMBER(Tabella2[[#This Row],[Mean RADIAL stress  (MPa)]]), Tabella2[[#This Row],[Mean RADIAL stress  (MPa)]],"")</f>
        <v>0</v>
      </c>
      <c r="AI18" s="29">
        <f>IF(ISNUMBER(Tabella2[[#This Row],[Amplitute RADIAL stress  (MPa)]]), Tabella2[[#This Row],[Amplitute RADIAL stress  (MPa)]],"")</f>
        <v>0</v>
      </c>
      <c r="AJ18" s="29" t="str">
        <f>IF(ISNUMBER(Tabella2[[#This Row],[Mean AXIAL stress  (MPa)]]), IF(Tabella2[[#This Row],[derived from (AXIAL/BENDING) load]]="AXIAL",Tabella2[[#This Row],[Mean AXIAL stress  (MPa)]]*Tabella2[[#This Row],[Area (mm^2)]],"Null"), "")</f>
        <v>Null</v>
      </c>
      <c r="AK18" s="29" t="str">
        <f>IF(ISNUMBER(Tabella2[[#This Row],[Amplitute AXIAL stress  (MPa)]]),    IF(Tabella2[[#This Row],[derived from (AXIAL/BENDING) load]]="AXIAL",Tabella2[[#This Row],[Amplitute AXIAL stress  (MPa)]]*Tabella2[[#This Row],[Area (mm^2)]],"Null"), "")</f>
        <v>Null</v>
      </c>
      <c r="AL18" s="29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0</v>
      </c>
      <c r="AM18" s="29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103373.21939483999</v>
      </c>
      <c r="AN18" s="29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8" s="2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18" s="50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18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609.34662407451003</v>
      </c>
    </row>
    <row r="19" spans="1:43" ht="20.100000000000001" customHeight="1" x14ac:dyDescent="0.25">
      <c r="A19" s="1" t="s">
        <v>35</v>
      </c>
      <c r="B19" s="1">
        <v>2018</v>
      </c>
      <c r="C19" s="1" t="s">
        <v>37</v>
      </c>
      <c r="D19" s="1" t="s">
        <v>45</v>
      </c>
      <c r="E19" s="14">
        <v>50726.243060808403</v>
      </c>
      <c r="F19" s="1" t="s">
        <v>20</v>
      </c>
      <c r="G19" s="21" t="s">
        <v>38</v>
      </c>
      <c r="H19" s="1" t="e" vm="3">
        <v>#VALUE!</v>
      </c>
      <c r="I19" s="1" t="s">
        <v>27</v>
      </c>
      <c r="J19" s="1" t="s">
        <v>32</v>
      </c>
      <c r="K19" s="1" t="s">
        <v>21</v>
      </c>
      <c r="L19" s="1" t="s">
        <v>21</v>
      </c>
      <c r="M19" s="1">
        <v>0</v>
      </c>
      <c r="N19" s="1">
        <v>12</v>
      </c>
      <c r="O19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113.09733552923255</v>
      </c>
      <c r="P19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1017.8760197630929</v>
      </c>
      <c r="Q19" s="2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2035.7520395261859</v>
      </c>
      <c r="R19" s="1">
        <v>0</v>
      </c>
      <c r="S19" s="1">
        <v>0</v>
      </c>
      <c r="T19" s="1">
        <v>0</v>
      </c>
      <c r="U19" s="28" t="s">
        <v>85</v>
      </c>
      <c r="V19" s="33" t="s">
        <v>85</v>
      </c>
      <c r="W19" s="33" t="s">
        <v>85</v>
      </c>
      <c r="X19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9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9" s="1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19" s="75">
        <v>0</v>
      </c>
      <c r="AB19" s="29">
        <v>0</v>
      </c>
      <c r="AC19" s="29">
        <v>0</v>
      </c>
      <c r="AD19" s="29">
        <v>581.26722490879001</v>
      </c>
      <c r="AE19" s="33" t="s">
        <v>74</v>
      </c>
      <c r="AF19" s="29">
        <v>0</v>
      </c>
      <c r="AG19" s="23">
        <v>0</v>
      </c>
      <c r="AH19" s="29">
        <f>IF(ISNUMBER(Tabella2[[#This Row],[Mean RADIAL stress  (MPa)]]), Tabella2[[#This Row],[Mean RADIAL stress  (MPa)]],"")</f>
        <v>0</v>
      </c>
      <c r="AI19" s="29">
        <f>IF(ISNUMBER(Tabella2[[#This Row],[Amplitute RADIAL stress  (MPa)]]), Tabella2[[#This Row],[Amplitute RADIAL stress  (MPa)]],"")</f>
        <v>0</v>
      </c>
      <c r="AJ19" s="29" t="str">
        <f>IF(ISNUMBER(Tabella2[[#This Row],[Mean AXIAL stress  (MPa)]]), IF(Tabella2[[#This Row],[derived from (AXIAL/BENDING) load]]="AXIAL",Tabella2[[#This Row],[Mean AXIAL stress  (MPa)]]*Tabella2[[#This Row],[Area (mm^2)]],"Null"), "")</f>
        <v>Null</v>
      </c>
      <c r="AK19" s="29" t="str">
        <f>IF(ISNUMBER(Tabella2[[#This Row],[Amplitute AXIAL stress  (MPa)]]),    IF(Tabella2[[#This Row],[derived from (AXIAL/BENDING) load]]="AXIAL",Tabella2[[#This Row],[Amplitute AXIAL stress  (MPa)]]*Tabella2[[#This Row],[Area (mm^2)]],"Null"), "")</f>
        <v>Null</v>
      </c>
      <c r="AL19" s="29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0</v>
      </c>
      <c r="AM19" s="29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98609.661551482961</v>
      </c>
      <c r="AN19" s="29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9" s="2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19" s="50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19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581.26722490879001</v>
      </c>
    </row>
    <row r="20" spans="1:43" ht="20.100000000000001" customHeight="1" x14ac:dyDescent="0.25">
      <c r="A20" s="1" t="s">
        <v>35</v>
      </c>
      <c r="B20" s="1">
        <v>2018</v>
      </c>
      <c r="C20" s="1" t="s">
        <v>37</v>
      </c>
      <c r="D20" s="1" t="s">
        <v>45</v>
      </c>
      <c r="E20" s="14">
        <v>611311.43642663897</v>
      </c>
      <c r="F20" s="1" t="s">
        <v>32</v>
      </c>
      <c r="G20" s="21" t="s">
        <v>38</v>
      </c>
      <c r="H20" s="1" t="e" vm="2">
        <v>#VALUE!</v>
      </c>
      <c r="I20" s="1" t="s">
        <v>27</v>
      </c>
      <c r="J20" s="1" t="s">
        <v>32</v>
      </c>
      <c r="K20" s="1" t="s">
        <v>21</v>
      </c>
      <c r="L20" s="1" t="s">
        <v>21</v>
      </c>
      <c r="M20" s="1">
        <v>0</v>
      </c>
      <c r="N20" s="1">
        <v>12</v>
      </c>
      <c r="O20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113.09733552923255</v>
      </c>
      <c r="P20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1017.8760197630929</v>
      </c>
      <c r="Q20" s="2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2035.7520395261859</v>
      </c>
      <c r="R20" s="1">
        <v>0</v>
      </c>
      <c r="S20" s="1">
        <v>0</v>
      </c>
      <c r="T20" s="1">
        <v>0</v>
      </c>
      <c r="U20" s="28" t="s">
        <v>85</v>
      </c>
      <c r="V20" s="33" t="s">
        <v>85</v>
      </c>
      <c r="W20" s="33" t="s">
        <v>85</v>
      </c>
      <c r="X20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20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20" s="1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20" s="75">
        <v>0</v>
      </c>
      <c r="AB20" s="29">
        <v>0</v>
      </c>
      <c r="AC20" s="29">
        <v>0</v>
      </c>
      <c r="AD20" s="29">
        <v>591.91051673993502</v>
      </c>
      <c r="AE20" s="33" t="s">
        <v>74</v>
      </c>
      <c r="AF20" s="29">
        <v>0</v>
      </c>
      <c r="AG20" s="23">
        <v>0</v>
      </c>
      <c r="AH20" s="29">
        <f>IF(ISNUMBER(Tabella2[[#This Row],[Mean RADIAL stress  (MPa)]]), Tabella2[[#This Row],[Mean RADIAL stress  (MPa)]],"")</f>
        <v>0</v>
      </c>
      <c r="AI20" s="29">
        <f>IF(ISNUMBER(Tabella2[[#This Row],[Amplitute RADIAL stress  (MPa)]]), Tabella2[[#This Row],[Amplitute RADIAL stress  (MPa)]],"")</f>
        <v>0</v>
      </c>
      <c r="AJ20" s="29" t="str">
        <f>IF(ISNUMBER(Tabella2[[#This Row],[Mean AXIAL stress  (MPa)]]), IF(Tabella2[[#This Row],[derived from (AXIAL/BENDING) load]]="AXIAL",Tabella2[[#This Row],[Mean AXIAL stress  (MPa)]]*Tabella2[[#This Row],[Area (mm^2)]],"Null"), "")</f>
        <v>Null</v>
      </c>
      <c r="AK20" s="29" t="str">
        <f>IF(ISNUMBER(Tabella2[[#This Row],[Amplitute AXIAL stress  (MPa)]]),    IF(Tabella2[[#This Row],[derived from (AXIAL/BENDING) load]]="AXIAL",Tabella2[[#This Row],[Amplitute AXIAL stress  (MPa)]]*Tabella2[[#This Row],[Area (mm^2)]],"Null"), "")</f>
        <v>Null</v>
      </c>
      <c r="AL20" s="29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0</v>
      </c>
      <c r="AM20" s="29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100415.25347252678</v>
      </c>
      <c r="AN20" s="29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20" s="2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20" s="50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20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591.91051673993502</v>
      </c>
    </row>
    <row r="21" spans="1:43" ht="20.100000000000001" customHeight="1" x14ac:dyDescent="0.25">
      <c r="A21" s="1" t="s">
        <v>35</v>
      </c>
      <c r="B21" s="1">
        <v>2018</v>
      </c>
      <c r="C21" s="1" t="s">
        <v>37</v>
      </c>
      <c r="D21" s="1" t="s">
        <v>45</v>
      </c>
      <c r="E21" s="14">
        <v>656779.61184379098</v>
      </c>
      <c r="F21" s="1" t="s">
        <v>32</v>
      </c>
      <c r="G21" s="21" t="s">
        <v>38</v>
      </c>
      <c r="H21" s="1" t="e" vm="2">
        <v>#VALUE!</v>
      </c>
      <c r="I21" s="1" t="s">
        <v>27</v>
      </c>
      <c r="J21" s="1" t="s">
        <v>32</v>
      </c>
      <c r="K21" s="1" t="s">
        <v>21</v>
      </c>
      <c r="L21" s="1" t="s">
        <v>21</v>
      </c>
      <c r="M21" s="1">
        <v>0</v>
      </c>
      <c r="N21" s="1">
        <v>12</v>
      </c>
      <c r="O21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113.09733552923255</v>
      </c>
      <c r="P21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1017.8760197630929</v>
      </c>
      <c r="Q21" s="2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2035.7520395261859</v>
      </c>
      <c r="R21" s="1">
        <v>0</v>
      </c>
      <c r="S21" s="1">
        <v>0</v>
      </c>
      <c r="T21" s="1">
        <v>0</v>
      </c>
      <c r="U21" s="28" t="s">
        <v>85</v>
      </c>
      <c r="V21" s="33" t="s">
        <v>85</v>
      </c>
      <c r="W21" s="33" t="s">
        <v>85</v>
      </c>
      <c r="X21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21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21" s="1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21" s="75">
        <v>0</v>
      </c>
      <c r="AB21" s="29">
        <v>0</v>
      </c>
      <c r="AC21" s="29">
        <v>0</v>
      </c>
      <c r="AD21" s="29">
        <v>548.47789562819003</v>
      </c>
      <c r="AE21" s="33" t="s">
        <v>74</v>
      </c>
      <c r="AF21" s="29">
        <v>0</v>
      </c>
      <c r="AG21" s="23">
        <v>0</v>
      </c>
      <c r="AH21" s="29">
        <f>IF(ISNUMBER(Tabella2[[#This Row],[Mean RADIAL stress  (MPa)]]), Tabella2[[#This Row],[Mean RADIAL stress  (MPa)]],"")</f>
        <v>0</v>
      </c>
      <c r="AI21" s="29">
        <f>IF(ISNUMBER(Tabella2[[#This Row],[Amplitute RADIAL stress  (MPa)]]), Tabella2[[#This Row],[Amplitute RADIAL stress  (MPa)]],"")</f>
        <v>0</v>
      </c>
      <c r="AJ21" s="29" t="str">
        <f>IF(ISNUMBER(Tabella2[[#This Row],[Mean AXIAL stress  (MPa)]]), IF(Tabella2[[#This Row],[derived from (AXIAL/BENDING) load]]="AXIAL",Tabella2[[#This Row],[Mean AXIAL stress  (MPa)]]*Tabella2[[#This Row],[Area (mm^2)]],"Null"), "")</f>
        <v>Null</v>
      </c>
      <c r="AK21" s="29" t="str">
        <f>IF(ISNUMBER(Tabella2[[#This Row],[Amplitute AXIAL stress  (MPa)]]),    IF(Tabella2[[#This Row],[derived from (AXIAL/BENDING) load]]="AXIAL",Tabella2[[#This Row],[Amplitute AXIAL stress  (MPa)]]*Tabella2[[#This Row],[Area (mm^2)]],"Null"), "")</f>
        <v>Null</v>
      </c>
      <c r="AL21" s="29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0</v>
      </c>
      <c r="AM21" s="29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93047.082888343197</v>
      </c>
      <c r="AN21" s="29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21" s="2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21" s="50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21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548.47789562819003</v>
      </c>
    </row>
    <row r="22" spans="1:43" ht="20.100000000000001" customHeight="1" x14ac:dyDescent="0.25">
      <c r="A22" s="1" t="s">
        <v>35</v>
      </c>
      <c r="B22" s="1">
        <v>2018</v>
      </c>
      <c r="C22" s="1" t="s">
        <v>37</v>
      </c>
      <c r="D22" s="1" t="s">
        <v>46</v>
      </c>
      <c r="E22" s="14">
        <v>25675.445016501399</v>
      </c>
      <c r="F22" s="1" t="s">
        <v>20</v>
      </c>
      <c r="G22" s="21" t="s">
        <v>38</v>
      </c>
      <c r="H22" s="1" t="e" vm="2">
        <v>#VALUE!</v>
      </c>
      <c r="I22" s="1" t="s">
        <v>27</v>
      </c>
      <c r="J22" s="1" t="s">
        <v>32</v>
      </c>
      <c r="K22" s="1" t="s">
        <v>21</v>
      </c>
      <c r="L22" s="1" t="s">
        <v>21</v>
      </c>
      <c r="M22" s="1">
        <v>0</v>
      </c>
      <c r="N22" s="1">
        <v>12</v>
      </c>
      <c r="O22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113.09733552923255</v>
      </c>
      <c r="P22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1017.8760197630929</v>
      </c>
      <c r="Q22" s="2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2035.7520395261859</v>
      </c>
      <c r="R22" s="1">
        <v>0</v>
      </c>
      <c r="S22" s="1">
        <v>0</v>
      </c>
      <c r="T22" s="1">
        <v>0</v>
      </c>
      <c r="U22" s="28" t="s">
        <v>85</v>
      </c>
      <c r="V22" s="33" t="s">
        <v>85</v>
      </c>
      <c r="W22" s="33" t="s">
        <v>85</v>
      </c>
      <c r="X22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22" s="1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22" s="1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22" s="75">
        <v>0</v>
      </c>
      <c r="AB22" s="29">
        <v>0</v>
      </c>
      <c r="AC22" s="29">
        <v>0</v>
      </c>
      <c r="AD22" s="29">
        <v>0</v>
      </c>
      <c r="AE22" s="33" t="s">
        <v>74</v>
      </c>
      <c r="AF22" s="29">
        <v>0</v>
      </c>
      <c r="AG22" s="23">
        <v>491.90111360896901</v>
      </c>
      <c r="AH22" s="29">
        <f>IF(ISNUMBER(Tabella2[[#This Row],[Mean RADIAL stress  (MPa)]]), Tabella2[[#This Row],[Mean RADIAL stress  (MPa)]],"")</f>
        <v>0</v>
      </c>
      <c r="AI22" s="29">
        <f>IF(ISNUMBER(Tabella2[[#This Row],[Amplitute RADIAL stress  (MPa)]]), Tabella2[[#This Row],[Amplitute RADIAL stress  (MPa)]],"")</f>
        <v>0</v>
      </c>
      <c r="AJ22" s="29" t="str">
        <f>IF(ISNUMBER(Tabella2[[#This Row],[Mean AXIAL stress  (MPa)]]), IF(Tabella2[[#This Row],[derived from (AXIAL/BENDING) load]]="AXIAL",Tabella2[[#This Row],[Mean AXIAL stress  (MPa)]]*Tabella2[[#This Row],[Area (mm^2)]],"Null"), "")</f>
        <v>Null</v>
      </c>
      <c r="AK22" s="29" t="str">
        <f>IF(ISNUMBER(Tabella2[[#This Row],[Amplitute AXIAL stress  (MPa)]]),    IF(Tabella2[[#This Row],[derived from (AXIAL/BENDING) load]]="AXIAL",Tabella2[[#This Row],[Amplitute AXIAL stress  (MPa)]]*Tabella2[[#This Row],[Area (mm^2)]],"Null"), "")</f>
        <v>Null</v>
      </c>
      <c r="AL22" s="29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0</v>
      </c>
      <c r="AM22" s="29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0</v>
      </c>
      <c r="AN22" s="29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22" s="2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166898.11587911012</v>
      </c>
      <c r="AP22" s="50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22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851.99772107044487</v>
      </c>
    </row>
    <row r="23" spans="1:43" ht="20.100000000000001" customHeight="1" x14ac:dyDescent="0.25">
      <c r="A23" s="1" t="s">
        <v>35</v>
      </c>
      <c r="B23" s="1">
        <v>2018</v>
      </c>
      <c r="C23" s="1" t="s">
        <v>37</v>
      </c>
      <c r="D23" s="1" t="s">
        <v>46</v>
      </c>
      <c r="E23" s="14">
        <v>38475.048455512799</v>
      </c>
      <c r="F23" s="1" t="s">
        <v>20</v>
      </c>
      <c r="G23" s="21" t="s">
        <v>38</v>
      </c>
      <c r="H23" s="1" t="e" vm="2">
        <v>#VALUE!</v>
      </c>
      <c r="I23" s="1" t="s">
        <v>27</v>
      </c>
      <c r="J23" s="1" t="s">
        <v>32</v>
      </c>
      <c r="K23" s="1" t="s">
        <v>21</v>
      </c>
      <c r="L23" s="1" t="s">
        <v>21</v>
      </c>
      <c r="M23" s="1">
        <v>0</v>
      </c>
      <c r="N23" s="1">
        <v>12</v>
      </c>
      <c r="O23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113.09733552923255</v>
      </c>
      <c r="P23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1017.8760197630929</v>
      </c>
      <c r="Q23" s="2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2035.7520395261859</v>
      </c>
      <c r="R23" s="1">
        <v>0</v>
      </c>
      <c r="S23" s="1">
        <v>0</v>
      </c>
      <c r="T23" s="1">
        <v>0</v>
      </c>
      <c r="U23" s="28" t="s">
        <v>85</v>
      </c>
      <c r="V23" s="33" t="s">
        <v>85</v>
      </c>
      <c r="W23" s="33" t="s">
        <v>85</v>
      </c>
      <c r="X23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23" s="1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23" s="1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23" s="75">
        <v>0</v>
      </c>
      <c r="AB23" s="29">
        <v>0</v>
      </c>
      <c r="AC23" s="29">
        <v>0</v>
      </c>
      <c r="AD23" s="29">
        <v>0</v>
      </c>
      <c r="AE23" s="33" t="s">
        <v>74</v>
      </c>
      <c r="AF23" s="29">
        <v>0</v>
      </c>
      <c r="AG23" s="23">
        <v>476.094767704204</v>
      </c>
      <c r="AH23" s="29">
        <f>IF(ISNUMBER(Tabella2[[#This Row],[Mean RADIAL stress  (MPa)]]), Tabella2[[#This Row],[Mean RADIAL stress  (MPa)]],"")</f>
        <v>0</v>
      </c>
      <c r="AI23" s="29">
        <f>IF(ISNUMBER(Tabella2[[#This Row],[Amplitute RADIAL stress  (MPa)]]), Tabella2[[#This Row],[Amplitute RADIAL stress  (MPa)]],"")</f>
        <v>0</v>
      </c>
      <c r="AJ23" s="29" t="str">
        <f>IF(ISNUMBER(Tabella2[[#This Row],[Mean AXIAL stress  (MPa)]]), IF(Tabella2[[#This Row],[derived from (AXIAL/BENDING) load]]="AXIAL",Tabella2[[#This Row],[Mean AXIAL stress  (MPa)]]*Tabella2[[#This Row],[Area (mm^2)]],"Null"), "")</f>
        <v>Null</v>
      </c>
      <c r="AK23" s="29" t="str">
        <f>IF(ISNUMBER(Tabella2[[#This Row],[Amplitute AXIAL stress  (MPa)]]),    IF(Tabella2[[#This Row],[derived from (AXIAL/BENDING) load]]="AXIAL",Tabella2[[#This Row],[Amplitute AXIAL stress  (MPa)]]*Tabella2[[#This Row],[Area (mm^2)]],"Null"), "")</f>
        <v>Null</v>
      </c>
      <c r="AL23" s="29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0</v>
      </c>
      <c r="AM23" s="29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0</v>
      </c>
      <c r="AN23" s="29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23" s="2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161535.14906026315</v>
      </c>
      <c r="AP23" s="50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23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824.62032688138356</v>
      </c>
    </row>
    <row r="24" spans="1:43" ht="20.100000000000001" customHeight="1" x14ac:dyDescent="0.25">
      <c r="A24" s="1" t="s">
        <v>35</v>
      </c>
      <c r="B24" s="1">
        <v>2018</v>
      </c>
      <c r="C24" s="1" t="s">
        <v>37</v>
      </c>
      <c r="D24" s="1" t="s">
        <v>46</v>
      </c>
      <c r="E24" s="14">
        <v>168162.667423701</v>
      </c>
      <c r="F24" s="1" t="s">
        <v>20</v>
      </c>
      <c r="G24" s="21" t="s">
        <v>38</v>
      </c>
      <c r="H24" s="1" t="e" vm="2">
        <v>#VALUE!</v>
      </c>
      <c r="I24" s="1" t="s">
        <v>27</v>
      </c>
      <c r="J24" s="1" t="s">
        <v>32</v>
      </c>
      <c r="K24" s="1" t="s">
        <v>21</v>
      </c>
      <c r="L24" s="1" t="s">
        <v>21</v>
      </c>
      <c r="M24" s="1">
        <v>0</v>
      </c>
      <c r="N24" s="1">
        <v>12</v>
      </c>
      <c r="O24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113.09733552923255</v>
      </c>
      <c r="P24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1017.8760197630929</v>
      </c>
      <c r="Q24" s="2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2035.7520395261859</v>
      </c>
      <c r="R24" s="1">
        <v>0</v>
      </c>
      <c r="S24" s="1">
        <v>0</v>
      </c>
      <c r="T24" s="1">
        <v>0</v>
      </c>
      <c r="U24" s="28" t="s">
        <v>85</v>
      </c>
      <c r="V24" s="33" t="s">
        <v>85</v>
      </c>
      <c r="W24" s="33" t="s">
        <v>85</v>
      </c>
      <c r="X24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24" s="1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24" s="1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24" s="75">
        <v>0</v>
      </c>
      <c r="AB24" s="29">
        <v>0</v>
      </c>
      <c r="AC24" s="29">
        <v>0</v>
      </c>
      <c r="AD24" s="29">
        <v>0</v>
      </c>
      <c r="AE24" s="33" t="s">
        <v>74</v>
      </c>
      <c r="AF24" s="29">
        <v>0</v>
      </c>
      <c r="AG24" s="23">
        <v>441.16035942088752</v>
      </c>
      <c r="AH24" s="29">
        <f>IF(ISNUMBER(Tabella2[[#This Row],[Mean RADIAL stress  (MPa)]]), Tabella2[[#This Row],[Mean RADIAL stress  (MPa)]],"")</f>
        <v>0</v>
      </c>
      <c r="AI24" s="29">
        <f>IF(ISNUMBER(Tabella2[[#This Row],[Amplitute RADIAL stress  (MPa)]]), Tabella2[[#This Row],[Amplitute RADIAL stress  (MPa)]],"")</f>
        <v>0</v>
      </c>
      <c r="AJ24" s="29" t="str">
        <f>IF(ISNUMBER(Tabella2[[#This Row],[Mean AXIAL stress  (MPa)]]), IF(Tabella2[[#This Row],[derived from (AXIAL/BENDING) load]]="AXIAL",Tabella2[[#This Row],[Mean AXIAL stress  (MPa)]]*Tabella2[[#This Row],[Area (mm^2)]],"Null"), "")</f>
        <v>Null</v>
      </c>
      <c r="AK24" s="29" t="str">
        <f>IF(ISNUMBER(Tabella2[[#This Row],[Amplitute AXIAL stress  (MPa)]]),    IF(Tabella2[[#This Row],[derived from (AXIAL/BENDING) load]]="AXIAL",Tabella2[[#This Row],[Amplitute AXIAL stress  (MPa)]]*Tabella2[[#This Row],[Area (mm^2)]],"Null"), "")</f>
        <v>Null</v>
      </c>
      <c r="AL24" s="29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0</v>
      </c>
      <c r="AM24" s="29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0</v>
      </c>
      <c r="AN24" s="29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24" s="2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149682.18357486284</v>
      </c>
      <c r="AP24" s="50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24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764.11215680232442</v>
      </c>
    </row>
    <row r="25" spans="1:43" ht="20.100000000000001" customHeight="1" x14ac:dyDescent="0.25">
      <c r="A25" s="1" t="s">
        <v>35</v>
      </c>
      <c r="B25" s="1">
        <v>2018</v>
      </c>
      <c r="C25" s="1" t="s">
        <v>37</v>
      </c>
      <c r="D25" s="1" t="s">
        <v>46</v>
      </c>
      <c r="E25" s="14">
        <v>861348.14151387499</v>
      </c>
      <c r="F25" s="1" t="s">
        <v>32</v>
      </c>
      <c r="G25" s="21" t="s">
        <v>38</v>
      </c>
      <c r="H25" s="1" t="e" vm="2">
        <v>#VALUE!</v>
      </c>
      <c r="I25" s="1" t="s">
        <v>27</v>
      </c>
      <c r="J25" s="1" t="s">
        <v>32</v>
      </c>
      <c r="K25" s="1" t="s">
        <v>21</v>
      </c>
      <c r="L25" s="1" t="s">
        <v>21</v>
      </c>
      <c r="M25" s="1">
        <v>0</v>
      </c>
      <c r="N25" s="1">
        <v>12</v>
      </c>
      <c r="O25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113.09733552923255</v>
      </c>
      <c r="P25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1017.8760197630929</v>
      </c>
      <c r="Q25" s="2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2035.7520395261859</v>
      </c>
      <c r="R25" s="1">
        <v>0</v>
      </c>
      <c r="S25" s="1">
        <v>0</v>
      </c>
      <c r="T25" s="1">
        <v>0</v>
      </c>
      <c r="U25" s="28" t="s">
        <v>85</v>
      </c>
      <c r="V25" s="33" t="s">
        <v>85</v>
      </c>
      <c r="W25" s="33" t="s">
        <v>85</v>
      </c>
      <c r="X25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25" s="1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25" s="1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25" s="75">
        <v>0</v>
      </c>
      <c r="AB25" s="29">
        <v>0</v>
      </c>
      <c r="AC25" s="29">
        <v>0</v>
      </c>
      <c r="AD25" s="29">
        <v>0</v>
      </c>
      <c r="AE25" s="33" t="s">
        <v>74</v>
      </c>
      <c r="AF25" s="29">
        <v>0</v>
      </c>
      <c r="AG25" s="23">
        <v>401.43878960900798</v>
      </c>
      <c r="AH25" s="29">
        <f>IF(ISNUMBER(Tabella2[[#This Row],[Mean RADIAL stress  (MPa)]]), Tabella2[[#This Row],[Mean RADIAL stress  (MPa)]],"")</f>
        <v>0</v>
      </c>
      <c r="AI25" s="29">
        <f>IF(ISNUMBER(Tabella2[[#This Row],[Amplitute RADIAL stress  (MPa)]]), Tabella2[[#This Row],[Amplitute RADIAL stress  (MPa)]],"")</f>
        <v>0</v>
      </c>
      <c r="AJ25" s="29" t="str">
        <f>IF(ISNUMBER(Tabella2[[#This Row],[Mean AXIAL stress  (MPa)]]), IF(Tabella2[[#This Row],[derived from (AXIAL/BENDING) load]]="AXIAL",Tabella2[[#This Row],[Mean AXIAL stress  (MPa)]]*Tabella2[[#This Row],[Area (mm^2)]],"Null"), "")</f>
        <v>Null</v>
      </c>
      <c r="AK25" s="29" t="str">
        <f>IF(ISNUMBER(Tabella2[[#This Row],[Amplitute AXIAL stress  (MPa)]]),    IF(Tabella2[[#This Row],[derived from (AXIAL/BENDING) load]]="AXIAL",Tabella2[[#This Row],[Amplitute AXIAL stress  (MPa)]]*Tabella2[[#This Row],[Area (mm^2)]],"Null"), "")</f>
        <v>Null</v>
      </c>
      <c r="AL25" s="29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0</v>
      </c>
      <c r="AM25" s="29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0</v>
      </c>
      <c r="AN25" s="29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25" s="2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136204.97244857691</v>
      </c>
      <c r="AP25" s="50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25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695.31237973175485</v>
      </c>
    </row>
    <row r="26" spans="1:43" ht="20.100000000000001" customHeight="1" x14ac:dyDescent="0.25">
      <c r="A26" s="1" t="s">
        <v>35</v>
      </c>
      <c r="B26" s="1">
        <v>2018</v>
      </c>
      <c r="C26" s="1" t="s">
        <v>37</v>
      </c>
      <c r="D26" s="1" t="s">
        <v>47</v>
      </c>
      <c r="E26" s="14">
        <v>3295.3736338287699</v>
      </c>
      <c r="F26" s="1" t="s">
        <v>20</v>
      </c>
      <c r="G26" s="21" t="s">
        <v>38</v>
      </c>
      <c r="H26" s="1" t="e" vm="2">
        <v>#VALUE!</v>
      </c>
      <c r="I26" s="1" t="s">
        <v>27</v>
      </c>
      <c r="J26" s="1" t="s">
        <v>32</v>
      </c>
      <c r="K26" s="1" t="s">
        <v>21</v>
      </c>
      <c r="L26" s="1" t="s">
        <v>21</v>
      </c>
      <c r="M26" s="1">
        <v>0</v>
      </c>
      <c r="N26" s="1">
        <v>12</v>
      </c>
      <c r="O26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113.09733552923255</v>
      </c>
      <c r="P26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1017.8760197630929</v>
      </c>
      <c r="Q26" s="2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2035.7520395261859</v>
      </c>
      <c r="R26" s="1">
        <v>0</v>
      </c>
      <c r="S26" s="1">
        <v>0</v>
      </c>
      <c r="T26" s="1">
        <v>0</v>
      </c>
      <c r="U26" s="28" t="s">
        <v>85</v>
      </c>
      <c r="V26" s="33" t="s">
        <v>85</v>
      </c>
      <c r="W26" s="33" t="s">
        <v>85</v>
      </c>
      <c r="X26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26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26" s="1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26" s="75">
        <v>0</v>
      </c>
      <c r="AB26" s="29">
        <v>0</v>
      </c>
      <c r="AC26" s="29">
        <v>0</v>
      </c>
      <c r="AD26" s="29">
        <v>271.89714590915082</v>
      </c>
      <c r="AE26" s="33" t="s">
        <v>74</v>
      </c>
      <c r="AF26" s="29">
        <v>0</v>
      </c>
      <c r="AG26" s="23">
        <v>470.9396711476175</v>
      </c>
      <c r="AH26" s="29">
        <f>IF(ISNUMBER(Tabella2[[#This Row],[Mean RADIAL stress  (MPa)]]), Tabella2[[#This Row],[Mean RADIAL stress  (MPa)]],"")</f>
        <v>0</v>
      </c>
      <c r="AI26" s="29">
        <f>IF(ISNUMBER(Tabella2[[#This Row],[Amplitute RADIAL stress  (MPa)]]), Tabella2[[#This Row],[Amplitute RADIAL stress  (MPa)]],"")</f>
        <v>0</v>
      </c>
      <c r="AJ26" s="29" t="str">
        <f>IF(ISNUMBER(Tabella2[[#This Row],[Mean AXIAL stress  (MPa)]]), IF(Tabella2[[#This Row],[derived from (AXIAL/BENDING) load]]="AXIAL",Tabella2[[#This Row],[Mean AXIAL stress  (MPa)]]*Tabella2[[#This Row],[Area (mm^2)]],"Null"), "")</f>
        <v>Null</v>
      </c>
      <c r="AK26" s="29" t="str">
        <f>IF(ISNUMBER(Tabella2[[#This Row],[Amplitute AXIAL stress  (MPa)]]),    IF(Tabella2[[#This Row],[derived from (AXIAL/BENDING) load]]="AXIAL",Tabella2[[#This Row],[Amplitute AXIAL stress  (MPa)]]*Tabella2[[#This Row],[Area (mm^2)]],"Null"), "")</f>
        <v>Null</v>
      </c>
      <c r="AL26" s="29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0</v>
      </c>
      <c r="AM26" s="29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46126.264110491895</v>
      </c>
      <c r="AN26" s="29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26" s="2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159786.06600542562</v>
      </c>
      <c r="AP26" s="50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1.7320508075688772</v>
      </c>
      <c r="AQ26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859.81427037204992</v>
      </c>
    </row>
    <row r="27" spans="1:43" ht="20.100000000000001" customHeight="1" x14ac:dyDescent="0.25">
      <c r="A27" s="1" t="s">
        <v>35</v>
      </c>
      <c r="B27" s="1">
        <v>2018</v>
      </c>
      <c r="C27" s="1" t="s">
        <v>37</v>
      </c>
      <c r="D27" s="1" t="s">
        <v>47</v>
      </c>
      <c r="E27" s="14">
        <v>16747.2489383387</v>
      </c>
      <c r="F27" s="1" t="s">
        <v>20</v>
      </c>
      <c r="G27" s="21" t="s">
        <v>38</v>
      </c>
      <c r="H27" s="1" t="e" vm="2">
        <v>#VALUE!</v>
      </c>
      <c r="I27" s="1" t="s">
        <v>27</v>
      </c>
      <c r="J27" s="1" t="s">
        <v>32</v>
      </c>
      <c r="K27" s="1" t="s">
        <v>21</v>
      </c>
      <c r="L27" s="1" t="s">
        <v>21</v>
      </c>
      <c r="M27" s="1">
        <v>0</v>
      </c>
      <c r="N27" s="1">
        <v>12</v>
      </c>
      <c r="O27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113.09733552923255</v>
      </c>
      <c r="P27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1017.8760197630929</v>
      </c>
      <c r="Q27" s="2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2035.7520395261859</v>
      </c>
      <c r="R27" s="1">
        <v>0</v>
      </c>
      <c r="S27" s="1">
        <v>0</v>
      </c>
      <c r="T27" s="1">
        <v>0</v>
      </c>
      <c r="U27" s="28" t="s">
        <v>85</v>
      </c>
      <c r="V27" s="33" t="s">
        <v>85</v>
      </c>
      <c r="W27" s="33" t="s">
        <v>85</v>
      </c>
      <c r="X27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27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27" s="1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27" s="75">
        <v>0</v>
      </c>
      <c r="AB27" s="29">
        <v>0</v>
      </c>
      <c r="AC27" s="29">
        <v>0</v>
      </c>
      <c r="AD27" s="29">
        <v>243.85031726142296</v>
      </c>
      <c r="AE27" s="33" t="s">
        <v>74</v>
      </c>
      <c r="AF27" s="29">
        <v>0</v>
      </c>
      <c r="AG27" s="23">
        <v>422.36113893857453</v>
      </c>
      <c r="AH27" s="29">
        <f>IF(ISNUMBER(Tabella2[[#This Row],[Mean RADIAL stress  (MPa)]]), Tabella2[[#This Row],[Mean RADIAL stress  (MPa)]],"")</f>
        <v>0</v>
      </c>
      <c r="AI27" s="29">
        <f>IF(ISNUMBER(Tabella2[[#This Row],[Amplitute RADIAL stress  (MPa)]]), Tabella2[[#This Row],[Amplitute RADIAL stress  (MPa)]],"")</f>
        <v>0</v>
      </c>
      <c r="AJ27" s="29" t="str">
        <f>IF(ISNUMBER(Tabella2[[#This Row],[Mean AXIAL stress  (MPa)]]), IF(Tabella2[[#This Row],[derived from (AXIAL/BENDING) load]]="AXIAL",Tabella2[[#This Row],[Mean AXIAL stress  (MPa)]]*Tabella2[[#This Row],[Area (mm^2)]],"Null"), "")</f>
        <v>Null</v>
      </c>
      <c r="AK27" s="29" t="str">
        <f>IF(ISNUMBER(Tabella2[[#This Row],[Amplitute AXIAL stress  (MPa)]]),    IF(Tabella2[[#This Row],[derived from (AXIAL/BENDING) load]]="AXIAL",Tabella2[[#This Row],[Amplitute AXIAL stress  (MPa)]]*Tabella2[[#This Row],[Area (mm^2)]],"Null"), "")</f>
        <v>Null</v>
      </c>
      <c r="AL27" s="29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0</v>
      </c>
      <c r="AM27" s="29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41368.231725337442</v>
      </c>
      <c r="AN27" s="29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27" s="2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143303.75833513431</v>
      </c>
      <c r="AP27" s="50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1.7320508075688772</v>
      </c>
      <c r="AQ27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771.12241070076948</v>
      </c>
    </row>
    <row r="28" spans="1:43" ht="20.100000000000001" customHeight="1" x14ac:dyDescent="0.25">
      <c r="A28" s="1" t="s">
        <v>35</v>
      </c>
      <c r="B28" s="1">
        <v>2018</v>
      </c>
      <c r="C28" s="1" t="s">
        <v>37</v>
      </c>
      <c r="D28" s="1" t="s">
        <v>47</v>
      </c>
      <c r="E28" s="14">
        <v>85776.470984341795</v>
      </c>
      <c r="F28" s="1" t="s">
        <v>20</v>
      </c>
      <c r="G28" s="21" t="s">
        <v>38</v>
      </c>
      <c r="H28" s="1" t="e" vm="2">
        <v>#VALUE!</v>
      </c>
      <c r="I28" s="1" t="s">
        <v>27</v>
      </c>
      <c r="J28" s="1" t="s">
        <v>32</v>
      </c>
      <c r="K28" s="1" t="s">
        <v>21</v>
      </c>
      <c r="L28" s="1" t="s">
        <v>21</v>
      </c>
      <c r="M28" s="1">
        <v>0</v>
      </c>
      <c r="N28" s="1">
        <v>12</v>
      </c>
      <c r="O28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113.09733552923255</v>
      </c>
      <c r="P28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1017.8760197630929</v>
      </c>
      <c r="Q28" s="2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2035.7520395261859</v>
      </c>
      <c r="R28" s="1">
        <v>0</v>
      </c>
      <c r="S28" s="1">
        <v>0</v>
      </c>
      <c r="T28" s="1">
        <v>0</v>
      </c>
      <c r="U28" s="28" t="s">
        <v>85</v>
      </c>
      <c r="V28" s="33" t="s">
        <v>85</v>
      </c>
      <c r="W28" s="33" t="s">
        <v>85</v>
      </c>
      <c r="X28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28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28" s="1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28" s="75">
        <v>0</v>
      </c>
      <c r="AB28" s="29">
        <v>0</v>
      </c>
      <c r="AC28" s="29">
        <v>0</v>
      </c>
      <c r="AD28" s="29">
        <v>224.32326115406909</v>
      </c>
      <c r="AE28" s="33" t="s">
        <v>74</v>
      </c>
      <c r="AF28" s="29">
        <v>0</v>
      </c>
      <c r="AG28" s="23">
        <v>388.53928563838952</v>
      </c>
      <c r="AH28" s="29">
        <f>IF(ISNUMBER(Tabella2[[#This Row],[Mean RADIAL stress  (MPa)]]), Tabella2[[#This Row],[Mean RADIAL stress  (MPa)]],"")</f>
        <v>0</v>
      </c>
      <c r="AI28" s="29">
        <f>IF(ISNUMBER(Tabella2[[#This Row],[Amplitute RADIAL stress  (MPa)]]), Tabella2[[#This Row],[Amplitute RADIAL stress  (MPa)]],"")</f>
        <v>0</v>
      </c>
      <c r="AJ28" s="29" t="str">
        <f>IF(ISNUMBER(Tabella2[[#This Row],[Mean AXIAL stress  (MPa)]]), IF(Tabella2[[#This Row],[derived from (AXIAL/BENDING) load]]="AXIAL",Tabella2[[#This Row],[Mean AXIAL stress  (MPa)]]*Tabella2[[#This Row],[Area (mm^2)]],"Null"), "")</f>
        <v>Null</v>
      </c>
      <c r="AK28" s="29" t="str">
        <f>IF(ISNUMBER(Tabella2[[#This Row],[Amplitute AXIAL stress  (MPa)]]),    IF(Tabella2[[#This Row],[derived from (AXIAL/BENDING) load]]="AXIAL",Tabella2[[#This Row],[Amplitute AXIAL stress  (MPa)]]*Tabella2[[#This Row],[Area (mm^2)]],"Null"), "")</f>
        <v>Null</v>
      </c>
      <c r="AL28" s="29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0</v>
      </c>
      <c r="AM28" s="29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38055.544700630118</v>
      </c>
      <c r="AN28" s="29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28" s="2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131828.27386239977</v>
      </c>
      <c r="AP28" s="50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1.7320508075688772</v>
      </c>
      <c r="AQ28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709.37243740362999</v>
      </c>
    </row>
    <row r="29" spans="1:43" ht="20.100000000000001" customHeight="1" x14ac:dyDescent="0.25">
      <c r="A29" s="1" t="s">
        <v>35</v>
      </c>
      <c r="B29" s="1">
        <v>2018</v>
      </c>
      <c r="C29" s="1" t="s">
        <v>37</v>
      </c>
      <c r="D29" s="1" t="s">
        <v>48</v>
      </c>
      <c r="E29" s="14">
        <v>94294.745817563395</v>
      </c>
      <c r="F29" s="1" t="s">
        <v>20</v>
      </c>
      <c r="G29" s="21" t="s">
        <v>38</v>
      </c>
      <c r="H29" s="1" t="e" vm="2">
        <v>#VALUE!</v>
      </c>
      <c r="I29" s="1" t="s">
        <v>27</v>
      </c>
      <c r="J29" s="1" t="s">
        <v>32</v>
      </c>
      <c r="K29" s="1" t="s">
        <v>21</v>
      </c>
      <c r="L29" s="1" t="s">
        <v>21</v>
      </c>
      <c r="M29" s="1">
        <v>0</v>
      </c>
      <c r="N29" s="1">
        <v>12</v>
      </c>
      <c r="O29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113.09733552923255</v>
      </c>
      <c r="P29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1017.8760197630929</v>
      </c>
      <c r="Q29" s="2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2035.7520395261859</v>
      </c>
      <c r="R29" s="1">
        <v>0</v>
      </c>
      <c r="S29" s="1">
        <v>0</v>
      </c>
      <c r="T29" s="1">
        <v>90</v>
      </c>
      <c r="U29" s="28" t="s">
        <v>85</v>
      </c>
      <c r="V29" s="33" t="s">
        <v>85</v>
      </c>
      <c r="W29" s="33" t="s">
        <v>85</v>
      </c>
      <c r="X29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29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29" s="1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29" s="75">
        <v>0</v>
      </c>
      <c r="AB29" s="29">
        <v>0</v>
      </c>
      <c r="AC29" s="29">
        <v>0</v>
      </c>
      <c r="AD29" s="29">
        <v>244.73685177474056</v>
      </c>
      <c r="AE29" s="33" t="s">
        <v>74</v>
      </c>
      <c r="AF29" s="29">
        <v>0</v>
      </c>
      <c r="AG29" s="23">
        <v>423.89666175830399</v>
      </c>
      <c r="AH29" s="29">
        <f>IF(ISNUMBER(Tabella2[[#This Row],[Mean RADIAL stress  (MPa)]]), Tabella2[[#This Row],[Mean RADIAL stress  (MPa)]],"")</f>
        <v>0</v>
      </c>
      <c r="AI29" s="29">
        <f>IF(ISNUMBER(Tabella2[[#This Row],[Amplitute RADIAL stress  (MPa)]]), Tabella2[[#This Row],[Amplitute RADIAL stress  (MPa)]],"")</f>
        <v>0</v>
      </c>
      <c r="AJ29" s="29" t="str">
        <f>IF(ISNUMBER(Tabella2[[#This Row],[Mean AXIAL stress  (MPa)]]), IF(Tabella2[[#This Row],[derived from (AXIAL/BENDING) load]]="AXIAL",Tabella2[[#This Row],[Mean AXIAL stress  (MPa)]]*Tabella2[[#This Row],[Area (mm^2)]],"Null"), "")</f>
        <v>Null</v>
      </c>
      <c r="AK29" s="29" t="str">
        <f>IF(ISNUMBER(Tabella2[[#This Row],[Amplitute AXIAL stress  (MPa)]]),    IF(Tabella2[[#This Row],[derived from (AXIAL/BENDING) load]]="AXIAL",Tabella2[[#This Row],[Amplitute AXIAL stress  (MPa)]]*Tabella2[[#This Row],[Area (mm^2)]],"Null"), "")</f>
        <v>Null</v>
      </c>
      <c r="AL29" s="29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0</v>
      </c>
      <c r="AM29" s="29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41518.62876230383</v>
      </c>
      <c r="AN29" s="29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29" s="2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143824.74895380152</v>
      </c>
      <c r="AP29" s="50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1.7320508075688772</v>
      </c>
      <c r="AQ29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773.92587898720205</v>
      </c>
    </row>
    <row r="30" spans="1:43" ht="20.100000000000001" customHeight="1" x14ac:dyDescent="0.25">
      <c r="A30" s="1" t="s">
        <v>35</v>
      </c>
      <c r="B30" s="1">
        <v>2018</v>
      </c>
      <c r="C30" s="1" t="s">
        <v>37</v>
      </c>
      <c r="D30" s="1" t="s">
        <v>48</v>
      </c>
      <c r="E30" s="14">
        <v>152991.49288309101</v>
      </c>
      <c r="F30" s="1" t="s">
        <v>20</v>
      </c>
      <c r="G30" s="21" t="s">
        <v>38</v>
      </c>
      <c r="H30" s="1" t="e" vm="2">
        <v>#VALUE!</v>
      </c>
      <c r="I30" s="1" t="s">
        <v>27</v>
      </c>
      <c r="J30" s="1" t="s">
        <v>32</v>
      </c>
      <c r="K30" s="1" t="s">
        <v>21</v>
      </c>
      <c r="L30" s="1" t="s">
        <v>21</v>
      </c>
      <c r="M30" s="1">
        <v>0</v>
      </c>
      <c r="N30" s="1">
        <v>12</v>
      </c>
      <c r="O30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113.09733552923255</v>
      </c>
      <c r="P30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1017.8760197630929</v>
      </c>
      <c r="Q30" s="2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2035.7520395261859</v>
      </c>
      <c r="R30" s="1">
        <v>0</v>
      </c>
      <c r="S30" s="1">
        <v>0</v>
      </c>
      <c r="T30" s="1">
        <v>90</v>
      </c>
      <c r="U30" s="28" t="s">
        <v>85</v>
      </c>
      <c r="V30" s="33" t="s">
        <v>85</v>
      </c>
      <c r="W30" s="33" t="s">
        <v>85</v>
      </c>
      <c r="X30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30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30" s="1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30" s="75">
        <v>0</v>
      </c>
      <c r="AB30" s="29">
        <v>0</v>
      </c>
      <c r="AC30" s="29">
        <v>0</v>
      </c>
      <c r="AD30" s="29">
        <v>227.60326433428128</v>
      </c>
      <c r="AE30" s="33" t="s">
        <v>74</v>
      </c>
      <c r="AF30" s="29">
        <v>0</v>
      </c>
      <c r="AG30" s="23">
        <v>394.22041779550449</v>
      </c>
      <c r="AH30" s="29">
        <f>IF(ISNUMBER(Tabella2[[#This Row],[Mean RADIAL stress  (MPa)]]), Tabella2[[#This Row],[Mean RADIAL stress  (MPa)]],"")</f>
        <v>0</v>
      </c>
      <c r="AI30" s="29">
        <f>IF(ISNUMBER(Tabella2[[#This Row],[Amplitute RADIAL stress  (MPa)]]), Tabella2[[#This Row],[Amplitute RADIAL stress  (MPa)]],"")</f>
        <v>0</v>
      </c>
      <c r="AJ30" s="29" t="str">
        <f>IF(ISNUMBER(Tabella2[[#This Row],[Mean AXIAL stress  (MPa)]]), IF(Tabella2[[#This Row],[derived from (AXIAL/BENDING) load]]="AXIAL",Tabella2[[#This Row],[Mean AXIAL stress  (MPa)]]*Tabella2[[#This Row],[Area (mm^2)]],"Null"), "")</f>
        <v>Null</v>
      </c>
      <c r="AK30" s="29" t="str">
        <f>IF(ISNUMBER(Tabella2[[#This Row],[Amplitute AXIAL stress  (MPa)]]),    IF(Tabella2[[#This Row],[derived from (AXIAL/BENDING) load]]="AXIAL",Tabella2[[#This Row],[Amplitute AXIAL stress  (MPa)]]*Tabella2[[#This Row],[Area (mm^2)]],"Null"), "")</f>
        <v>Null</v>
      </c>
      <c r="AL30" s="29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0</v>
      </c>
      <c r="AM30" s="29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38611.984130944227</v>
      </c>
      <c r="AN30" s="29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30" s="2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133755.83659167722</v>
      </c>
      <c r="AP30" s="50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1.7320508075688772</v>
      </c>
      <c r="AQ30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719.74471818569612</v>
      </c>
    </row>
    <row r="31" spans="1:43" s="37" customFormat="1" ht="20.100000000000001" customHeight="1" x14ac:dyDescent="0.25">
      <c r="A31" s="37" t="s">
        <v>35</v>
      </c>
      <c r="B31" s="37">
        <v>2018</v>
      </c>
      <c r="C31" s="37" t="s">
        <v>37</v>
      </c>
      <c r="D31" s="37" t="s">
        <v>48</v>
      </c>
      <c r="E31" s="43">
        <v>312415.009375158</v>
      </c>
      <c r="F31" s="37" t="s">
        <v>20</v>
      </c>
      <c r="G31" s="38" t="s">
        <v>38</v>
      </c>
      <c r="H31" s="37" t="e" vm="2">
        <v>#VALUE!</v>
      </c>
      <c r="I31" s="37" t="s">
        <v>27</v>
      </c>
      <c r="J31" s="37" t="s">
        <v>32</v>
      </c>
      <c r="K31" s="37" t="s">
        <v>21</v>
      </c>
      <c r="L31" s="37" t="s">
        <v>21</v>
      </c>
      <c r="M31" s="37">
        <v>0</v>
      </c>
      <c r="N31" s="37">
        <v>12</v>
      </c>
      <c r="O31" s="39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113.09733552923255</v>
      </c>
      <c r="P31" s="39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1017.8760197630929</v>
      </c>
      <c r="Q31" s="40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2035.7520395261859</v>
      </c>
      <c r="R31" s="37">
        <v>0</v>
      </c>
      <c r="S31" s="37">
        <v>0</v>
      </c>
      <c r="T31" s="37">
        <v>90</v>
      </c>
      <c r="U31" s="39" t="s">
        <v>85</v>
      </c>
      <c r="V31" s="41" t="s">
        <v>85</v>
      </c>
      <c r="W31" s="41" t="s">
        <v>85</v>
      </c>
      <c r="X31" s="37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31" s="37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31" s="37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31" s="78">
        <v>0</v>
      </c>
      <c r="AB31" s="42">
        <v>0</v>
      </c>
      <c r="AC31" s="42">
        <v>0</v>
      </c>
      <c r="AD31" s="42">
        <v>207.86309203607956</v>
      </c>
      <c r="AE31" s="41" t="s">
        <v>74</v>
      </c>
      <c r="AF31" s="42">
        <v>0</v>
      </c>
      <c r="AG31" s="53">
        <v>360.02943642485548</v>
      </c>
      <c r="AH31" s="42">
        <f>IF(ISNUMBER(Tabella2[[#This Row],[Mean RADIAL stress  (MPa)]]), Tabella2[[#This Row],[Mean RADIAL stress  (MPa)]],"")</f>
        <v>0</v>
      </c>
      <c r="AI31" s="42">
        <f>IF(ISNUMBER(Tabella2[[#This Row],[Amplitute RADIAL stress  (MPa)]]), Tabella2[[#This Row],[Amplitute RADIAL stress  (MPa)]],"")</f>
        <v>0</v>
      </c>
      <c r="AJ31" s="42" t="str">
        <f>IF(ISNUMBER(Tabella2[[#This Row],[Mean AXIAL stress  (MPa)]]), IF(Tabella2[[#This Row],[derived from (AXIAL/BENDING) load]]="AXIAL",Tabella2[[#This Row],[Mean AXIAL stress  (MPa)]]*Tabella2[[#This Row],[Area (mm^2)]],"Null"), "")</f>
        <v>Null</v>
      </c>
      <c r="AK31" s="42" t="str">
        <f>IF(ISNUMBER(Tabella2[[#This Row],[Amplitute AXIAL stress  (MPa)]]),    IF(Tabella2[[#This Row],[derived from (AXIAL/BENDING) load]]="AXIAL",Tabella2[[#This Row],[Amplitute AXIAL stress  (MPa)]]*Tabella2[[#This Row],[Area (mm^2)]],"Null"), "")</f>
        <v>Null</v>
      </c>
      <c r="AL31" s="42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0</v>
      </c>
      <c r="AM31" s="42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35263.142796222353</v>
      </c>
      <c r="AN31" s="42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31" s="5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122155.10991522712</v>
      </c>
      <c r="AP31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1.7320508075688772</v>
      </c>
      <c r="AQ31" s="43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657.32081231921825</v>
      </c>
    </row>
    <row r="32" spans="1:43" ht="20.100000000000001" customHeight="1" x14ac:dyDescent="0.25">
      <c r="A32" s="1" t="s">
        <v>35</v>
      </c>
      <c r="B32" s="1">
        <v>2018</v>
      </c>
      <c r="C32" s="1" t="s">
        <v>37</v>
      </c>
      <c r="D32" s="1" t="s">
        <v>80</v>
      </c>
      <c r="E32" s="14">
        <v>5248.4152309562496</v>
      </c>
      <c r="F32" s="1" t="s">
        <v>20</v>
      </c>
      <c r="G32" s="21" t="s">
        <v>38</v>
      </c>
      <c r="H32" s="1" t="e" vm="4">
        <v>#VALUE!</v>
      </c>
      <c r="I32" s="1" t="s">
        <v>27</v>
      </c>
      <c r="J32" s="1" t="s">
        <v>32</v>
      </c>
      <c r="K32" s="1" t="s">
        <v>21</v>
      </c>
      <c r="L32" s="1" t="s">
        <v>21</v>
      </c>
      <c r="M32" s="1">
        <v>0</v>
      </c>
      <c r="N32" s="1">
        <v>13</v>
      </c>
      <c r="O32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132.73228961416876</v>
      </c>
      <c r="P32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1401.9848090496575</v>
      </c>
      <c r="Q32" s="2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2803.9696180993151</v>
      </c>
      <c r="R32" s="1">
        <v>0</v>
      </c>
      <c r="S32" s="1">
        <v>0</v>
      </c>
      <c r="T32" s="1">
        <v>0</v>
      </c>
      <c r="U32" s="28" t="s">
        <v>84</v>
      </c>
      <c r="V32" s="33" t="s">
        <v>84</v>
      </c>
      <c r="W32" s="33" t="s">
        <v>84</v>
      </c>
      <c r="X32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32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32" s="1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32" s="75">
        <v>0</v>
      </c>
      <c r="AB32" s="29">
        <v>0</v>
      </c>
      <c r="AC32" s="29">
        <v>0</v>
      </c>
      <c r="AD32" s="29">
        <v>159.12121327644451</v>
      </c>
      <c r="AE32" s="33" t="s">
        <v>78</v>
      </c>
      <c r="AF32" s="29">
        <v>0</v>
      </c>
      <c r="AG32" s="23">
        <v>0</v>
      </c>
      <c r="AH32" s="29">
        <f>IF(ISNUMBER(Tabella2[[#This Row],[Mean RADIAL stress  (MPa)]]), Tabella2[[#This Row],[Mean RADIAL stress  (MPa)]],"")</f>
        <v>0</v>
      </c>
      <c r="AI32" s="29">
        <f>IF(ISNUMBER(Tabella2[[#This Row],[Amplitute RADIAL stress  (MPa)]]), Tabella2[[#This Row],[Amplitute RADIAL stress  (MPa)]],"")</f>
        <v>0</v>
      </c>
      <c r="AJ32" s="29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32" s="29">
        <f>IF(ISNUMBER(Tabella2[[#This Row],[Amplitute AXIAL stress  (MPa)]]),    IF(Tabella2[[#This Row],[derived from (AXIAL/BENDING) load]]="AXIAL",Tabella2[[#This Row],[Amplitute AXIAL stress  (MPa)]]*Tabella2[[#This Row],[Area (mm^2)]],"Null"), "")</f>
        <v>21120.522964366948</v>
      </c>
      <c r="AL32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32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32" s="29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32" s="2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32" s="50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32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159.12121327644451</v>
      </c>
    </row>
    <row r="33" spans="1:43" ht="20.100000000000001" customHeight="1" x14ac:dyDescent="0.25">
      <c r="A33" s="1" t="s">
        <v>35</v>
      </c>
      <c r="B33" s="1">
        <v>2018</v>
      </c>
      <c r="C33" s="1" t="s">
        <v>37</v>
      </c>
      <c r="D33" s="1" t="s">
        <v>80</v>
      </c>
      <c r="E33" s="14">
        <v>15189.0817027989</v>
      </c>
      <c r="F33" s="1" t="s">
        <v>20</v>
      </c>
      <c r="G33" s="21" t="s">
        <v>38</v>
      </c>
      <c r="H33" s="1" t="e" vm="5">
        <v>#VALUE!</v>
      </c>
      <c r="I33" s="1" t="s">
        <v>27</v>
      </c>
      <c r="J33" s="1" t="s">
        <v>32</v>
      </c>
      <c r="K33" s="1" t="s">
        <v>21</v>
      </c>
      <c r="L33" s="1" t="s">
        <v>21</v>
      </c>
      <c r="M33" s="1">
        <v>0</v>
      </c>
      <c r="N33" s="1">
        <v>13</v>
      </c>
      <c r="O33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132.73228961416876</v>
      </c>
      <c r="P33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1401.9848090496575</v>
      </c>
      <c r="Q33" s="2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2803.9696180993151</v>
      </c>
      <c r="R33" s="1">
        <v>0</v>
      </c>
      <c r="S33" s="1">
        <v>0</v>
      </c>
      <c r="T33" s="1">
        <v>0</v>
      </c>
      <c r="U33" s="28" t="s">
        <v>84</v>
      </c>
      <c r="V33" s="33" t="s">
        <v>84</v>
      </c>
      <c r="W33" s="33" t="s">
        <v>84</v>
      </c>
      <c r="X33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33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33" s="1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33" s="75">
        <v>0</v>
      </c>
      <c r="AB33" s="29">
        <v>0</v>
      </c>
      <c r="AC33" s="29">
        <v>0</v>
      </c>
      <c r="AD33" s="29">
        <v>148.51941950817201</v>
      </c>
      <c r="AE33" s="33" t="s">
        <v>78</v>
      </c>
      <c r="AF33" s="29">
        <v>0</v>
      </c>
      <c r="AG33" s="23">
        <v>0</v>
      </c>
      <c r="AH33" s="29">
        <f>IF(ISNUMBER(Tabella2[[#This Row],[Mean RADIAL stress  (MPa)]]), Tabella2[[#This Row],[Mean RADIAL stress  (MPa)]],"")</f>
        <v>0</v>
      </c>
      <c r="AI33" s="29">
        <f>IF(ISNUMBER(Tabella2[[#This Row],[Amplitute RADIAL stress  (MPa)]]), Tabella2[[#This Row],[Amplitute RADIAL stress  (MPa)]],"")</f>
        <v>0</v>
      </c>
      <c r="AJ33" s="29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33" s="29">
        <f>IF(ISNUMBER(Tabella2[[#This Row],[Amplitute AXIAL stress  (MPa)]]),    IF(Tabella2[[#This Row],[derived from (AXIAL/BENDING) load]]="AXIAL",Tabella2[[#This Row],[Amplitute AXIAL stress  (MPa)]]*Tabella2[[#This Row],[Area (mm^2)]],"Null"), "")</f>
        <v>19713.322603486911</v>
      </c>
      <c r="AL33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33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33" s="29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33" s="2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33" s="50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33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148.51941950817201</v>
      </c>
    </row>
    <row r="34" spans="1:43" ht="20.100000000000001" customHeight="1" x14ac:dyDescent="0.25">
      <c r="A34" s="1" t="s">
        <v>35</v>
      </c>
      <c r="B34" s="1">
        <v>2018</v>
      </c>
      <c r="C34" s="1" t="s">
        <v>37</v>
      </c>
      <c r="D34" s="1" t="s">
        <v>80</v>
      </c>
      <c r="E34" s="14">
        <v>22946.101915388201</v>
      </c>
      <c r="F34" s="1" t="s">
        <v>20</v>
      </c>
      <c r="G34" s="21" t="s">
        <v>38</v>
      </c>
      <c r="H34" s="1" t="e" vm="5">
        <v>#VALUE!</v>
      </c>
      <c r="I34" s="1" t="s">
        <v>27</v>
      </c>
      <c r="J34" s="1" t="s">
        <v>32</v>
      </c>
      <c r="K34" s="1" t="s">
        <v>21</v>
      </c>
      <c r="L34" s="1" t="s">
        <v>21</v>
      </c>
      <c r="M34" s="1">
        <v>0</v>
      </c>
      <c r="N34" s="1">
        <v>13</v>
      </c>
      <c r="O34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132.73228961416876</v>
      </c>
      <c r="P34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1401.9848090496575</v>
      </c>
      <c r="Q34" s="2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2803.9696180993151</v>
      </c>
      <c r="R34" s="1">
        <v>0</v>
      </c>
      <c r="S34" s="1">
        <v>0</v>
      </c>
      <c r="T34" s="1">
        <v>0</v>
      </c>
      <c r="U34" s="28" t="s">
        <v>84</v>
      </c>
      <c r="V34" s="33" t="s">
        <v>84</v>
      </c>
      <c r="W34" s="33" t="s">
        <v>84</v>
      </c>
      <c r="X34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34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34" s="1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34" s="75">
        <v>0</v>
      </c>
      <c r="AB34" s="29">
        <v>0</v>
      </c>
      <c r="AC34" s="29">
        <v>0</v>
      </c>
      <c r="AD34" s="29">
        <v>139.12797011035599</v>
      </c>
      <c r="AE34" s="33" t="s">
        <v>78</v>
      </c>
      <c r="AF34" s="29">
        <v>0</v>
      </c>
      <c r="AG34" s="23">
        <v>0</v>
      </c>
      <c r="AH34" s="29">
        <f>IF(ISNUMBER(Tabella2[[#This Row],[Mean RADIAL stress  (MPa)]]), Tabella2[[#This Row],[Mean RADIAL stress  (MPa)]],"")</f>
        <v>0</v>
      </c>
      <c r="AI34" s="29">
        <f>IF(ISNUMBER(Tabella2[[#This Row],[Amplitute RADIAL stress  (MPa)]]), Tabella2[[#This Row],[Amplitute RADIAL stress  (MPa)]],"")</f>
        <v>0</v>
      </c>
      <c r="AJ34" s="29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34" s="29">
        <f>IF(ISNUMBER(Tabella2[[#This Row],[Amplitute AXIAL stress  (MPa)]]),    IF(Tabella2[[#This Row],[derived from (AXIAL/BENDING) load]]="AXIAL",Tabella2[[#This Row],[Amplitute AXIAL stress  (MPa)]]*Tabella2[[#This Row],[Area (mm^2)]],"Null"), "")</f>
        <v>18466.774022119185</v>
      </c>
      <c r="AL34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34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34" s="29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34" s="2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34" s="50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34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139.12797011035599</v>
      </c>
    </row>
    <row r="35" spans="1:43" ht="20.100000000000001" customHeight="1" x14ac:dyDescent="0.25">
      <c r="A35" s="1" t="s">
        <v>35</v>
      </c>
      <c r="B35" s="1">
        <v>2018</v>
      </c>
      <c r="C35" s="1" t="s">
        <v>37</v>
      </c>
      <c r="D35" s="1" t="s">
        <v>80</v>
      </c>
      <c r="E35" s="14">
        <v>140995.83501291199</v>
      </c>
      <c r="F35" s="1" t="s">
        <v>20</v>
      </c>
      <c r="G35" s="21" t="s">
        <v>38</v>
      </c>
      <c r="H35" s="1" t="e" vm="5">
        <v>#VALUE!</v>
      </c>
      <c r="I35" s="1" t="s">
        <v>27</v>
      </c>
      <c r="J35" s="1" t="s">
        <v>32</v>
      </c>
      <c r="K35" s="1" t="s">
        <v>21</v>
      </c>
      <c r="L35" s="1" t="s">
        <v>21</v>
      </c>
      <c r="M35" s="1">
        <v>0</v>
      </c>
      <c r="N35" s="1">
        <v>13</v>
      </c>
      <c r="O35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132.73228961416876</v>
      </c>
      <c r="P35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1401.9848090496575</v>
      </c>
      <c r="Q35" s="2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2803.9696180993151</v>
      </c>
      <c r="R35" s="1">
        <v>0</v>
      </c>
      <c r="S35" s="1">
        <v>0</v>
      </c>
      <c r="T35" s="1">
        <v>0</v>
      </c>
      <c r="U35" s="28" t="s">
        <v>84</v>
      </c>
      <c r="V35" s="33" t="s">
        <v>84</v>
      </c>
      <c r="W35" s="33" t="s">
        <v>84</v>
      </c>
      <c r="X35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35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35" s="1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35" s="75">
        <v>0</v>
      </c>
      <c r="AB35" s="29">
        <v>0</v>
      </c>
      <c r="AC35" s="29">
        <v>0</v>
      </c>
      <c r="AD35" s="29">
        <v>134.65734632083499</v>
      </c>
      <c r="AE35" s="33" t="s">
        <v>78</v>
      </c>
      <c r="AF35" s="29">
        <v>0</v>
      </c>
      <c r="AG35" s="23">
        <v>0</v>
      </c>
      <c r="AH35" s="29">
        <f>IF(ISNUMBER(Tabella2[[#This Row],[Mean RADIAL stress  (MPa)]]), Tabella2[[#This Row],[Mean RADIAL stress  (MPa)]],"")</f>
        <v>0</v>
      </c>
      <c r="AI35" s="29">
        <f>IF(ISNUMBER(Tabella2[[#This Row],[Amplitute RADIAL stress  (MPa)]]), Tabella2[[#This Row],[Amplitute RADIAL stress  (MPa)]],"")</f>
        <v>0</v>
      </c>
      <c r="AJ35" s="29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35" s="29">
        <f>IF(ISNUMBER(Tabella2[[#This Row],[Amplitute AXIAL stress  (MPa)]]),    IF(Tabella2[[#This Row],[derived from (AXIAL/BENDING) load]]="AXIAL",Tabella2[[#This Row],[Amplitute AXIAL stress  (MPa)]]*Tabella2[[#This Row],[Area (mm^2)]],"Null"), "")</f>
        <v>17873.377890532491</v>
      </c>
      <c r="AL35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35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35" s="29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35" s="2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35" s="50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35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134.65734632083499</v>
      </c>
    </row>
    <row r="36" spans="1:43" ht="20.100000000000001" customHeight="1" x14ac:dyDescent="0.25">
      <c r="A36" s="1" t="s">
        <v>35</v>
      </c>
      <c r="B36" s="1">
        <v>2018</v>
      </c>
      <c r="C36" s="1" t="s">
        <v>37</v>
      </c>
      <c r="D36" s="1" t="s">
        <v>80</v>
      </c>
      <c r="E36" s="14">
        <v>261836.02448193799</v>
      </c>
      <c r="F36" s="1" t="s">
        <v>20</v>
      </c>
      <c r="G36" s="21" t="s">
        <v>38</v>
      </c>
      <c r="H36" s="1" t="e" vm="5">
        <v>#VALUE!</v>
      </c>
      <c r="I36" s="1" t="s">
        <v>27</v>
      </c>
      <c r="J36" s="1" t="s">
        <v>32</v>
      </c>
      <c r="K36" s="1" t="s">
        <v>21</v>
      </c>
      <c r="L36" s="1" t="s">
        <v>21</v>
      </c>
      <c r="M36" s="1">
        <v>0</v>
      </c>
      <c r="N36" s="1">
        <v>13</v>
      </c>
      <c r="O36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132.73228961416876</v>
      </c>
      <c r="P36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1401.9848090496575</v>
      </c>
      <c r="Q36" s="2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2803.9696180993151</v>
      </c>
      <c r="R36" s="1">
        <v>0</v>
      </c>
      <c r="S36" s="1">
        <v>0</v>
      </c>
      <c r="T36" s="1">
        <v>0</v>
      </c>
      <c r="U36" s="28" t="s">
        <v>84</v>
      </c>
      <c r="V36" s="33" t="s">
        <v>84</v>
      </c>
      <c r="W36" s="33" t="s">
        <v>84</v>
      </c>
      <c r="X36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36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36" s="1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36" s="75">
        <v>0</v>
      </c>
      <c r="AB36" s="29">
        <v>0</v>
      </c>
      <c r="AC36" s="29">
        <v>0</v>
      </c>
      <c r="AD36" s="29">
        <v>119.026743362489</v>
      </c>
      <c r="AE36" s="33" t="s">
        <v>78</v>
      </c>
      <c r="AF36" s="29">
        <v>0</v>
      </c>
      <c r="AG36" s="23">
        <v>0</v>
      </c>
      <c r="AH36" s="29">
        <f>IF(ISNUMBER(Tabella2[[#This Row],[Mean RADIAL stress  (MPa)]]), Tabella2[[#This Row],[Mean RADIAL stress  (MPa)]],"")</f>
        <v>0</v>
      </c>
      <c r="AI36" s="29">
        <f>IF(ISNUMBER(Tabella2[[#This Row],[Amplitute RADIAL stress  (MPa)]]), Tabella2[[#This Row],[Amplitute RADIAL stress  (MPa)]],"")</f>
        <v>0</v>
      </c>
      <c r="AJ36" s="29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36" s="29">
        <f>IF(ISNUMBER(Tabella2[[#This Row],[Amplitute AXIAL stress  (MPa)]]),    IF(Tabella2[[#This Row],[derived from (AXIAL/BENDING) load]]="AXIAL",Tabella2[[#This Row],[Amplitute AXIAL stress  (MPa)]]*Tabella2[[#This Row],[Area (mm^2)]],"Null"), "")</f>
        <v>15798.692171821229</v>
      </c>
      <c r="AL36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36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36" s="29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36" s="2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36" s="50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36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119.026743362489</v>
      </c>
    </row>
    <row r="37" spans="1:43" ht="20.100000000000001" customHeight="1" x14ac:dyDescent="0.25">
      <c r="A37" s="1" t="s">
        <v>35</v>
      </c>
      <c r="B37" s="1">
        <v>2018</v>
      </c>
      <c r="C37" s="1" t="s">
        <v>37</v>
      </c>
      <c r="D37" s="1" t="s">
        <v>80</v>
      </c>
      <c r="E37" s="14">
        <v>569228.94161965896</v>
      </c>
      <c r="F37" s="1" t="s">
        <v>20</v>
      </c>
      <c r="G37" s="21" t="s">
        <v>38</v>
      </c>
      <c r="H37" s="1" t="e" vm="5">
        <v>#VALUE!</v>
      </c>
      <c r="I37" s="1" t="s">
        <v>27</v>
      </c>
      <c r="J37" s="1" t="s">
        <v>32</v>
      </c>
      <c r="K37" s="1" t="s">
        <v>21</v>
      </c>
      <c r="L37" s="1" t="s">
        <v>21</v>
      </c>
      <c r="M37" s="1">
        <v>0</v>
      </c>
      <c r="N37" s="1">
        <v>13</v>
      </c>
      <c r="O37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132.73228961416876</v>
      </c>
      <c r="P37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1401.9848090496575</v>
      </c>
      <c r="Q37" s="2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2803.9696180993151</v>
      </c>
      <c r="R37" s="1">
        <v>0</v>
      </c>
      <c r="S37" s="1">
        <v>0</v>
      </c>
      <c r="T37" s="1">
        <v>0</v>
      </c>
      <c r="U37" s="28" t="s">
        <v>84</v>
      </c>
      <c r="V37" s="33" t="s">
        <v>84</v>
      </c>
      <c r="W37" s="33" t="s">
        <v>84</v>
      </c>
      <c r="X37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37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37" s="1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37" s="75">
        <v>0</v>
      </c>
      <c r="AB37" s="29">
        <v>0</v>
      </c>
      <c r="AC37" s="29">
        <v>0</v>
      </c>
      <c r="AD37" s="29">
        <v>127.061314961492</v>
      </c>
      <c r="AE37" s="33" t="s">
        <v>78</v>
      </c>
      <c r="AF37" s="29">
        <v>0</v>
      </c>
      <c r="AG37" s="23">
        <v>0</v>
      </c>
      <c r="AH37" s="29">
        <f>IF(ISNUMBER(Tabella2[[#This Row],[Mean RADIAL stress  (MPa)]]), Tabella2[[#This Row],[Mean RADIAL stress  (MPa)]],"")</f>
        <v>0</v>
      </c>
      <c r="AI37" s="29">
        <f>IF(ISNUMBER(Tabella2[[#This Row],[Amplitute RADIAL stress  (MPa)]]), Tabella2[[#This Row],[Amplitute RADIAL stress  (MPa)]],"")</f>
        <v>0</v>
      </c>
      <c r="AJ37" s="29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37" s="29">
        <f>IF(ISNUMBER(Tabella2[[#This Row],[Amplitute AXIAL stress  (MPa)]]),    IF(Tabella2[[#This Row],[derived from (AXIAL/BENDING) load]]="AXIAL",Tabella2[[#This Row],[Amplitute AXIAL stress  (MPa)]]*Tabella2[[#This Row],[Area (mm^2)]],"Null"), "")</f>
        <v>16865.13925622587</v>
      </c>
      <c r="AL37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37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37" s="29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37" s="2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37" s="50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37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127.061314961492</v>
      </c>
    </row>
    <row r="38" spans="1:43" ht="20.100000000000001" customHeight="1" x14ac:dyDescent="0.25">
      <c r="A38" s="1" t="s">
        <v>35</v>
      </c>
      <c r="B38" s="1">
        <v>2018</v>
      </c>
      <c r="C38" s="1" t="s">
        <v>37</v>
      </c>
      <c r="D38" s="1" t="s">
        <v>81</v>
      </c>
      <c r="E38" s="14">
        <v>2422.7898378381401</v>
      </c>
      <c r="F38" s="1" t="s">
        <v>20</v>
      </c>
      <c r="G38" s="21" t="s">
        <v>38</v>
      </c>
      <c r="H38" s="1" t="e" vm="5">
        <v>#VALUE!</v>
      </c>
      <c r="I38" s="1" t="s">
        <v>27</v>
      </c>
      <c r="J38" s="1" t="s">
        <v>32</v>
      </c>
      <c r="K38" s="1" t="s">
        <v>21</v>
      </c>
      <c r="L38" s="1" t="s">
        <v>21</v>
      </c>
      <c r="M38" s="1">
        <v>0</v>
      </c>
      <c r="N38" s="1">
        <v>13</v>
      </c>
      <c r="O38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132.73228961416876</v>
      </c>
      <c r="P38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1401.9848090496575</v>
      </c>
      <c r="Q38" s="2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2803.9696180993151</v>
      </c>
      <c r="R38" s="1">
        <v>0</v>
      </c>
      <c r="S38" s="1">
        <v>0</v>
      </c>
      <c r="T38" s="1">
        <v>0</v>
      </c>
      <c r="U38" s="28" t="s">
        <v>84</v>
      </c>
      <c r="V38" s="33" t="s">
        <v>84</v>
      </c>
      <c r="W38" s="33" t="s">
        <v>84</v>
      </c>
      <c r="X38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38" s="1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38" s="1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38" s="75">
        <v>0</v>
      </c>
      <c r="AB38" s="29">
        <v>0</v>
      </c>
      <c r="AC38" s="29">
        <v>0</v>
      </c>
      <c r="AD38" s="29">
        <v>0</v>
      </c>
      <c r="AE38" s="33" t="s">
        <v>78</v>
      </c>
      <c r="AF38" s="29">
        <v>0</v>
      </c>
      <c r="AG38" s="23">
        <v>347.19828344368852</v>
      </c>
      <c r="AH38" s="29">
        <f>IF(ISNUMBER(Tabella2[[#This Row],[Mean RADIAL stress  (MPa)]]), Tabella2[[#This Row],[Mean RADIAL stress  (MPa)]],"")</f>
        <v>0</v>
      </c>
      <c r="AI38" s="29">
        <f>IF(ISNUMBER(Tabella2[[#This Row],[Amplitute RADIAL stress  (MPa)]]), Tabella2[[#This Row],[Amplitute RADIAL stress  (MPa)]],"")</f>
        <v>0</v>
      </c>
      <c r="AJ38" s="29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38" s="29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38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38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38" s="29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38" s="2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149774.37511266724</v>
      </c>
      <c r="AP38" s="50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38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601.36506722516867</v>
      </c>
    </row>
    <row r="39" spans="1:43" ht="20.100000000000001" customHeight="1" x14ac:dyDescent="0.25">
      <c r="A39" s="1" t="s">
        <v>35</v>
      </c>
      <c r="B39" s="1">
        <v>2018</v>
      </c>
      <c r="C39" s="1" t="s">
        <v>37</v>
      </c>
      <c r="D39" s="1" t="s">
        <v>81</v>
      </c>
      <c r="E39" s="14">
        <v>3000.8304573946298</v>
      </c>
      <c r="F39" s="1" t="s">
        <v>20</v>
      </c>
      <c r="G39" s="21" t="s">
        <v>38</v>
      </c>
      <c r="H39" s="1" t="e" vm="5">
        <v>#VALUE!</v>
      </c>
      <c r="I39" s="1" t="s">
        <v>27</v>
      </c>
      <c r="J39" s="1" t="s">
        <v>32</v>
      </c>
      <c r="K39" s="1" t="s">
        <v>21</v>
      </c>
      <c r="L39" s="1" t="s">
        <v>21</v>
      </c>
      <c r="M39" s="1">
        <v>0</v>
      </c>
      <c r="N39" s="1">
        <v>13</v>
      </c>
      <c r="O39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132.73228961416876</v>
      </c>
      <c r="P39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1401.9848090496575</v>
      </c>
      <c r="Q39" s="2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2803.9696180993151</v>
      </c>
      <c r="R39" s="1">
        <v>0</v>
      </c>
      <c r="S39" s="1">
        <v>0</v>
      </c>
      <c r="T39" s="1">
        <v>0</v>
      </c>
      <c r="U39" s="28" t="s">
        <v>84</v>
      </c>
      <c r="V39" s="33" t="s">
        <v>84</v>
      </c>
      <c r="W39" s="33" t="s">
        <v>84</v>
      </c>
      <c r="X39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39" s="1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39" s="1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39" s="75">
        <v>0</v>
      </c>
      <c r="AB39" s="29">
        <v>0</v>
      </c>
      <c r="AC39" s="29">
        <v>0</v>
      </c>
      <c r="AD39" s="29">
        <v>0</v>
      </c>
      <c r="AE39" s="33" t="s">
        <v>78</v>
      </c>
      <c r="AF39" s="29">
        <v>0</v>
      </c>
      <c r="AG39" s="23">
        <v>352.2749369659345</v>
      </c>
      <c r="AH39" s="29">
        <f>IF(ISNUMBER(Tabella2[[#This Row],[Mean RADIAL stress  (MPa)]]), Tabella2[[#This Row],[Mean RADIAL stress  (MPa)]],"")</f>
        <v>0</v>
      </c>
      <c r="AI39" s="29">
        <f>IF(ISNUMBER(Tabella2[[#This Row],[Amplitute RADIAL stress  (MPa)]]), Tabella2[[#This Row],[Amplitute RADIAL stress  (MPa)]],"")</f>
        <v>0</v>
      </c>
      <c r="AJ39" s="29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39" s="29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39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39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39" s="29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39" s="2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151964.34161082024</v>
      </c>
      <c r="AP39" s="50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39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610.15808905812219</v>
      </c>
    </row>
    <row r="40" spans="1:43" ht="20.100000000000001" customHeight="1" x14ac:dyDescent="0.25">
      <c r="A40" s="1" t="s">
        <v>35</v>
      </c>
      <c r="B40" s="1">
        <v>2018</v>
      </c>
      <c r="C40" s="1" t="s">
        <v>37</v>
      </c>
      <c r="D40" s="1" t="s">
        <v>81</v>
      </c>
      <c r="E40" s="14">
        <v>7124.7566202500902</v>
      </c>
      <c r="F40" s="1" t="s">
        <v>20</v>
      </c>
      <c r="G40" s="21" t="s">
        <v>38</v>
      </c>
      <c r="H40" s="1" t="e" vm="5">
        <v>#VALUE!</v>
      </c>
      <c r="I40" s="1" t="s">
        <v>27</v>
      </c>
      <c r="J40" s="1" t="s">
        <v>32</v>
      </c>
      <c r="K40" s="1" t="s">
        <v>21</v>
      </c>
      <c r="L40" s="1" t="s">
        <v>21</v>
      </c>
      <c r="M40" s="1">
        <v>0</v>
      </c>
      <c r="N40" s="1">
        <v>13</v>
      </c>
      <c r="O40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132.73228961416876</v>
      </c>
      <c r="P40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1401.9848090496575</v>
      </c>
      <c r="Q40" s="2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2803.9696180993151</v>
      </c>
      <c r="R40" s="1">
        <v>0</v>
      </c>
      <c r="S40" s="1">
        <v>0</v>
      </c>
      <c r="T40" s="1">
        <v>0</v>
      </c>
      <c r="U40" s="28" t="s">
        <v>84</v>
      </c>
      <c r="V40" s="33" t="s">
        <v>84</v>
      </c>
      <c r="W40" s="33" t="s">
        <v>84</v>
      </c>
      <c r="X40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40" s="1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40" s="1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40" s="75">
        <v>0</v>
      </c>
      <c r="AB40" s="29">
        <v>0</v>
      </c>
      <c r="AC40" s="29">
        <v>0</v>
      </c>
      <c r="AD40" s="29">
        <v>0</v>
      </c>
      <c r="AE40" s="33" t="s">
        <v>78</v>
      </c>
      <c r="AF40" s="29">
        <v>0</v>
      </c>
      <c r="AG40" s="23">
        <v>314.79250087631601</v>
      </c>
      <c r="AH40" s="29">
        <f>IF(ISNUMBER(Tabella2[[#This Row],[Mean RADIAL stress  (MPa)]]), Tabella2[[#This Row],[Mean RADIAL stress  (MPa)]],"")</f>
        <v>0</v>
      </c>
      <c r="AI40" s="29">
        <f>IF(ISNUMBER(Tabella2[[#This Row],[Amplitute RADIAL stress  (MPa)]]), Tabella2[[#This Row],[Amplitute RADIAL stress  (MPa)]],"")</f>
        <v>0</v>
      </c>
      <c r="AJ40" s="29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40" s="29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40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40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40" s="29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40" s="2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135795.17053272185</v>
      </c>
      <c r="AP40" s="50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40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545.23660535944964</v>
      </c>
    </row>
    <row r="41" spans="1:43" ht="20.100000000000001" customHeight="1" x14ac:dyDescent="0.25">
      <c r="A41" s="1" t="s">
        <v>35</v>
      </c>
      <c r="B41" s="1">
        <v>2018</v>
      </c>
      <c r="C41" s="1" t="s">
        <v>37</v>
      </c>
      <c r="D41" s="1" t="s">
        <v>81</v>
      </c>
      <c r="E41" s="14">
        <v>7958.5173493168204</v>
      </c>
      <c r="F41" s="1" t="s">
        <v>20</v>
      </c>
      <c r="G41" s="21" t="s">
        <v>38</v>
      </c>
      <c r="H41" s="1" t="e" vm="5">
        <v>#VALUE!</v>
      </c>
      <c r="I41" s="1" t="s">
        <v>27</v>
      </c>
      <c r="J41" s="1" t="s">
        <v>32</v>
      </c>
      <c r="K41" s="1" t="s">
        <v>21</v>
      </c>
      <c r="L41" s="1" t="s">
        <v>21</v>
      </c>
      <c r="M41" s="1">
        <v>0</v>
      </c>
      <c r="N41" s="1">
        <v>13</v>
      </c>
      <c r="O41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132.73228961416876</v>
      </c>
      <c r="P41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1401.9848090496575</v>
      </c>
      <c r="Q41" s="2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2803.9696180993151</v>
      </c>
      <c r="R41" s="1">
        <v>0</v>
      </c>
      <c r="S41" s="1">
        <v>0</v>
      </c>
      <c r="T41" s="1">
        <v>0</v>
      </c>
      <c r="U41" s="28" t="s">
        <v>84</v>
      </c>
      <c r="V41" s="33" t="s">
        <v>84</v>
      </c>
      <c r="W41" s="33" t="s">
        <v>84</v>
      </c>
      <c r="X41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41" s="1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41" s="1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41" s="75">
        <v>0</v>
      </c>
      <c r="AB41" s="29">
        <v>0</v>
      </c>
      <c r="AC41" s="29">
        <v>0</v>
      </c>
      <c r="AD41" s="29">
        <v>0</v>
      </c>
      <c r="AE41" s="33" t="s">
        <v>78</v>
      </c>
      <c r="AF41" s="29">
        <v>0</v>
      </c>
      <c r="AG41" s="23">
        <v>334.824422200833</v>
      </c>
      <c r="AH41" s="29">
        <f>IF(ISNUMBER(Tabella2[[#This Row],[Mean RADIAL stress  (MPa)]]), Tabella2[[#This Row],[Mean RADIAL stress  (MPa)]],"")</f>
        <v>0</v>
      </c>
      <c r="AI41" s="29">
        <f>IF(ISNUMBER(Tabella2[[#This Row],[Amplitute RADIAL stress  (MPa)]]), Tabella2[[#This Row],[Amplitute RADIAL stress  (MPa)]],"")</f>
        <v>0</v>
      </c>
      <c r="AJ41" s="29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41" s="29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41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41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41" s="29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41" s="2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144436.53957673747</v>
      </c>
      <c r="AP41" s="50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41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579.93291086673548</v>
      </c>
    </row>
    <row r="42" spans="1:43" ht="20.100000000000001" customHeight="1" x14ac:dyDescent="0.25">
      <c r="A42" s="1" t="s">
        <v>35</v>
      </c>
      <c r="B42" s="1">
        <v>2018</v>
      </c>
      <c r="C42" s="1" t="s">
        <v>37</v>
      </c>
      <c r="D42" s="1" t="s">
        <v>81</v>
      </c>
      <c r="E42" s="14">
        <v>14320.192035824201</v>
      </c>
      <c r="F42" s="1" t="s">
        <v>20</v>
      </c>
      <c r="G42" s="21" t="s">
        <v>38</v>
      </c>
      <c r="H42" s="1" t="e" vm="5">
        <v>#VALUE!</v>
      </c>
      <c r="I42" s="1" t="s">
        <v>27</v>
      </c>
      <c r="J42" s="1" t="s">
        <v>32</v>
      </c>
      <c r="K42" s="1" t="s">
        <v>21</v>
      </c>
      <c r="L42" s="1" t="s">
        <v>21</v>
      </c>
      <c r="M42" s="1">
        <v>0</v>
      </c>
      <c r="N42" s="1">
        <v>13</v>
      </c>
      <c r="O42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132.73228961416876</v>
      </c>
      <c r="P42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1401.9848090496575</v>
      </c>
      <c r="Q42" s="2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2803.9696180993151</v>
      </c>
      <c r="R42" s="1">
        <v>0</v>
      </c>
      <c r="S42" s="1">
        <v>0</v>
      </c>
      <c r="T42" s="1">
        <v>0</v>
      </c>
      <c r="U42" s="28" t="s">
        <v>84</v>
      </c>
      <c r="V42" s="33" t="s">
        <v>84</v>
      </c>
      <c r="W42" s="33" t="s">
        <v>84</v>
      </c>
      <c r="X42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42" s="1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42" s="1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42" s="75">
        <v>0</v>
      </c>
      <c r="AB42" s="29">
        <v>0</v>
      </c>
      <c r="AC42" s="29">
        <v>0</v>
      </c>
      <c r="AD42" s="29">
        <v>0</v>
      </c>
      <c r="AE42" s="33" t="s">
        <v>78</v>
      </c>
      <c r="AF42" s="29">
        <v>0</v>
      </c>
      <c r="AG42" s="23">
        <v>287.49035200926949</v>
      </c>
      <c r="AH42" s="29">
        <f>IF(ISNUMBER(Tabella2[[#This Row],[Mean RADIAL stress  (MPa)]]), Tabella2[[#This Row],[Mean RADIAL stress  (MPa)]],"")</f>
        <v>0</v>
      </c>
      <c r="AI42" s="29">
        <f>IF(ISNUMBER(Tabella2[[#This Row],[Amplitute RADIAL stress  (MPa)]]), Tabella2[[#This Row],[Amplitute RADIAL stress  (MPa)]],"")</f>
        <v>0</v>
      </c>
      <c r="AJ42" s="29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42" s="29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42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42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42" s="29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42" s="2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124017.57115856447</v>
      </c>
      <c r="AP42" s="50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42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497.94789636591599</v>
      </c>
    </row>
    <row r="43" spans="1:43" ht="20.100000000000001" customHeight="1" x14ac:dyDescent="0.25">
      <c r="A43" s="1" t="s">
        <v>35</v>
      </c>
      <c r="B43" s="1">
        <v>2018</v>
      </c>
      <c r="C43" s="1" t="s">
        <v>37</v>
      </c>
      <c r="D43" s="1" t="s">
        <v>81</v>
      </c>
      <c r="E43" s="14">
        <v>14323.9524613006</v>
      </c>
      <c r="F43" s="1" t="s">
        <v>20</v>
      </c>
      <c r="G43" s="21" t="s">
        <v>38</v>
      </c>
      <c r="H43" s="1" t="e" vm="5">
        <v>#VALUE!</v>
      </c>
      <c r="I43" s="1" t="s">
        <v>27</v>
      </c>
      <c r="J43" s="1" t="s">
        <v>32</v>
      </c>
      <c r="K43" s="1" t="s">
        <v>21</v>
      </c>
      <c r="L43" s="1" t="s">
        <v>21</v>
      </c>
      <c r="M43" s="1">
        <v>0</v>
      </c>
      <c r="N43" s="1">
        <v>13</v>
      </c>
      <c r="O43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132.73228961416876</v>
      </c>
      <c r="P43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1401.9848090496575</v>
      </c>
      <c r="Q43" s="2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2803.9696180993151</v>
      </c>
      <c r="R43" s="1">
        <v>0</v>
      </c>
      <c r="S43" s="1">
        <v>0</v>
      </c>
      <c r="T43" s="1">
        <v>0</v>
      </c>
      <c r="U43" s="28" t="s">
        <v>84</v>
      </c>
      <c r="V43" s="33" t="s">
        <v>84</v>
      </c>
      <c r="W43" s="33" t="s">
        <v>84</v>
      </c>
      <c r="X43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43" s="1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43" s="1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43" s="75">
        <v>0</v>
      </c>
      <c r="AB43" s="29">
        <v>0</v>
      </c>
      <c r="AC43" s="29">
        <v>0</v>
      </c>
      <c r="AD43" s="29">
        <v>0</v>
      </c>
      <c r="AE43" s="33" t="s">
        <v>78</v>
      </c>
      <c r="AF43" s="29">
        <v>0</v>
      </c>
      <c r="AG43" s="23">
        <v>273.24904754471999</v>
      </c>
      <c r="AH43" s="29">
        <f>IF(ISNUMBER(Tabella2[[#This Row],[Mean RADIAL stress  (MPa)]]), Tabella2[[#This Row],[Mean RADIAL stress  (MPa)]],"")</f>
        <v>0</v>
      </c>
      <c r="AI43" s="29">
        <f>IF(ISNUMBER(Tabella2[[#This Row],[Amplitute RADIAL stress  (MPa)]]), Tabella2[[#This Row],[Amplitute RADIAL stress  (MPa)]],"")</f>
        <v>0</v>
      </c>
      <c r="AJ43" s="29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43" s="29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43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43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43" s="29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43" s="2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117874.15807538001</v>
      </c>
      <c r="AP43" s="50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43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473.28123346725886</v>
      </c>
    </row>
    <row r="44" spans="1:43" ht="20.100000000000001" customHeight="1" x14ac:dyDescent="0.25">
      <c r="A44" s="1" t="s">
        <v>35</v>
      </c>
      <c r="B44" s="1">
        <v>2018</v>
      </c>
      <c r="C44" s="1" t="s">
        <v>37</v>
      </c>
      <c r="D44" s="1" t="s">
        <v>81</v>
      </c>
      <c r="E44" s="14">
        <v>112541.98379256501</v>
      </c>
      <c r="F44" s="1" t="s">
        <v>20</v>
      </c>
      <c r="G44" s="21" t="s">
        <v>38</v>
      </c>
      <c r="H44" s="1" t="e" vm="5">
        <v>#VALUE!</v>
      </c>
      <c r="I44" s="1" t="s">
        <v>27</v>
      </c>
      <c r="J44" s="1" t="s">
        <v>32</v>
      </c>
      <c r="K44" s="1" t="s">
        <v>21</v>
      </c>
      <c r="L44" s="1" t="s">
        <v>21</v>
      </c>
      <c r="M44" s="1">
        <v>0</v>
      </c>
      <c r="N44" s="1">
        <v>13</v>
      </c>
      <c r="O44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132.73228961416876</v>
      </c>
      <c r="P44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1401.9848090496575</v>
      </c>
      <c r="Q44" s="2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2803.9696180993151</v>
      </c>
      <c r="R44" s="1">
        <v>0</v>
      </c>
      <c r="S44" s="1">
        <v>0</v>
      </c>
      <c r="T44" s="1">
        <v>0</v>
      </c>
      <c r="U44" s="28" t="s">
        <v>84</v>
      </c>
      <c r="V44" s="33" t="s">
        <v>84</v>
      </c>
      <c r="W44" s="33" t="s">
        <v>84</v>
      </c>
      <c r="X44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44" s="1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44" s="1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44" s="75">
        <v>0</v>
      </c>
      <c r="AB44" s="29">
        <v>0</v>
      </c>
      <c r="AC44" s="29">
        <v>0</v>
      </c>
      <c r="AD44" s="29">
        <v>0</v>
      </c>
      <c r="AE44" s="33" t="s">
        <v>78</v>
      </c>
      <c r="AF44" s="29">
        <v>0</v>
      </c>
      <c r="AG44" s="23">
        <v>261.60505238133248</v>
      </c>
      <c r="AH44" s="29">
        <f>IF(ISNUMBER(Tabella2[[#This Row],[Mean RADIAL stress  (MPa)]]), Tabella2[[#This Row],[Mean RADIAL stress  (MPa)]],"")</f>
        <v>0</v>
      </c>
      <c r="AI44" s="29">
        <f>IF(ISNUMBER(Tabella2[[#This Row],[Amplitute RADIAL stress  (MPa)]]), Tabella2[[#This Row],[Amplitute RADIAL stress  (MPa)]],"")</f>
        <v>0</v>
      </c>
      <c r="AJ44" s="29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44" s="29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44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44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44" s="29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44" s="2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112851.17212592864</v>
      </c>
      <c r="AP44" s="50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44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453.11324224118539</v>
      </c>
    </row>
    <row r="45" spans="1:43" ht="20.100000000000001" customHeight="1" x14ac:dyDescent="0.25">
      <c r="A45" s="1" t="s">
        <v>35</v>
      </c>
      <c r="B45" s="1">
        <v>2018</v>
      </c>
      <c r="C45" s="1" t="s">
        <v>37</v>
      </c>
      <c r="D45" s="1" t="s">
        <v>81</v>
      </c>
      <c r="E45" s="14">
        <v>423130.485588971</v>
      </c>
      <c r="F45" s="1" t="s">
        <v>20</v>
      </c>
      <c r="G45" s="21" t="s">
        <v>38</v>
      </c>
      <c r="H45" s="1" t="e" vm="5">
        <v>#VALUE!</v>
      </c>
      <c r="I45" s="1" t="s">
        <v>27</v>
      </c>
      <c r="J45" s="1" t="s">
        <v>32</v>
      </c>
      <c r="K45" s="1" t="s">
        <v>21</v>
      </c>
      <c r="L45" s="1" t="s">
        <v>21</v>
      </c>
      <c r="M45" s="1">
        <v>0</v>
      </c>
      <c r="N45" s="1">
        <v>13</v>
      </c>
      <c r="O45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132.73228961416876</v>
      </c>
      <c r="P45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1401.9848090496575</v>
      </c>
      <c r="Q45" s="2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2803.9696180993151</v>
      </c>
      <c r="R45" s="1">
        <v>0</v>
      </c>
      <c r="S45" s="1">
        <v>0</v>
      </c>
      <c r="T45" s="1">
        <v>0</v>
      </c>
      <c r="U45" s="28" t="s">
        <v>84</v>
      </c>
      <c r="V45" s="33" t="s">
        <v>84</v>
      </c>
      <c r="W45" s="33" t="s">
        <v>84</v>
      </c>
      <c r="X45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45" s="1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45" s="1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45" s="75">
        <v>0</v>
      </c>
      <c r="AB45" s="29">
        <v>0</v>
      </c>
      <c r="AC45" s="29">
        <v>0</v>
      </c>
      <c r="AD45" s="29">
        <v>0</v>
      </c>
      <c r="AE45" s="33" t="s">
        <v>78</v>
      </c>
      <c r="AF45" s="29">
        <v>0</v>
      </c>
      <c r="AG45" s="23">
        <v>239.78447895772999</v>
      </c>
      <c r="AH45" s="29">
        <f>IF(ISNUMBER(Tabella2[[#This Row],[Mean RADIAL stress  (MPa)]]), Tabella2[[#This Row],[Mean RADIAL stress  (MPa)]],"")</f>
        <v>0</v>
      </c>
      <c r="AI45" s="29">
        <f>IF(ISNUMBER(Tabella2[[#This Row],[Amplitute RADIAL stress  (MPa)]]), Tabella2[[#This Row],[Amplitute RADIAL stress  (MPa)]],"")</f>
        <v>0</v>
      </c>
      <c r="AJ45" s="29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45" s="29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45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45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45" s="29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45" s="2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103438.21444449991</v>
      </c>
      <c r="AP45" s="50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45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415.3189004212187</v>
      </c>
    </row>
    <row r="46" spans="1:43" ht="20.100000000000001" customHeight="1" x14ac:dyDescent="0.25">
      <c r="A46" s="1" t="s">
        <v>35</v>
      </c>
      <c r="B46" s="1">
        <v>2018</v>
      </c>
      <c r="C46" s="1" t="s">
        <v>37</v>
      </c>
      <c r="D46" s="1" t="s">
        <v>81</v>
      </c>
      <c r="E46" s="14">
        <v>629155.17297901702</v>
      </c>
      <c r="F46" s="1" t="s">
        <v>20</v>
      </c>
      <c r="G46" s="21" t="s">
        <v>38</v>
      </c>
      <c r="H46" s="1" t="e" vm="5">
        <v>#VALUE!</v>
      </c>
      <c r="I46" s="1" t="s">
        <v>27</v>
      </c>
      <c r="J46" s="1" t="s">
        <v>32</v>
      </c>
      <c r="K46" s="1" t="s">
        <v>21</v>
      </c>
      <c r="L46" s="1" t="s">
        <v>21</v>
      </c>
      <c r="M46" s="1">
        <v>0</v>
      </c>
      <c r="N46" s="1">
        <v>13</v>
      </c>
      <c r="O46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132.73228961416876</v>
      </c>
      <c r="P46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1401.9848090496575</v>
      </c>
      <c r="Q46" s="2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2803.9696180993151</v>
      </c>
      <c r="R46" s="1">
        <v>0</v>
      </c>
      <c r="S46" s="1">
        <v>0</v>
      </c>
      <c r="T46" s="1">
        <v>0</v>
      </c>
      <c r="U46" s="28" t="s">
        <v>84</v>
      </c>
      <c r="V46" s="33" t="s">
        <v>84</v>
      </c>
      <c r="W46" s="33" t="s">
        <v>84</v>
      </c>
      <c r="X46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46" s="1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46" s="1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46" s="75">
        <v>0</v>
      </c>
      <c r="AB46" s="29">
        <v>0</v>
      </c>
      <c r="AC46" s="29">
        <v>0</v>
      </c>
      <c r="AD46" s="29">
        <v>0</v>
      </c>
      <c r="AE46" s="33" t="s">
        <v>78</v>
      </c>
      <c r="AF46" s="29">
        <v>0</v>
      </c>
      <c r="AG46" s="23">
        <v>225.43862035593301</v>
      </c>
      <c r="AH46" s="29">
        <f>IF(ISNUMBER(Tabella2[[#This Row],[Mean RADIAL stress  (MPa)]]), Tabella2[[#This Row],[Mean RADIAL stress  (MPa)]],"")</f>
        <v>0</v>
      </c>
      <c r="AI46" s="29">
        <f>IF(ISNUMBER(Tabella2[[#This Row],[Amplitute RADIAL stress  (MPa)]]), Tabella2[[#This Row],[Amplitute RADIAL stress  (MPa)]],"")</f>
        <v>0</v>
      </c>
      <c r="AJ46" s="29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46" s="29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46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46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46" s="29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46" s="2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97249.698803732608</v>
      </c>
      <c r="AP46" s="50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46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390.47114444470731</v>
      </c>
    </row>
    <row r="47" spans="1:43" ht="20.100000000000001" customHeight="1" x14ac:dyDescent="0.25">
      <c r="A47" s="1" t="s">
        <v>35</v>
      </c>
      <c r="B47" s="1">
        <v>2018</v>
      </c>
      <c r="C47" s="1" t="s">
        <v>37</v>
      </c>
      <c r="D47" s="1" t="s">
        <v>81</v>
      </c>
      <c r="E47" s="14">
        <v>659841.46810794901</v>
      </c>
      <c r="F47" s="1" t="s">
        <v>20</v>
      </c>
      <c r="G47" s="21" t="s">
        <v>38</v>
      </c>
      <c r="H47" s="1" t="e" vm="5">
        <v>#VALUE!</v>
      </c>
      <c r="I47" s="1" t="s">
        <v>27</v>
      </c>
      <c r="J47" s="1" t="s">
        <v>32</v>
      </c>
      <c r="K47" s="1" t="s">
        <v>21</v>
      </c>
      <c r="L47" s="1" t="s">
        <v>21</v>
      </c>
      <c r="M47" s="1">
        <v>0</v>
      </c>
      <c r="N47" s="1">
        <v>13</v>
      </c>
      <c r="O47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132.73228961416876</v>
      </c>
      <c r="P47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1401.9848090496575</v>
      </c>
      <c r="Q47" s="2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2803.9696180993151</v>
      </c>
      <c r="R47" s="1">
        <v>0</v>
      </c>
      <c r="S47" s="1">
        <v>0</v>
      </c>
      <c r="T47" s="1">
        <v>0</v>
      </c>
      <c r="U47" s="28" t="s">
        <v>84</v>
      </c>
      <c r="V47" s="33" t="s">
        <v>84</v>
      </c>
      <c r="W47" s="33" t="s">
        <v>84</v>
      </c>
      <c r="X47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47" s="1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47" s="1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47" s="75">
        <v>0</v>
      </c>
      <c r="AB47" s="29">
        <v>0</v>
      </c>
      <c r="AC47" s="29">
        <v>0</v>
      </c>
      <c r="AD47" s="29">
        <v>0</v>
      </c>
      <c r="AE47" s="33" t="s">
        <v>78</v>
      </c>
      <c r="AF47" s="29">
        <v>0</v>
      </c>
      <c r="AG47" s="23">
        <v>222.99759824362849</v>
      </c>
      <c r="AH47" s="29">
        <f>IF(ISNUMBER(Tabella2[[#This Row],[Mean RADIAL stress  (MPa)]]), Tabella2[[#This Row],[Mean RADIAL stress  (MPa)]],"")</f>
        <v>0</v>
      </c>
      <c r="AI47" s="29">
        <f>IF(ISNUMBER(Tabella2[[#This Row],[Amplitute RADIAL stress  (MPa)]]), Tabella2[[#This Row],[Amplitute RADIAL stress  (MPa)]],"")</f>
        <v>0</v>
      </c>
      <c r="AJ47" s="29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47" s="29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47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47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47" s="29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47" s="2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96196.690828346385</v>
      </c>
      <c r="AP47" s="50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47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386.24317012379674</v>
      </c>
    </row>
    <row r="48" spans="1:43" ht="20.100000000000001" customHeight="1" x14ac:dyDescent="0.25">
      <c r="A48" s="1" t="s">
        <v>35</v>
      </c>
      <c r="B48" s="1">
        <v>2018</v>
      </c>
      <c r="C48" s="1" t="s">
        <v>37</v>
      </c>
      <c r="D48" s="1" t="s">
        <v>82</v>
      </c>
      <c r="E48" s="14">
        <v>42965.4273003532</v>
      </c>
      <c r="F48" s="1" t="s">
        <v>20</v>
      </c>
      <c r="G48" s="21" t="s">
        <v>38</v>
      </c>
      <c r="H48" s="1" t="e" vm="6">
        <v>#VALUE!</v>
      </c>
      <c r="I48" s="1" t="s">
        <v>27</v>
      </c>
      <c r="J48" s="1" t="s">
        <v>20</v>
      </c>
      <c r="K48" s="1" t="s">
        <v>21</v>
      </c>
      <c r="L48" s="1" t="s">
        <v>21</v>
      </c>
      <c r="M48" s="1">
        <v>0</v>
      </c>
      <c r="N48" s="1">
        <v>12</v>
      </c>
      <c r="O48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113.09733552923255</v>
      </c>
      <c r="P48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1017.8760197630929</v>
      </c>
      <c r="Q48" s="2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2035.7520395261859</v>
      </c>
      <c r="R48" s="1">
        <v>0</v>
      </c>
      <c r="S48" s="1">
        <v>0</v>
      </c>
      <c r="T48" s="1">
        <v>0</v>
      </c>
      <c r="U48" s="28" t="s">
        <v>84</v>
      </c>
      <c r="V48" s="33" t="s">
        <v>84</v>
      </c>
      <c r="W48" s="33" t="s">
        <v>84</v>
      </c>
      <c r="X48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48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48" s="1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48" s="75">
        <v>0</v>
      </c>
      <c r="AB48" s="29">
        <v>0</v>
      </c>
      <c r="AC48" s="29">
        <v>0</v>
      </c>
      <c r="AD48" s="29">
        <v>534.72048327796995</v>
      </c>
      <c r="AE48" s="33" t="s">
        <v>78</v>
      </c>
      <c r="AF48" s="29">
        <v>0</v>
      </c>
      <c r="AG48" s="23">
        <v>0</v>
      </c>
      <c r="AH48" s="29">
        <f>IF(ISNUMBER(Tabella2[[#This Row],[Mean RADIAL stress  (MPa)]]), Tabella2[[#This Row],[Mean RADIAL stress  (MPa)]],"")</f>
        <v>0</v>
      </c>
      <c r="AI48" s="29">
        <f>IF(ISNUMBER(Tabella2[[#This Row],[Amplitute RADIAL stress  (MPa)]]), Tabella2[[#This Row],[Amplitute RADIAL stress  (MPa)]],"")</f>
        <v>0</v>
      </c>
      <c r="AJ48" s="29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48" s="29">
        <f>IF(ISNUMBER(Tabella2[[#This Row],[Amplitute AXIAL stress  (MPa)]]),    IF(Tabella2[[#This Row],[derived from (AXIAL/BENDING) load]]="AXIAL",Tabella2[[#This Row],[Amplitute AXIAL stress  (MPa)]]*Tabella2[[#This Row],[Area (mm^2)]],"Null"), "")</f>
        <v>60475.461911641949</v>
      </c>
      <c r="AL48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48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48" s="29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48" s="2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48" s="50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48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534.72048327796995</v>
      </c>
    </row>
    <row r="49" spans="1:43" ht="20.100000000000001" customHeight="1" x14ac:dyDescent="0.25">
      <c r="A49" s="1" t="s">
        <v>35</v>
      </c>
      <c r="B49" s="1">
        <v>2018</v>
      </c>
      <c r="C49" s="1" t="s">
        <v>37</v>
      </c>
      <c r="D49" s="1" t="s">
        <v>82</v>
      </c>
      <c r="E49" s="14">
        <v>53224.3063861345</v>
      </c>
      <c r="F49" s="1" t="s">
        <v>20</v>
      </c>
      <c r="G49" s="21" t="s">
        <v>38</v>
      </c>
      <c r="H49" s="1" t="e" vm="7">
        <v>#VALUE!</v>
      </c>
      <c r="I49" s="1" t="s">
        <v>27</v>
      </c>
      <c r="J49" s="1" t="s">
        <v>20</v>
      </c>
      <c r="K49" s="1" t="s">
        <v>21</v>
      </c>
      <c r="L49" s="1" t="s">
        <v>21</v>
      </c>
      <c r="M49" s="1">
        <v>0</v>
      </c>
      <c r="N49" s="1">
        <v>12</v>
      </c>
      <c r="O49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113.09733552923255</v>
      </c>
      <c r="P49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1017.8760197630929</v>
      </c>
      <c r="Q49" s="2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2035.7520395261859</v>
      </c>
      <c r="R49" s="1">
        <v>0</v>
      </c>
      <c r="S49" s="1">
        <v>0</v>
      </c>
      <c r="T49" s="1">
        <v>0</v>
      </c>
      <c r="U49" s="28" t="s">
        <v>84</v>
      </c>
      <c r="V49" s="33" t="s">
        <v>84</v>
      </c>
      <c r="W49" s="33" t="s">
        <v>84</v>
      </c>
      <c r="X49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49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49" s="1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49" s="75">
        <v>0</v>
      </c>
      <c r="AB49" s="29">
        <v>0</v>
      </c>
      <c r="AC49" s="29">
        <v>0</v>
      </c>
      <c r="AD49" s="29">
        <v>527.01459693751497</v>
      </c>
      <c r="AE49" s="33" t="s">
        <v>78</v>
      </c>
      <c r="AF49" s="29">
        <v>0</v>
      </c>
      <c r="AG49" s="23">
        <v>0</v>
      </c>
      <c r="AH49" s="29">
        <f>IF(ISNUMBER(Tabella2[[#This Row],[Mean RADIAL stress  (MPa)]]), Tabella2[[#This Row],[Mean RADIAL stress  (MPa)]],"")</f>
        <v>0</v>
      </c>
      <c r="AI49" s="29">
        <f>IF(ISNUMBER(Tabella2[[#This Row],[Amplitute RADIAL stress  (MPa)]]), Tabella2[[#This Row],[Amplitute RADIAL stress  (MPa)]],"")</f>
        <v>0</v>
      </c>
      <c r="AJ49" s="29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49" s="29">
        <f>IF(ISNUMBER(Tabella2[[#This Row],[Amplitute AXIAL stress  (MPa)]]),    IF(Tabella2[[#This Row],[derived from (AXIAL/BENDING) load]]="AXIAL",Tabella2[[#This Row],[Amplitute AXIAL stress  (MPa)]]*Tabella2[[#This Row],[Area (mm^2)]],"Null"), "")</f>
        <v>59603.946698645384</v>
      </c>
      <c r="AL49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49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49" s="29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49" s="2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49" s="50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49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527.01459693751497</v>
      </c>
    </row>
    <row r="50" spans="1:43" ht="20.100000000000001" customHeight="1" x14ac:dyDescent="0.25">
      <c r="A50" s="1" t="s">
        <v>35</v>
      </c>
      <c r="B50" s="1">
        <v>2018</v>
      </c>
      <c r="C50" s="1" t="s">
        <v>37</v>
      </c>
      <c r="D50" s="1" t="s">
        <v>82</v>
      </c>
      <c r="E50" s="14">
        <v>74235.914721927402</v>
      </c>
      <c r="F50" s="1" t="s">
        <v>20</v>
      </c>
      <c r="G50" s="21" t="s">
        <v>38</v>
      </c>
      <c r="H50" s="1" t="e" vm="7">
        <v>#VALUE!</v>
      </c>
      <c r="I50" s="1" t="s">
        <v>27</v>
      </c>
      <c r="J50" s="1" t="s">
        <v>20</v>
      </c>
      <c r="K50" s="1" t="s">
        <v>21</v>
      </c>
      <c r="L50" s="1" t="s">
        <v>21</v>
      </c>
      <c r="M50" s="1">
        <v>0</v>
      </c>
      <c r="N50" s="1">
        <v>12</v>
      </c>
      <c r="O50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113.09733552923255</v>
      </c>
      <c r="P50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1017.8760197630929</v>
      </c>
      <c r="Q50" s="2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2035.7520395261859</v>
      </c>
      <c r="R50" s="1">
        <v>0</v>
      </c>
      <c r="S50" s="1">
        <v>0</v>
      </c>
      <c r="T50" s="1">
        <v>0</v>
      </c>
      <c r="U50" s="28" t="s">
        <v>84</v>
      </c>
      <c r="V50" s="33" t="s">
        <v>84</v>
      </c>
      <c r="W50" s="33" t="s">
        <v>84</v>
      </c>
      <c r="X50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50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50" s="1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50" s="75">
        <v>0</v>
      </c>
      <c r="AB50" s="29">
        <v>0</v>
      </c>
      <c r="AC50" s="29">
        <v>0</v>
      </c>
      <c r="AD50" s="29">
        <v>550.47192454612002</v>
      </c>
      <c r="AE50" s="33" t="s">
        <v>78</v>
      </c>
      <c r="AF50" s="29">
        <v>0</v>
      </c>
      <c r="AG50" s="23">
        <v>0</v>
      </c>
      <c r="AH50" s="29">
        <f>IF(ISNUMBER(Tabella2[[#This Row],[Mean RADIAL stress  (MPa)]]), Tabella2[[#This Row],[Mean RADIAL stress  (MPa)]],"")</f>
        <v>0</v>
      </c>
      <c r="AI50" s="29">
        <f>IF(ISNUMBER(Tabella2[[#This Row],[Amplitute RADIAL stress  (MPa)]]), Tabella2[[#This Row],[Amplitute RADIAL stress  (MPa)]],"")</f>
        <v>0</v>
      </c>
      <c r="AJ50" s="29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50" s="29">
        <f>IF(ISNUMBER(Tabella2[[#This Row],[Amplitute AXIAL stress  (MPa)]]),    IF(Tabella2[[#This Row],[derived from (AXIAL/BENDING) load]]="AXIAL",Tabella2[[#This Row],[Amplitute AXIAL stress  (MPa)]]*Tabella2[[#This Row],[Area (mm^2)]],"Null"), "")</f>
        <v>62256.907949814922</v>
      </c>
      <c r="AL50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50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50" s="29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50" s="2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50" s="50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50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550.47192454612002</v>
      </c>
    </row>
    <row r="51" spans="1:43" ht="20.100000000000001" customHeight="1" x14ac:dyDescent="0.25">
      <c r="A51" s="1" t="s">
        <v>35</v>
      </c>
      <c r="B51" s="1">
        <v>2018</v>
      </c>
      <c r="C51" s="1" t="s">
        <v>37</v>
      </c>
      <c r="D51" s="1" t="s">
        <v>82</v>
      </c>
      <c r="E51" s="14">
        <v>84965.203220913594</v>
      </c>
      <c r="F51" s="1" t="s">
        <v>20</v>
      </c>
      <c r="G51" s="21" t="s">
        <v>38</v>
      </c>
      <c r="H51" s="1" t="e" vm="7">
        <v>#VALUE!</v>
      </c>
      <c r="I51" s="1" t="s">
        <v>27</v>
      </c>
      <c r="J51" s="1" t="s">
        <v>20</v>
      </c>
      <c r="K51" s="1" t="s">
        <v>21</v>
      </c>
      <c r="L51" s="1" t="s">
        <v>21</v>
      </c>
      <c r="M51" s="1">
        <v>0</v>
      </c>
      <c r="N51" s="1">
        <v>12</v>
      </c>
      <c r="O51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113.09733552923255</v>
      </c>
      <c r="P51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1017.8760197630929</v>
      </c>
      <c r="Q51" s="2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2035.7520395261859</v>
      </c>
      <c r="R51" s="1">
        <v>0</v>
      </c>
      <c r="S51" s="1">
        <v>0</v>
      </c>
      <c r="T51" s="1">
        <v>0</v>
      </c>
      <c r="U51" s="28" t="s">
        <v>84</v>
      </c>
      <c r="V51" s="33" t="s">
        <v>84</v>
      </c>
      <c r="W51" s="33" t="s">
        <v>84</v>
      </c>
      <c r="X51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51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51" s="1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51" s="75">
        <v>0</v>
      </c>
      <c r="AB51" s="29">
        <v>0</v>
      </c>
      <c r="AC51" s="29">
        <v>0</v>
      </c>
      <c r="AD51" s="29">
        <v>527.01459693751497</v>
      </c>
      <c r="AE51" s="33" t="s">
        <v>78</v>
      </c>
      <c r="AF51" s="29">
        <v>0</v>
      </c>
      <c r="AG51" s="23">
        <v>0</v>
      </c>
      <c r="AH51" s="29">
        <f>IF(ISNUMBER(Tabella2[[#This Row],[Mean RADIAL stress  (MPa)]]), Tabella2[[#This Row],[Mean RADIAL stress  (MPa)]],"")</f>
        <v>0</v>
      </c>
      <c r="AI51" s="29">
        <f>IF(ISNUMBER(Tabella2[[#This Row],[Amplitute RADIAL stress  (MPa)]]), Tabella2[[#This Row],[Amplitute RADIAL stress  (MPa)]],"")</f>
        <v>0</v>
      </c>
      <c r="AJ51" s="29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51" s="29">
        <f>IF(ISNUMBER(Tabella2[[#This Row],[Amplitute AXIAL stress  (MPa)]]),    IF(Tabella2[[#This Row],[derived from (AXIAL/BENDING) load]]="AXIAL",Tabella2[[#This Row],[Amplitute AXIAL stress  (MPa)]]*Tabella2[[#This Row],[Area (mm^2)]],"Null"), "")</f>
        <v>59603.946698645384</v>
      </c>
      <c r="AL51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51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51" s="29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51" s="2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51" s="50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51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527.01459693751497</v>
      </c>
    </row>
    <row r="52" spans="1:43" ht="20.100000000000001" customHeight="1" x14ac:dyDescent="0.25">
      <c r="A52" s="1" t="s">
        <v>35</v>
      </c>
      <c r="B52" s="1">
        <v>2018</v>
      </c>
      <c r="C52" s="1" t="s">
        <v>37</v>
      </c>
      <c r="D52" s="1" t="s">
        <v>82</v>
      </c>
      <c r="E52" s="14">
        <v>85644.660116190003</v>
      </c>
      <c r="F52" s="1" t="s">
        <v>20</v>
      </c>
      <c r="G52" s="21" t="s">
        <v>38</v>
      </c>
      <c r="H52" s="1" t="e" vm="7">
        <v>#VALUE!</v>
      </c>
      <c r="I52" s="1" t="s">
        <v>27</v>
      </c>
      <c r="J52" s="1" t="s">
        <v>20</v>
      </c>
      <c r="K52" s="1" t="s">
        <v>21</v>
      </c>
      <c r="L52" s="1" t="s">
        <v>21</v>
      </c>
      <c r="M52" s="1">
        <v>0</v>
      </c>
      <c r="N52" s="1">
        <v>12</v>
      </c>
      <c r="O52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113.09733552923255</v>
      </c>
      <c r="P52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1017.8760197630929</v>
      </c>
      <c r="Q52" s="2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2035.7520395261859</v>
      </c>
      <c r="R52" s="1">
        <v>0</v>
      </c>
      <c r="S52" s="1">
        <v>0</v>
      </c>
      <c r="T52" s="1">
        <v>0</v>
      </c>
      <c r="U52" s="28" t="s">
        <v>84</v>
      </c>
      <c r="V52" s="33" t="s">
        <v>84</v>
      </c>
      <c r="W52" s="33" t="s">
        <v>84</v>
      </c>
      <c r="X52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52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52" s="1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52" s="75">
        <v>0</v>
      </c>
      <c r="AB52" s="29">
        <v>0</v>
      </c>
      <c r="AC52" s="29">
        <v>0</v>
      </c>
      <c r="AD52" s="29">
        <v>523.20339806564004</v>
      </c>
      <c r="AE52" s="33" t="s">
        <v>78</v>
      </c>
      <c r="AF52" s="29">
        <v>0</v>
      </c>
      <c r="AG52" s="23">
        <v>0</v>
      </c>
      <c r="AH52" s="29">
        <f>IF(ISNUMBER(Tabella2[[#This Row],[Mean RADIAL stress  (MPa)]]), Tabella2[[#This Row],[Mean RADIAL stress  (MPa)]],"")</f>
        <v>0</v>
      </c>
      <c r="AI52" s="29">
        <f>IF(ISNUMBER(Tabella2[[#This Row],[Amplitute RADIAL stress  (MPa)]]), Tabella2[[#This Row],[Amplitute RADIAL stress  (MPa)]],"")</f>
        <v>0</v>
      </c>
      <c r="AJ52" s="29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52" s="29">
        <f>IF(ISNUMBER(Tabella2[[#This Row],[Amplitute AXIAL stress  (MPa)]]),    IF(Tabella2[[#This Row],[derived from (AXIAL/BENDING) load]]="AXIAL",Tabella2[[#This Row],[Amplitute AXIAL stress  (MPa)]]*Tabella2[[#This Row],[Area (mm^2)]],"Null"), "")</f>
        <v>59172.910261064317</v>
      </c>
      <c r="AL52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52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52" s="29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52" s="2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52" s="50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52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523.20339806564004</v>
      </c>
    </row>
    <row r="53" spans="1:43" ht="20.100000000000001" customHeight="1" x14ac:dyDescent="0.25">
      <c r="A53" s="1" t="s">
        <v>35</v>
      </c>
      <c r="B53" s="1">
        <v>2018</v>
      </c>
      <c r="C53" s="1" t="s">
        <v>37</v>
      </c>
      <c r="D53" s="1" t="s">
        <v>82</v>
      </c>
      <c r="E53" s="14">
        <v>105236.60189674101</v>
      </c>
      <c r="F53" s="1" t="s">
        <v>20</v>
      </c>
      <c r="G53" s="21" t="s">
        <v>38</v>
      </c>
      <c r="H53" s="1" t="e" vm="7">
        <v>#VALUE!</v>
      </c>
      <c r="I53" s="1" t="s">
        <v>27</v>
      </c>
      <c r="J53" s="1" t="s">
        <v>20</v>
      </c>
      <c r="K53" s="1" t="s">
        <v>21</v>
      </c>
      <c r="L53" s="1" t="s">
        <v>21</v>
      </c>
      <c r="M53" s="1">
        <v>0</v>
      </c>
      <c r="N53" s="1">
        <v>12</v>
      </c>
      <c r="O53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113.09733552923255</v>
      </c>
      <c r="P53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1017.8760197630929</v>
      </c>
      <c r="Q53" s="2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2035.7520395261859</v>
      </c>
      <c r="R53" s="1">
        <v>0</v>
      </c>
      <c r="S53" s="1">
        <v>0</v>
      </c>
      <c r="T53" s="1">
        <v>0</v>
      </c>
      <c r="U53" s="28" t="s">
        <v>84</v>
      </c>
      <c r="V53" s="33" t="s">
        <v>84</v>
      </c>
      <c r="W53" s="33" t="s">
        <v>84</v>
      </c>
      <c r="X53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53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53" s="1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53" s="75">
        <v>0</v>
      </c>
      <c r="AB53" s="29">
        <v>0</v>
      </c>
      <c r="AC53" s="29">
        <v>0</v>
      </c>
      <c r="AD53" s="29">
        <v>534.72048327796995</v>
      </c>
      <c r="AE53" s="33" t="s">
        <v>78</v>
      </c>
      <c r="AF53" s="29">
        <v>0</v>
      </c>
      <c r="AG53" s="23">
        <v>0</v>
      </c>
      <c r="AH53" s="29">
        <f>IF(ISNUMBER(Tabella2[[#This Row],[Mean RADIAL stress  (MPa)]]), Tabella2[[#This Row],[Mean RADIAL stress  (MPa)]],"")</f>
        <v>0</v>
      </c>
      <c r="AI53" s="29">
        <f>IF(ISNUMBER(Tabella2[[#This Row],[Amplitute RADIAL stress  (MPa)]]), Tabella2[[#This Row],[Amplitute RADIAL stress  (MPa)]],"")</f>
        <v>0</v>
      </c>
      <c r="AJ53" s="29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53" s="29">
        <f>IF(ISNUMBER(Tabella2[[#This Row],[Amplitute AXIAL stress  (MPa)]]),    IF(Tabella2[[#This Row],[derived from (AXIAL/BENDING) load]]="AXIAL",Tabella2[[#This Row],[Amplitute AXIAL stress  (MPa)]]*Tabella2[[#This Row],[Area (mm^2)]],"Null"), "")</f>
        <v>60475.461911641949</v>
      </c>
      <c r="AL53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53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53" s="29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53" s="2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53" s="50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53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534.72048327796995</v>
      </c>
    </row>
    <row r="54" spans="1:43" ht="20.100000000000001" customHeight="1" x14ac:dyDescent="0.25">
      <c r="A54" s="1" t="s">
        <v>35</v>
      </c>
      <c r="B54" s="1">
        <v>2018</v>
      </c>
      <c r="C54" s="1" t="s">
        <v>37</v>
      </c>
      <c r="D54" s="1" t="s">
        <v>83</v>
      </c>
      <c r="E54" s="14">
        <v>68593.4749905809</v>
      </c>
      <c r="F54" s="1" t="s">
        <v>20</v>
      </c>
      <c r="G54" s="21" t="s">
        <v>38</v>
      </c>
      <c r="H54" s="1" t="e" vm="8">
        <v>#VALUE!</v>
      </c>
      <c r="I54" s="1" t="s">
        <v>27</v>
      </c>
      <c r="J54" s="1" t="s">
        <v>20</v>
      </c>
      <c r="K54" s="1" t="s">
        <v>21</v>
      </c>
      <c r="L54" s="1" t="s">
        <v>21</v>
      </c>
      <c r="M54" s="1">
        <v>0</v>
      </c>
      <c r="N54" s="1">
        <v>14</v>
      </c>
      <c r="O54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54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54" s="2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54" s="1">
        <v>0</v>
      </c>
      <c r="S54" s="1">
        <v>0</v>
      </c>
      <c r="T54" s="1">
        <v>0</v>
      </c>
      <c r="U54" s="28" t="s">
        <v>84</v>
      </c>
      <c r="V54" s="33" t="s">
        <v>84</v>
      </c>
      <c r="W54" s="33" t="s">
        <v>84</v>
      </c>
      <c r="X54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54" s="1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54" s="1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54" s="75">
        <v>0</v>
      </c>
      <c r="AB54" s="29">
        <v>0</v>
      </c>
      <c r="AC54" s="29">
        <v>0</v>
      </c>
      <c r="AD54" s="29">
        <v>0</v>
      </c>
      <c r="AE54" s="33" t="s">
        <v>78</v>
      </c>
      <c r="AF54" s="29">
        <v>0</v>
      </c>
      <c r="AG54" s="23">
        <v>527.01459693751497</v>
      </c>
      <c r="AH54" s="29">
        <f>IF(ISNUMBER(Tabella2[[#This Row],[Mean RADIAL stress  (MPa)]]), Tabella2[[#This Row],[Mean RADIAL stress  (MPa)]],"")</f>
        <v>0</v>
      </c>
      <c r="AI54" s="29">
        <f>IF(ISNUMBER(Tabella2[[#This Row],[Amplitute RADIAL stress  (MPa)]]), Tabella2[[#This Row],[Amplitute RADIAL stress  (MPa)]],"")</f>
        <v>0</v>
      </c>
      <c r="AJ54" s="29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54" s="29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54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54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54" s="29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54" s="2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283946.57941160229</v>
      </c>
      <c r="AP54" s="50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54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912.81605822620918</v>
      </c>
    </row>
    <row r="55" spans="1:43" ht="20.100000000000001" customHeight="1" x14ac:dyDescent="0.25">
      <c r="A55" s="1" t="s">
        <v>35</v>
      </c>
      <c r="B55" s="1">
        <v>2018</v>
      </c>
      <c r="C55" s="1" t="s">
        <v>37</v>
      </c>
      <c r="D55" s="1" t="s">
        <v>83</v>
      </c>
      <c r="E55" s="14">
        <v>69123.857420208195</v>
      </c>
      <c r="F55" s="1" t="s">
        <v>20</v>
      </c>
      <c r="G55" s="21" t="s">
        <v>38</v>
      </c>
      <c r="H55" s="1" t="e" vm="8">
        <v>#VALUE!</v>
      </c>
      <c r="I55" s="1" t="s">
        <v>27</v>
      </c>
      <c r="J55" s="1" t="s">
        <v>20</v>
      </c>
      <c r="K55" s="1" t="s">
        <v>21</v>
      </c>
      <c r="L55" s="1" t="s">
        <v>21</v>
      </c>
      <c r="M55" s="1">
        <v>0</v>
      </c>
      <c r="N55" s="1">
        <v>14</v>
      </c>
      <c r="O55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55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55" s="2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55" s="1">
        <v>0</v>
      </c>
      <c r="S55" s="1">
        <v>0</v>
      </c>
      <c r="T55" s="1">
        <v>0</v>
      </c>
      <c r="U55" s="28" t="s">
        <v>84</v>
      </c>
      <c r="V55" s="33" t="s">
        <v>84</v>
      </c>
      <c r="W55" s="33" t="s">
        <v>84</v>
      </c>
      <c r="X55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55" s="1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55" s="1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55" s="75">
        <v>0</v>
      </c>
      <c r="AB55" s="29">
        <v>0</v>
      </c>
      <c r="AC55" s="29">
        <v>0</v>
      </c>
      <c r="AD55" s="29">
        <v>0</v>
      </c>
      <c r="AE55" s="33" t="s">
        <v>78</v>
      </c>
      <c r="AF55" s="29">
        <v>0</v>
      </c>
      <c r="AG55" s="23">
        <v>550.47192454612002</v>
      </c>
      <c r="AH55" s="29">
        <f>IF(ISNUMBER(Tabella2[[#This Row],[Mean RADIAL stress  (MPa)]]), Tabella2[[#This Row],[Mean RADIAL stress  (MPa)]],"")</f>
        <v>0</v>
      </c>
      <c r="AI55" s="29">
        <f>IF(ISNUMBER(Tabella2[[#This Row],[Amplitute RADIAL stress  (MPa)]]), Tabella2[[#This Row],[Amplitute RADIAL stress  (MPa)]],"")</f>
        <v>0</v>
      </c>
      <c r="AJ55" s="29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55" s="29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55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55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55" s="29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55" s="2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296584.9920387016</v>
      </c>
      <c r="AP55" s="50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55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953.44534145410125</v>
      </c>
    </row>
    <row r="56" spans="1:43" ht="19.5" customHeight="1" x14ac:dyDescent="0.25">
      <c r="A56" s="1" t="s">
        <v>35</v>
      </c>
      <c r="B56" s="1">
        <v>2018</v>
      </c>
      <c r="C56" s="1" t="s">
        <v>37</v>
      </c>
      <c r="D56" s="1" t="s">
        <v>83</v>
      </c>
      <c r="E56" s="14">
        <v>113049.056923065</v>
      </c>
      <c r="F56" s="1" t="s">
        <v>20</v>
      </c>
      <c r="G56" s="21" t="s">
        <v>38</v>
      </c>
      <c r="H56" s="1" t="e" vm="8">
        <v>#VALUE!</v>
      </c>
      <c r="I56" s="1" t="s">
        <v>27</v>
      </c>
      <c r="J56" s="1" t="s">
        <v>20</v>
      </c>
      <c r="K56" s="1" t="s">
        <v>21</v>
      </c>
      <c r="L56" s="1" t="s">
        <v>21</v>
      </c>
      <c r="M56" s="1">
        <v>0</v>
      </c>
      <c r="N56" s="1">
        <v>14</v>
      </c>
      <c r="O56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56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56" s="2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56" s="1">
        <v>0</v>
      </c>
      <c r="S56" s="1">
        <v>0</v>
      </c>
      <c r="T56" s="1">
        <v>0</v>
      </c>
      <c r="U56" s="28" t="s">
        <v>84</v>
      </c>
      <c r="V56" s="33" t="s">
        <v>84</v>
      </c>
      <c r="W56" s="33" t="s">
        <v>84</v>
      </c>
      <c r="X56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56" s="1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56" s="1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56" s="75">
        <v>0</v>
      </c>
      <c r="AB56" s="29">
        <v>0</v>
      </c>
      <c r="AC56" s="29">
        <v>0</v>
      </c>
      <c r="AD56" s="29">
        <v>0</v>
      </c>
      <c r="AE56" s="33" t="s">
        <v>78</v>
      </c>
      <c r="AF56" s="29">
        <v>0</v>
      </c>
      <c r="AG56" s="23">
        <v>508.23223018505502</v>
      </c>
      <c r="AH56" s="29">
        <f>IF(ISNUMBER(Tabella2[[#This Row],[Mean RADIAL stress  (MPa)]]), Tabella2[[#This Row],[Mean RADIAL stress  (MPa)]],"")</f>
        <v>0</v>
      </c>
      <c r="AI56" s="29">
        <f>IF(ISNUMBER(Tabella2[[#This Row],[Amplitute RADIAL stress  (MPa)]]), Tabella2[[#This Row],[Amplitute RADIAL stress  (MPa)]],"")</f>
        <v>0</v>
      </c>
      <c r="AJ56" s="29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56" s="29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56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56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56" s="29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56" s="2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273826.95687437773</v>
      </c>
      <c r="AP56" s="50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56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880.28404472455611</v>
      </c>
    </row>
    <row r="57" spans="1:43" s="17" customFormat="1" ht="20.100000000000001" customHeight="1" thickBot="1" x14ac:dyDescent="0.3">
      <c r="A57" s="17" t="s">
        <v>35</v>
      </c>
      <c r="B57" s="17">
        <v>2018</v>
      </c>
      <c r="C57" s="17" t="s">
        <v>37</v>
      </c>
      <c r="D57" s="17" t="s">
        <v>83</v>
      </c>
      <c r="E57" s="20">
        <v>421641.22786915302</v>
      </c>
      <c r="F57" s="17" t="s">
        <v>20</v>
      </c>
      <c r="G57" s="22" t="s">
        <v>38</v>
      </c>
      <c r="H57" s="17" t="e" vm="8">
        <v>#VALUE!</v>
      </c>
      <c r="I57" s="17" t="s">
        <v>27</v>
      </c>
      <c r="J57" s="17" t="s">
        <v>20</v>
      </c>
      <c r="K57" s="17" t="s">
        <v>21</v>
      </c>
      <c r="L57" s="17" t="s">
        <v>21</v>
      </c>
      <c r="M57" s="17">
        <v>0</v>
      </c>
      <c r="N57" s="17">
        <v>14</v>
      </c>
      <c r="O57" s="1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57" s="1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57" s="36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57" s="17">
        <v>0</v>
      </c>
      <c r="S57" s="17">
        <v>0</v>
      </c>
      <c r="T57" s="17">
        <v>0</v>
      </c>
      <c r="U57" s="18" t="s">
        <v>84</v>
      </c>
      <c r="V57" s="34" t="s">
        <v>84</v>
      </c>
      <c r="W57" s="34" t="s">
        <v>84</v>
      </c>
      <c r="X57" s="17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57" s="17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57" s="17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57" s="79">
        <v>0</v>
      </c>
      <c r="AB57" s="19">
        <v>0</v>
      </c>
      <c r="AC57" s="19">
        <v>0</v>
      </c>
      <c r="AD57" s="19">
        <v>0</v>
      </c>
      <c r="AE57" s="34" t="s">
        <v>78</v>
      </c>
      <c r="AF57" s="19">
        <v>0</v>
      </c>
      <c r="AG57" s="48">
        <v>474.3701625206395</v>
      </c>
      <c r="AH57" s="19">
        <f>IF(ISNUMBER(Tabella2[[#This Row],[Mean RADIAL stress  (MPa)]]), Tabella2[[#This Row],[Mean RADIAL stress  (MPa)]],"")</f>
        <v>0</v>
      </c>
      <c r="AI57" s="19">
        <f>IF(ISNUMBER(Tabella2[[#This Row],[Amplitute RADIAL stress  (MPa)]]), Tabella2[[#This Row],[Amplitute RADIAL stress  (MPa)]],"")</f>
        <v>0</v>
      </c>
      <c r="AJ57" s="19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57" s="19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57" s="1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57" s="1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57" s="19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57" s="4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255582.64572818187</v>
      </c>
      <c r="AP57" s="51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57" s="20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821.63322308045326</v>
      </c>
    </row>
    <row r="58" spans="1:43" ht="20.100000000000001" customHeight="1" x14ac:dyDescent="0.25">
      <c r="A58" s="1" t="s">
        <v>54</v>
      </c>
      <c r="B58" s="1">
        <v>2006</v>
      </c>
      <c r="C58" s="65" t="s">
        <v>53</v>
      </c>
      <c r="D58" s="1" t="s">
        <v>56</v>
      </c>
      <c r="E58" s="14">
        <v>1000000</v>
      </c>
      <c r="F58" s="1" t="s">
        <v>32</v>
      </c>
      <c r="G58" s="21" t="s">
        <v>57</v>
      </c>
      <c r="H58" s="1" t="e" vm="9">
        <v>#VALUE!</v>
      </c>
      <c r="I58" s="1" t="s">
        <v>27</v>
      </c>
      <c r="J58" s="1" t="s">
        <v>20</v>
      </c>
      <c r="K58" s="1" t="s">
        <v>21</v>
      </c>
      <c r="L58" s="1" t="s">
        <v>21</v>
      </c>
      <c r="M58" s="1">
        <v>0</v>
      </c>
      <c r="N58" s="1">
        <v>12</v>
      </c>
      <c r="O58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113.09733552923255</v>
      </c>
      <c r="P58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1017.8760197630929</v>
      </c>
      <c r="Q58" s="2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2035.7520395261859</v>
      </c>
      <c r="R58" s="1">
        <v>0</v>
      </c>
      <c r="S58" s="1">
        <v>0</v>
      </c>
      <c r="T58" s="1">
        <v>0</v>
      </c>
      <c r="U58" s="28">
        <v>20</v>
      </c>
      <c r="V58" s="33">
        <v>20</v>
      </c>
      <c r="W58" s="33">
        <v>20</v>
      </c>
      <c r="X58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58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58" s="1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58" s="75">
        <v>0</v>
      </c>
      <c r="AB58" s="29">
        <v>0</v>
      </c>
      <c r="AC58" s="29">
        <v>0</v>
      </c>
      <c r="AD58" s="29">
        <v>652</v>
      </c>
      <c r="AE58" s="33" t="s">
        <v>78</v>
      </c>
      <c r="AF58" s="29">
        <v>0</v>
      </c>
      <c r="AG58" s="23">
        <v>0</v>
      </c>
      <c r="AH58" s="29">
        <f>IF(ISNUMBER(Tabella2[[#This Row],[Mean RADIAL stress  (MPa)]]), Tabella2[[#This Row],[Mean RADIAL stress  (MPa)]],"")</f>
        <v>0</v>
      </c>
      <c r="AI58" s="29">
        <f>IF(ISNUMBER(Tabella2[[#This Row],[Amplitute RADIAL stress  (MPa)]]), Tabella2[[#This Row],[Amplitute RADIAL stress  (MPa)]],"")</f>
        <v>0</v>
      </c>
      <c r="AJ58" s="29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58" s="29">
        <f>IF(ISNUMBER(Tabella2[[#This Row],[Amplitute AXIAL stress  (MPa)]]),    IF(Tabella2[[#This Row],[derived from (AXIAL/BENDING) load]]="AXIAL",Tabella2[[#This Row],[Amplitute AXIAL stress  (MPa)]]*Tabella2[[#This Row],[Area (mm^2)]],"Null"), "")</f>
        <v>73739.462765059623</v>
      </c>
      <c r="AL58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58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58" s="29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58" s="2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58" s="50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58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652</v>
      </c>
    </row>
    <row r="59" spans="1:43" ht="20.100000000000001" customHeight="1" x14ac:dyDescent="0.25">
      <c r="A59" s="1" t="s">
        <v>54</v>
      </c>
      <c r="B59" s="1">
        <v>2006</v>
      </c>
      <c r="C59" s="64" t="s">
        <v>53</v>
      </c>
      <c r="D59" s="1" t="s">
        <v>56</v>
      </c>
      <c r="E59" s="14">
        <v>1000000</v>
      </c>
      <c r="F59" s="1" t="s">
        <v>32</v>
      </c>
      <c r="G59" s="21" t="s">
        <v>57</v>
      </c>
      <c r="H59" s="1" t="e" vm="9">
        <v>#VALUE!</v>
      </c>
      <c r="I59" s="1" t="s">
        <v>27</v>
      </c>
      <c r="J59" s="1" t="s">
        <v>20</v>
      </c>
      <c r="K59" s="1" t="s">
        <v>21</v>
      </c>
      <c r="L59" s="1" t="s">
        <v>21</v>
      </c>
      <c r="M59" s="1">
        <v>0</v>
      </c>
      <c r="N59" s="1">
        <v>12</v>
      </c>
      <c r="O59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113.09733552923255</v>
      </c>
      <c r="P59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1017.8760197630929</v>
      </c>
      <c r="Q59" s="2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2035.7520395261859</v>
      </c>
      <c r="R59" s="1">
        <v>0</v>
      </c>
      <c r="S59" s="1">
        <v>0</v>
      </c>
      <c r="T59" s="1">
        <v>0</v>
      </c>
      <c r="U59" s="28">
        <v>20</v>
      </c>
      <c r="V59" s="33">
        <v>20</v>
      </c>
      <c r="W59" s="33">
        <v>20</v>
      </c>
      <c r="X59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59" s="1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59" s="1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59" s="75">
        <v>0</v>
      </c>
      <c r="AB59" s="29">
        <v>0</v>
      </c>
      <c r="AC59" s="29">
        <v>0</v>
      </c>
      <c r="AD59" s="29">
        <v>0</v>
      </c>
      <c r="AE59" s="33" t="s">
        <v>78</v>
      </c>
      <c r="AF59" s="29">
        <v>0</v>
      </c>
      <c r="AG59" s="23">
        <v>441</v>
      </c>
      <c r="AH59" s="29">
        <f>IF(ISNUMBER(Tabella2[[#This Row],[Mean RADIAL stress  (MPa)]]), Tabella2[[#This Row],[Mean RADIAL stress  (MPa)]],"")</f>
        <v>0</v>
      </c>
      <c r="AI59" s="29">
        <f>IF(ISNUMBER(Tabella2[[#This Row],[Amplitute RADIAL stress  (MPa)]]), Tabella2[[#This Row],[Amplitute RADIAL stress  (MPa)]],"")</f>
        <v>0</v>
      </c>
      <c r="AJ59" s="29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59" s="29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59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59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59" s="29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59" s="2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149627.77490517465</v>
      </c>
      <c r="AP59" s="50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59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763.83440613787491</v>
      </c>
    </row>
    <row r="60" spans="1:43" ht="20.100000000000001" customHeight="1" x14ac:dyDescent="0.25">
      <c r="A60" s="1" t="s">
        <v>54</v>
      </c>
      <c r="B60" s="1">
        <v>2006</v>
      </c>
      <c r="C60" s="64" t="s">
        <v>53</v>
      </c>
      <c r="D60" s="1" t="s">
        <v>56</v>
      </c>
      <c r="E60" s="14">
        <v>1000000</v>
      </c>
      <c r="F60" s="1" t="s">
        <v>32</v>
      </c>
      <c r="G60" s="21" t="s">
        <v>57</v>
      </c>
      <c r="H60" s="1" t="e" vm="9">
        <v>#VALUE!</v>
      </c>
      <c r="I60" s="1" t="s">
        <v>27</v>
      </c>
      <c r="J60" s="1" t="s">
        <v>20</v>
      </c>
      <c r="K60" s="1" t="s">
        <v>21</v>
      </c>
      <c r="L60" s="1" t="s">
        <v>21</v>
      </c>
      <c r="M60" s="1">
        <v>0</v>
      </c>
      <c r="N60" s="1">
        <v>12</v>
      </c>
      <c r="O60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113.09733552923255</v>
      </c>
      <c r="P60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1017.8760197630929</v>
      </c>
      <c r="Q60" s="2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2035.7520395261859</v>
      </c>
      <c r="R60" s="1">
        <v>0</v>
      </c>
      <c r="S60" s="1">
        <v>0</v>
      </c>
      <c r="T60" s="1">
        <v>0</v>
      </c>
      <c r="U60" s="28">
        <v>20</v>
      </c>
      <c r="V60" s="33">
        <v>20</v>
      </c>
      <c r="W60" s="33">
        <v>20</v>
      </c>
      <c r="X60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60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60" s="1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60" s="75">
        <v>0</v>
      </c>
      <c r="AB60" s="29">
        <v>0</v>
      </c>
      <c r="AC60" s="29">
        <v>0</v>
      </c>
      <c r="AD60" s="29">
        <v>442</v>
      </c>
      <c r="AE60" s="33" t="s">
        <v>78</v>
      </c>
      <c r="AF60" s="29">
        <v>0</v>
      </c>
      <c r="AG60" s="23">
        <v>255</v>
      </c>
      <c r="AH60" s="29">
        <f>IF(ISNUMBER(Tabella2[[#This Row],[Mean RADIAL stress  (MPa)]]), Tabella2[[#This Row],[Mean RADIAL stress  (MPa)]],"")</f>
        <v>0</v>
      </c>
      <c r="AI60" s="29">
        <f>IF(ISNUMBER(Tabella2[[#This Row],[Amplitute RADIAL stress  (MPa)]]), Tabella2[[#This Row],[Amplitute RADIAL stress  (MPa)]],"")</f>
        <v>0</v>
      </c>
      <c r="AJ60" s="29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60" s="29">
        <f>IF(ISNUMBER(Tabella2[[#This Row],[Amplitute AXIAL stress  (MPa)]]),    IF(Tabella2[[#This Row],[derived from (AXIAL/BENDING) load]]="AXIAL",Tabella2[[#This Row],[Amplitute AXIAL stress  (MPa)]]*Tabella2[[#This Row],[Area (mm^2)]],"Null"), "")</f>
        <v>49989.022303920785</v>
      </c>
      <c r="AL60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60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60" s="29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60" s="2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86519.461679862899</v>
      </c>
      <c r="AP60" s="50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0.57692307692307687</v>
      </c>
      <c r="AQ60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624.85118228262957</v>
      </c>
    </row>
    <row r="61" spans="1:43" s="17" customFormat="1" ht="20.100000000000001" customHeight="1" thickBot="1" x14ac:dyDescent="0.3">
      <c r="A61" s="17" t="s">
        <v>54</v>
      </c>
      <c r="B61" s="17">
        <v>2006</v>
      </c>
      <c r="C61" s="76" t="s">
        <v>53</v>
      </c>
      <c r="D61" s="17" t="s">
        <v>56</v>
      </c>
      <c r="E61" s="20">
        <v>1000000</v>
      </c>
      <c r="F61" s="17" t="s">
        <v>32</v>
      </c>
      <c r="G61" s="22" t="s">
        <v>57</v>
      </c>
      <c r="H61" s="17" t="e" vm="9">
        <v>#VALUE!</v>
      </c>
      <c r="I61" s="17" t="s">
        <v>27</v>
      </c>
      <c r="J61" s="17" t="s">
        <v>20</v>
      </c>
      <c r="K61" s="17" t="s">
        <v>21</v>
      </c>
      <c r="L61" s="17" t="s">
        <v>21</v>
      </c>
      <c r="M61" s="17">
        <v>0</v>
      </c>
      <c r="N61" s="17">
        <v>12</v>
      </c>
      <c r="O61" s="1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113.09733552923255</v>
      </c>
      <c r="P61" s="1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1017.8760197630929</v>
      </c>
      <c r="Q61" s="36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2035.7520395261859</v>
      </c>
      <c r="R61" s="17">
        <v>0</v>
      </c>
      <c r="S61" s="17">
        <v>0</v>
      </c>
      <c r="T61" s="17">
        <v>90</v>
      </c>
      <c r="U61" s="18">
        <v>20</v>
      </c>
      <c r="V61" s="34">
        <v>20</v>
      </c>
      <c r="W61" s="34">
        <v>20</v>
      </c>
      <c r="X61" s="17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61" s="17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61" s="17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61" s="79">
        <v>0</v>
      </c>
      <c r="AB61" s="19">
        <v>0</v>
      </c>
      <c r="AC61" s="19">
        <v>0</v>
      </c>
      <c r="AD61" s="19">
        <v>567</v>
      </c>
      <c r="AE61" s="34" t="s">
        <v>78</v>
      </c>
      <c r="AF61" s="19">
        <v>0</v>
      </c>
      <c r="AG61" s="48">
        <v>328</v>
      </c>
      <c r="AH61" s="19">
        <f>IF(ISNUMBER(Tabella2[[#This Row],[Mean RADIAL stress  (MPa)]]), Tabella2[[#This Row],[Mean RADIAL stress  (MPa)]],"")</f>
        <v>0</v>
      </c>
      <c r="AI61" s="19">
        <f>IF(ISNUMBER(Tabella2[[#This Row],[Amplitute RADIAL stress  (MPa)]]), Tabella2[[#This Row],[Amplitute RADIAL stress  (MPa)]],"")</f>
        <v>0</v>
      </c>
      <c r="AJ61" s="19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61" s="19">
        <f>IF(ISNUMBER(Tabella2[[#This Row],[Amplitute AXIAL stress  (MPa)]]),    IF(Tabella2[[#This Row],[derived from (AXIAL/BENDING) load]]="AXIAL",Tabella2[[#This Row],[Amplitute AXIAL stress  (MPa)]]*Tabella2[[#This Row],[Area (mm^2)]],"Null"), "")</f>
        <v>64126.189245074856</v>
      </c>
      <c r="AL61" s="1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61" s="1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61" s="19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61" s="4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111287.77816076484</v>
      </c>
      <c r="AP61" s="51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0.57848324514991178</v>
      </c>
      <c r="AQ61" s="20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802.64624835602388</v>
      </c>
    </row>
    <row r="62" spans="1:43" x14ac:dyDescent="0.25">
      <c r="O62" s="28"/>
      <c r="P62" s="28"/>
      <c r="Z62" s="68"/>
      <c r="AG62" s="24"/>
    </row>
    <row r="63" spans="1:43" x14ac:dyDescent="0.25">
      <c r="O63" s="28"/>
      <c r="P63" s="28"/>
      <c r="Z63" s="68"/>
      <c r="AG63" s="24"/>
    </row>
    <row r="64" spans="1:43" x14ac:dyDescent="0.25">
      <c r="O64" s="28"/>
      <c r="P64" s="28"/>
      <c r="Z64" s="68"/>
      <c r="AG64" s="24"/>
    </row>
    <row r="65" spans="15:33" x14ac:dyDescent="0.25">
      <c r="O65" s="28"/>
      <c r="P65" s="28"/>
      <c r="Z65" s="68"/>
      <c r="AG65" s="24"/>
    </row>
    <row r="66" spans="15:33" x14ac:dyDescent="0.25">
      <c r="O66" s="28"/>
      <c r="P66" s="28"/>
      <c r="Z66" s="68"/>
      <c r="AG66" s="24"/>
    </row>
    <row r="67" spans="15:33" x14ac:dyDescent="0.25">
      <c r="O67" s="28"/>
      <c r="P67" s="28"/>
      <c r="Z67" s="68"/>
      <c r="AG67" s="24"/>
    </row>
    <row r="68" spans="15:33" ht="13.5" customHeight="1" x14ac:dyDescent="0.25">
      <c r="O68" s="28"/>
      <c r="P68" s="28"/>
      <c r="Z68" s="68"/>
      <c r="AG68" s="24"/>
    </row>
    <row r="69" spans="15:33" x14ac:dyDescent="0.25">
      <c r="O69" s="28"/>
      <c r="P69" s="28"/>
      <c r="Z69" s="68"/>
      <c r="AG69" s="24"/>
    </row>
    <row r="70" spans="15:33" x14ac:dyDescent="0.25">
      <c r="O70" s="28"/>
      <c r="P70" s="28"/>
      <c r="Z70" s="68"/>
      <c r="AG70" s="24"/>
    </row>
    <row r="71" spans="15:33" x14ac:dyDescent="0.25">
      <c r="O71" s="28"/>
      <c r="P71" s="28"/>
      <c r="Z71" s="68"/>
      <c r="AG71" s="24"/>
    </row>
    <row r="72" spans="15:33" x14ac:dyDescent="0.25">
      <c r="O72" s="28"/>
      <c r="P72" s="28"/>
      <c r="Z72" s="68"/>
      <c r="AG72" s="24"/>
    </row>
    <row r="73" spans="15:33" x14ac:dyDescent="0.25">
      <c r="O73" s="28"/>
      <c r="P73" s="28"/>
      <c r="Z73" s="68"/>
      <c r="AG73" s="24"/>
    </row>
    <row r="74" spans="15:33" x14ac:dyDescent="0.25">
      <c r="O74" s="28"/>
      <c r="P74" s="28"/>
      <c r="Z74" s="68"/>
      <c r="AG74" s="24"/>
    </row>
    <row r="75" spans="15:33" x14ac:dyDescent="0.25">
      <c r="O75" s="28"/>
      <c r="P75" s="28"/>
      <c r="Z75" s="68"/>
      <c r="AG75" s="24"/>
    </row>
    <row r="76" spans="15:33" x14ac:dyDescent="0.25">
      <c r="O76" s="28"/>
      <c r="P76" s="28"/>
      <c r="Z76" s="68"/>
      <c r="AG76" s="24"/>
    </row>
    <row r="77" spans="15:33" x14ac:dyDescent="0.25">
      <c r="O77" s="28"/>
      <c r="P77" s="28"/>
      <c r="Z77" s="68"/>
      <c r="AG77" s="24"/>
    </row>
    <row r="78" spans="15:33" x14ac:dyDescent="0.25">
      <c r="O78" s="28"/>
      <c r="P78" s="28"/>
      <c r="Z78" s="68"/>
      <c r="AG78" s="24"/>
    </row>
    <row r="79" spans="15:33" x14ac:dyDescent="0.25">
      <c r="O79" s="28"/>
      <c r="P79" s="28"/>
      <c r="Z79" s="68"/>
      <c r="AG79" s="24"/>
    </row>
    <row r="80" spans="15:33" x14ac:dyDescent="0.25">
      <c r="O80" s="28"/>
      <c r="P80" s="28"/>
      <c r="Z80" s="68"/>
      <c r="AG80" s="24"/>
    </row>
    <row r="81" spans="15:33" x14ac:dyDescent="0.25">
      <c r="O81" s="28"/>
      <c r="P81" s="28"/>
      <c r="Z81" s="68"/>
      <c r="AG81" s="24"/>
    </row>
    <row r="82" spans="15:33" x14ac:dyDescent="0.25">
      <c r="O82" s="28"/>
      <c r="P82" s="28"/>
      <c r="Z82" s="68"/>
      <c r="AG82" s="24"/>
    </row>
    <row r="83" spans="15:33" x14ac:dyDescent="0.25">
      <c r="O83" s="28"/>
      <c r="P83" s="28"/>
      <c r="Z83" s="68"/>
      <c r="AG83" s="24"/>
    </row>
    <row r="84" spans="15:33" x14ac:dyDescent="0.25">
      <c r="O84" s="28"/>
      <c r="P84" s="28"/>
      <c r="Z84" s="68"/>
      <c r="AG84" s="24"/>
    </row>
    <row r="85" spans="15:33" x14ac:dyDescent="0.25">
      <c r="O85" s="28"/>
      <c r="P85" s="28"/>
      <c r="Z85" s="68"/>
      <c r="AG85" s="24"/>
    </row>
    <row r="86" spans="15:33" x14ac:dyDescent="0.25">
      <c r="O86" s="28"/>
      <c r="P86" s="28"/>
      <c r="Z86" s="68"/>
      <c r="AG86" s="24"/>
    </row>
    <row r="87" spans="15:33" ht="17.45" customHeight="1" x14ac:dyDescent="0.25">
      <c r="O87" s="28"/>
      <c r="P87" s="28"/>
      <c r="Z87" s="68"/>
      <c r="AG87" s="24"/>
    </row>
    <row r="88" spans="15:33" x14ac:dyDescent="0.25">
      <c r="O88" s="28"/>
      <c r="P88" s="28"/>
      <c r="Z88" s="68"/>
      <c r="AG88" s="24"/>
    </row>
    <row r="89" spans="15:33" x14ac:dyDescent="0.25">
      <c r="O89" s="28"/>
      <c r="P89" s="28"/>
      <c r="Z89" s="68"/>
      <c r="AG89" s="24"/>
    </row>
    <row r="90" spans="15:33" x14ac:dyDescent="0.25">
      <c r="O90" s="28"/>
      <c r="P90" s="28"/>
      <c r="Z90" s="68"/>
      <c r="AG90" s="24"/>
    </row>
    <row r="91" spans="15:33" x14ac:dyDescent="0.25">
      <c r="O91" s="28"/>
      <c r="P91" s="28"/>
      <c r="Z91" s="68"/>
      <c r="AG91" s="24"/>
    </row>
    <row r="92" spans="15:33" x14ac:dyDescent="0.25">
      <c r="O92" s="28"/>
      <c r="P92" s="28"/>
      <c r="Z92" s="68"/>
      <c r="AG92" s="24"/>
    </row>
    <row r="93" spans="15:33" x14ac:dyDescent="0.25">
      <c r="O93" s="28"/>
      <c r="P93" s="28"/>
      <c r="Z93" s="68"/>
      <c r="AG93" s="24"/>
    </row>
    <row r="94" spans="15:33" x14ac:dyDescent="0.25">
      <c r="O94" s="28"/>
      <c r="P94" s="28"/>
      <c r="Z94" s="68"/>
      <c r="AG94" s="24"/>
    </row>
    <row r="95" spans="15:33" x14ac:dyDescent="0.25">
      <c r="O95" s="28"/>
      <c r="P95" s="28"/>
      <c r="Z95" s="68"/>
      <c r="AG95" s="24"/>
    </row>
    <row r="96" spans="15:33" ht="17.45" customHeight="1" x14ac:dyDescent="0.25">
      <c r="O96" s="28"/>
      <c r="P96" s="28"/>
      <c r="Z96" s="68"/>
      <c r="AG96" s="24"/>
    </row>
    <row r="97" spans="15:33" x14ac:dyDescent="0.25">
      <c r="O97" s="28"/>
      <c r="P97" s="28"/>
      <c r="Z97" s="68"/>
      <c r="AG97" s="24"/>
    </row>
    <row r="98" spans="15:33" x14ac:dyDescent="0.25">
      <c r="O98" s="28"/>
      <c r="P98" s="28"/>
      <c r="Z98" s="68"/>
      <c r="AG98" s="24"/>
    </row>
    <row r="99" spans="15:33" x14ac:dyDescent="0.25">
      <c r="O99" s="28"/>
      <c r="P99" s="28"/>
      <c r="Z99" s="68"/>
      <c r="AG99" s="24"/>
    </row>
    <row r="100" spans="15:33" x14ac:dyDescent="0.25">
      <c r="O100" s="28"/>
      <c r="P100" s="28"/>
      <c r="Z100" s="68"/>
      <c r="AB100" s="70"/>
      <c r="AC100" s="70"/>
      <c r="AG100" s="24"/>
    </row>
    <row r="101" spans="15:33" x14ac:dyDescent="0.25">
      <c r="O101" s="28"/>
      <c r="P101" s="28"/>
      <c r="Z101" s="68"/>
      <c r="AB101" s="70"/>
      <c r="AC101" s="70"/>
      <c r="AG101" s="24"/>
    </row>
    <row r="102" spans="15:33" x14ac:dyDescent="0.25">
      <c r="O102" s="28"/>
      <c r="P102" s="28"/>
      <c r="Z102" s="68"/>
      <c r="AB102" s="70"/>
      <c r="AC102" s="70"/>
      <c r="AG102" s="24"/>
    </row>
    <row r="103" spans="15:33" x14ac:dyDescent="0.25">
      <c r="O103" s="28"/>
      <c r="P103" s="28"/>
      <c r="Z103" s="68"/>
      <c r="AB103" s="70"/>
      <c r="AC103" s="70"/>
      <c r="AG103" s="24"/>
    </row>
    <row r="104" spans="15:33" x14ac:dyDescent="0.25">
      <c r="O104" s="28"/>
      <c r="P104" s="28"/>
      <c r="Z104" s="68"/>
      <c r="AG104" s="24"/>
    </row>
    <row r="105" spans="15:33" x14ac:dyDescent="0.25">
      <c r="O105" s="28"/>
      <c r="P105" s="28"/>
      <c r="Z105" s="68"/>
      <c r="AG105" s="24"/>
    </row>
    <row r="106" spans="15:33" x14ac:dyDescent="0.25">
      <c r="O106" s="28"/>
      <c r="P106" s="28"/>
      <c r="Z106" s="68"/>
      <c r="AG106" s="24"/>
    </row>
    <row r="107" spans="15:33" x14ac:dyDescent="0.25">
      <c r="O107" s="28"/>
      <c r="P107" s="28"/>
      <c r="Z107" s="68"/>
      <c r="AG107" s="24"/>
    </row>
    <row r="108" spans="15:33" x14ac:dyDescent="0.25">
      <c r="O108" s="28"/>
      <c r="P108" s="28"/>
      <c r="Z108" s="68"/>
      <c r="AG108" s="24"/>
    </row>
    <row r="109" spans="15:33" x14ac:dyDescent="0.25">
      <c r="O109" s="28"/>
      <c r="P109" s="28"/>
      <c r="Z109" s="68"/>
      <c r="AG109" s="24"/>
    </row>
    <row r="110" spans="15:33" x14ac:dyDescent="0.25">
      <c r="O110" s="28"/>
      <c r="P110" s="28"/>
      <c r="Z110" s="68"/>
      <c r="AG110" s="24"/>
    </row>
    <row r="111" spans="15:33" x14ac:dyDescent="0.25">
      <c r="O111" s="28"/>
      <c r="P111" s="28"/>
      <c r="Z111" s="68"/>
      <c r="AG111" s="24"/>
    </row>
    <row r="112" spans="15:33" x14ac:dyDescent="0.25">
      <c r="O112" s="28"/>
      <c r="P112" s="28"/>
      <c r="AG112" s="24"/>
    </row>
    <row r="113" spans="15:33" x14ac:dyDescent="0.25">
      <c r="O113" s="28"/>
      <c r="P113" s="28"/>
      <c r="AG113" s="24"/>
    </row>
    <row r="114" spans="15:33" x14ac:dyDescent="0.25">
      <c r="O114" s="28"/>
      <c r="P114" s="28"/>
      <c r="AG114" s="24"/>
    </row>
    <row r="115" spans="15:33" x14ac:dyDescent="0.25">
      <c r="O115" s="28"/>
      <c r="P115" s="28"/>
      <c r="AG115" s="24"/>
    </row>
    <row r="116" spans="15:33" x14ac:dyDescent="0.25">
      <c r="O116" s="28"/>
      <c r="P116" s="28"/>
      <c r="AG116" s="24"/>
    </row>
    <row r="117" spans="15:33" x14ac:dyDescent="0.25">
      <c r="O117" s="28"/>
      <c r="P117" s="28"/>
      <c r="AG117" s="24"/>
    </row>
    <row r="118" spans="15:33" x14ac:dyDescent="0.25">
      <c r="O118" s="28"/>
      <c r="P118" s="28"/>
      <c r="AG118" s="24"/>
    </row>
    <row r="119" spans="15:33" x14ac:dyDescent="0.25">
      <c r="O119" s="28"/>
      <c r="P119" s="28"/>
      <c r="AG119" s="24"/>
    </row>
    <row r="120" spans="15:33" x14ac:dyDescent="0.25">
      <c r="O120" s="28"/>
      <c r="P120" s="28"/>
      <c r="AG120" s="24"/>
    </row>
    <row r="121" spans="15:33" x14ac:dyDescent="0.25">
      <c r="O121" s="28"/>
      <c r="P121" s="28"/>
      <c r="AG121" s="24"/>
    </row>
    <row r="122" spans="15:33" x14ac:dyDescent="0.25">
      <c r="O122" s="28"/>
      <c r="P122" s="28"/>
      <c r="AG122" s="24"/>
    </row>
    <row r="123" spans="15:33" x14ac:dyDescent="0.25">
      <c r="O123" s="28"/>
      <c r="P123" s="28"/>
      <c r="AG123" s="24"/>
    </row>
    <row r="124" spans="15:33" x14ac:dyDescent="0.25">
      <c r="O124" s="28"/>
      <c r="P124" s="28"/>
      <c r="AG124" s="24"/>
    </row>
    <row r="125" spans="15:33" x14ac:dyDescent="0.25">
      <c r="O125" s="28"/>
      <c r="P125" s="28"/>
      <c r="AG125" s="24"/>
    </row>
    <row r="126" spans="15:33" x14ac:dyDescent="0.25">
      <c r="O126" s="28"/>
      <c r="P126" s="28"/>
      <c r="AG126" s="24"/>
    </row>
    <row r="127" spans="15:33" x14ac:dyDescent="0.25">
      <c r="O127" s="28"/>
      <c r="P127" s="28"/>
      <c r="AG127" s="24"/>
    </row>
    <row r="128" spans="15:33" x14ac:dyDescent="0.25">
      <c r="O128" s="28"/>
      <c r="P128" s="28"/>
      <c r="AG128" s="24"/>
    </row>
    <row r="129" spans="15:33" x14ac:dyDescent="0.25">
      <c r="O129" s="28"/>
      <c r="P129" s="28"/>
      <c r="AG129" s="24"/>
    </row>
    <row r="130" spans="15:33" x14ac:dyDescent="0.25">
      <c r="O130" s="28"/>
      <c r="P130" s="28"/>
      <c r="AG130" s="24"/>
    </row>
    <row r="131" spans="15:33" x14ac:dyDescent="0.25">
      <c r="O131" s="28"/>
      <c r="P131" s="28"/>
      <c r="AG131" s="24"/>
    </row>
    <row r="132" spans="15:33" x14ac:dyDescent="0.25">
      <c r="O132" s="28"/>
      <c r="P132" s="28"/>
      <c r="AG132" s="24"/>
    </row>
    <row r="133" spans="15:33" x14ac:dyDescent="0.25">
      <c r="O133" s="28"/>
      <c r="P133" s="28"/>
      <c r="AG133" s="24"/>
    </row>
    <row r="134" spans="15:33" x14ac:dyDescent="0.25">
      <c r="O134" s="28"/>
      <c r="P134" s="28"/>
      <c r="AG134" s="24"/>
    </row>
    <row r="135" spans="15:33" x14ac:dyDescent="0.25">
      <c r="O135" s="28"/>
      <c r="P135" s="28"/>
      <c r="AG135" s="24"/>
    </row>
    <row r="136" spans="15:33" x14ac:dyDescent="0.25">
      <c r="O136" s="28"/>
      <c r="P136" s="28"/>
      <c r="AG136" s="24"/>
    </row>
    <row r="137" spans="15:33" x14ac:dyDescent="0.25">
      <c r="O137" s="28"/>
      <c r="P137" s="28"/>
      <c r="AG137" s="24"/>
    </row>
    <row r="138" spans="15:33" x14ac:dyDescent="0.25">
      <c r="O138" s="28"/>
      <c r="P138" s="28"/>
      <c r="AG138" s="24"/>
    </row>
    <row r="139" spans="15:33" x14ac:dyDescent="0.25">
      <c r="O139" s="28"/>
      <c r="P139" s="28"/>
      <c r="AG139" s="24"/>
    </row>
    <row r="140" spans="15:33" x14ac:dyDescent="0.25">
      <c r="O140" s="28"/>
      <c r="P140" s="28"/>
      <c r="AG140" s="24"/>
    </row>
    <row r="141" spans="15:33" x14ac:dyDescent="0.25">
      <c r="O141" s="28"/>
      <c r="P141" s="28"/>
      <c r="AG141" s="24"/>
    </row>
    <row r="142" spans="15:33" x14ac:dyDescent="0.25">
      <c r="O142" s="28"/>
      <c r="P142" s="28"/>
      <c r="AG142" s="24"/>
    </row>
    <row r="143" spans="15:33" x14ac:dyDescent="0.25">
      <c r="O143" s="28"/>
      <c r="P143" s="28"/>
      <c r="AG143" s="24"/>
    </row>
    <row r="144" spans="15:33" x14ac:dyDescent="0.25">
      <c r="O144" s="28"/>
      <c r="P144" s="28"/>
      <c r="AG144" s="24"/>
    </row>
    <row r="145" spans="15:33" x14ac:dyDescent="0.25">
      <c r="O145" s="28"/>
      <c r="P145" s="28"/>
      <c r="AG145" s="24"/>
    </row>
    <row r="146" spans="15:33" x14ac:dyDescent="0.25">
      <c r="O146" s="28"/>
      <c r="P146" s="28"/>
      <c r="AG146" s="24"/>
    </row>
    <row r="147" spans="15:33" x14ac:dyDescent="0.25">
      <c r="O147" s="28"/>
      <c r="P147" s="28"/>
      <c r="AG147" s="24"/>
    </row>
    <row r="148" spans="15:33" x14ac:dyDescent="0.25">
      <c r="O148" s="28"/>
      <c r="P148" s="28"/>
      <c r="AG148" s="24"/>
    </row>
    <row r="149" spans="15:33" ht="13.15" customHeight="1" x14ac:dyDescent="0.25">
      <c r="O149" s="28"/>
      <c r="P149" s="28"/>
      <c r="AG149" s="24"/>
    </row>
    <row r="150" spans="15:33" x14ac:dyDescent="0.25">
      <c r="O150" s="28"/>
      <c r="P150" s="28"/>
      <c r="AG150" s="24"/>
    </row>
    <row r="151" spans="15:33" x14ac:dyDescent="0.25">
      <c r="O151" s="28"/>
      <c r="P151" s="28"/>
      <c r="AG151" s="24"/>
    </row>
    <row r="152" spans="15:33" x14ac:dyDescent="0.25">
      <c r="O152" s="28"/>
      <c r="P152" s="28"/>
      <c r="AG152" s="24"/>
    </row>
    <row r="153" spans="15:33" x14ac:dyDescent="0.25">
      <c r="O153" s="28"/>
      <c r="P153" s="28"/>
      <c r="AG153" s="24"/>
    </row>
    <row r="154" spans="15:33" x14ac:dyDescent="0.25">
      <c r="O154" s="28"/>
      <c r="P154" s="28"/>
      <c r="AG154" s="24"/>
    </row>
    <row r="155" spans="15:33" x14ac:dyDescent="0.25">
      <c r="O155" s="28"/>
      <c r="P155" s="28"/>
      <c r="AG155" s="24"/>
    </row>
    <row r="156" spans="15:33" x14ac:dyDescent="0.25">
      <c r="O156" s="28"/>
      <c r="P156" s="28"/>
      <c r="AG156" s="24"/>
    </row>
    <row r="157" spans="15:33" x14ac:dyDescent="0.25">
      <c r="O157" s="28"/>
      <c r="P157" s="28"/>
      <c r="AG157" s="24"/>
    </row>
    <row r="158" spans="15:33" ht="13.9" customHeight="1" x14ac:dyDescent="0.25">
      <c r="O158" s="28"/>
      <c r="P158" s="28"/>
      <c r="AG158" s="24"/>
    </row>
    <row r="159" spans="15:33" x14ac:dyDescent="0.25">
      <c r="O159" s="28"/>
      <c r="P159" s="28"/>
      <c r="AG159" s="24"/>
    </row>
    <row r="160" spans="15:33" x14ac:dyDescent="0.25">
      <c r="O160" s="28"/>
      <c r="P160" s="28"/>
      <c r="AG160" s="24"/>
    </row>
    <row r="161" spans="15:33" x14ac:dyDescent="0.25">
      <c r="O161" s="28"/>
      <c r="P161" s="28"/>
      <c r="AG161" s="24"/>
    </row>
    <row r="162" spans="15:33" x14ac:dyDescent="0.25">
      <c r="O162" s="28"/>
      <c r="P162" s="28"/>
      <c r="AG162" s="24"/>
    </row>
    <row r="163" spans="15:33" x14ac:dyDescent="0.25">
      <c r="O163" s="28"/>
      <c r="P163" s="28"/>
      <c r="AG163" s="24"/>
    </row>
    <row r="164" spans="15:33" x14ac:dyDescent="0.25">
      <c r="O164" s="28"/>
      <c r="P164" s="28"/>
      <c r="AG164" s="24"/>
    </row>
    <row r="165" spans="15:33" x14ac:dyDescent="0.25">
      <c r="O165" s="28"/>
      <c r="P165" s="28"/>
      <c r="AG165" s="24"/>
    </row>
    <row r="166" spans="15:33" x14ac:dyDescent="0.25">
      <c r="O166" s="28"/>
      <c r="P166" s="28"/>
      <c r="AG166" s="24"/>
    </row>
    <row r="167" spans="15:33" x14ac:dyDescent="0.25">
      <c r="O167" s="28"/>
      <c r="P167" s="28"/>
      <c r="AG167" s="24"/>
    </row>
    <row r="168" spans="15:33" x14ac:dyDescent="0.25">
      <c r="O168" s="28"/>
      <c r="P168" s="28"/>
      <c r="AG168" s="24"/>
    </row>
    <row r="169" spans="15:33" x14ac:dyDescent="0.25">
      <c r="O169" s="28"/>
      <c r="P169" s="28"/>
      <c r="AG169" s="24"/>
    </row>
    <row r="170" spans="15:33" x14ac:dyDescent="0.25">
      <c r="O170" s="28"/>
      <c r="P170" s="28"/>
      <c r="AG170" s="24"/>
    </row>
    <row r="171" spans="15:33" x14ac:dyDescent="0.25">
      <c r="O171" s="28"/>
      <c r="P171" s="28"/>
      <c r="AG171" s="24"/>
    </row>
    <row r="172" spans="15:33" x14ac:dyDescent="0.25">
      <c r="O172" s="28"/>
      <c r="P172" s="28"/>
      <c r="AG172" s="24"/>
    </row>
    <row r="173" spans="15:33" x14ac:dyDescent="0.25">
      <c r="O173" s="28"/>
      <c r="P173" s="28"/>
      <c r="AG173" s="24"/>
    </row>
    <row r="174" spans="15:33" x14ac:dyDescent="0.25">
      <c r="O174" s="28"/>
      <c r="P174" s="28"/>
      <c r="AG174" s="24"/>
    </row>
    <row r="175" spans="15:33" x14ac:dyDescent="0.25">
      <c r="O175" s="28"/>
      <c r="P175" s="28"/>
      <c r="AG175" s="24"/>
    </row>
    <row r="176" spans="15:33" x14ac:dyDescent="0.25">
      <c r="O176" s="28"/>
      <c r="P176" s="28"/>
      <c r="AG176" s="24"/>
    </row>
    <row r="177" spans="15:33" x14ac:dyDescent="0.25">
      <c r="O177" s="28"/>
      <c r="P177" s="28"/>
      <c r="AG177" s="24"/>
    </row>
    <row r="178" spans="15:33" x14ac:dyDescent="0.25">
      <c r="O178" s="28"/>
      <c r="P178" s="28"/>
      <c r="AG178" s="24"/>
    </row>
    <row r="179" spans="15:33" x14ac:dyDescent="0.25">
      <c r="O179" s="28"/>
      <c r="P179" s="28"/>
      <c r="AG179" s="24"/>
    </row>
    <row r="180" spans="15:33" x14ac:dyDescent="0.25">
      <c r="O180" s="28"/>
      <c r="P180" s="28"/>
      <c r="AG180" s="24"/>
    </row>
    <row r="181" spans="15:33" x14ac:dyDescent="0.25">
      <c r="O181" s="28"/>
      <c r="P181" s="28"/>
      <c r="AG181" s="24"/>
    </row>
    <row r="182" spans="15:33" x14ac:dyDescent="0.25">
      <c r="O182" s="28"/>
      <c r="P182" s="28"/>
      <c r="AG182" s="24"/>
    </row>
    <row r="183" spans="15:33" x14ac:dyDescent="0.25">
      <c r="O183" s="28"/>
      <c r="P183" s="28"/>
      <c r="AG183" s="24"/>
    </row>
    <row r="184" spans="15:33" x14ac:dyDescent="0.25">
      <c r="O184" s="28"/>
      <c r="P184" s="28"/>
      <c r="AG184" s="24"/>
    </row>
    <row r="185" spans="15:33" x14ac:dyDescent="0.25">
      <c r="O185" s="28"/>
      <c r="P185" s="28"/>
      <c r="AG185" s="24"/>
    </row>
    <row r="186" spans="15:33" x14ac:dyDescent="0.25">
      <c r="O186" s="28"/>
      <c r="P186" s="28"/>
      <c r="AG186" s="24"/>
    </row>
    <row r="187" spans="15:33" x14ac:dyDescent="0.25">
      <c r="O187" s="28"/>
      <c r="P187" s="28"/>
      <c r="AG187" s="24"/>
    </row>
    <row r="188" spans="15:33" x14ac:dyDescent="0.25">
      <c r="O188" s="28"/>
      <c r="P188" s="28"/>
      <c r="AG188" s="24"/>
    </row>
    <row r="189" spans="15:33" x14ac:dyDescent="0.25">
      <c r="O189" s="28"/>
      <c r="P189" s="28"/>
      <c r="AG189" s="24"/>
    </row>
    <row r="190" spans="15:33" x14ac:dyDescent="0.25">
      <c r="O190" s="28"/>
      <c r="P190" s="28"/>
      <c r="AG190" s="24"/>
    </row>
    <row r="191" spans="15:33" x14ac:dyDescent="0.25">
      <c r="O191" s="28"/>
      <c r="P191" s="28"/>
      <c r="AG191" s="24"/>
    </row>
    <row r="192" spans="15:33" x14ac:dyDescent="0.25">
      <c r="O192" s="28"/>
      <c r="P192" s="28"/>
      <c r="AG192" s="24"/>
    </row>
  </sheetData>
  <phoneticPr fontId="6" type="noConversion"/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Summary</vt:lpstr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Chiocca</dc:creator>
  <cp:lastModifiedBy>Giulia Morettini</cp:lastModifiedBy>
  <dcterms:created xsi:type="dcterms:W3CDTF">2015-06-05T18:19:34Z</dcterms:created>
  <dcterms:modified xsi:type="dcterms:W3CDTF">2026-09-22T08:17:00Z</dcterms:modified>
</cp:coreProperties>
</file>