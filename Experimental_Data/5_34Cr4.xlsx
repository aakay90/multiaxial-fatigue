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CA1050FD-94C6-45F1-A3C2-0A6D01B7F09B}" xr6:coauthVersionLast="47" xr6:coauthVersionMax="47" xr10:uidLastSave="{00000000-0000-0000-0000-000000000000}"/>
  <bookViews>
    <workbookView xWindow="29385" yWindow="300" windowWidth="28620" windowHeight="15330" tabRatio="177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2" l="1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O6" i="2"/>
  <c r="AO14" i="2"/>
  <c r="AO22" i="2"/>
  <c r="AO30" i="2"/>
  <c r="AO38" i="2"/>
  <c r="AN13" i="2"/>
  <c r="AN29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K7" i="2"/>
  <c r="AK14" i="2"/>
  <c r="AK15" i="2"/>
  <c r="AK23" i="2"/>
  <c r="AK30" i="2"/>
  <c r="AK31" i="2"/>
  <c r="AK39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Q3" i="2"/>
  <c r="AO3" i="2" s="1"/>
  <c r="Q4" i="2"/>
  <c r="AO4" i="2" s="1"/>
  <c r="Q5" i="2"/>
  <c r="AO5" i="2" s="1"/>
  <c r="Q6" i="2"/>
  <c r="AN6" i="2" s="1"/>
  <c r="Q7" i="2"/>
  <c r="AN7" i="2" s="1"/>
  <c r="Q8" i="2"/>
  <c r="AN8" i="2" s="1"/>
  <c r="Q9" i="2"/>
  <c r="AN9" i="2" s="1"/>
  <c r="Q10" i="2"/>
  <c r="AN10" i="2" s="1"/>
  <c r="Q11" i="2"/>
  <c r="AN11" i="2" s="1"/>
  <c r="Q12" i="2"/>
  <c r="AN12" i="2" s="1"/>
  <c r="Q13" i="2"/>
  <c r="AO13" i="2" s="1"/>
  <c r="Q14" i="2"/>
  <c r="AN14" i="2" s="1"/>
  <c r="Q15" i="2"/>
  <c r="AN15" i="2" s="1"/>
  <c r="Q16" i="2"/>
  <c r="AN16" i="2" s="1"/>
  <c r="Q17" i="2"/>
  <c r="AO17" i="2" s="1"/>
  <c r="Q18" i="2"/>
  <c r="AO18" i="2" s="1"/>
  <c r="Q19" i="2"/>
  <c r="AO19" i="2" s="1"/>
  <c r="Q20" i="2"/>
  <c r="AO20" i="2" s="1"/>
  <c r="Q21" i="2"/>
  <c r="AO21" i="2" s="1"/>
  <c r="Q22" i="2"/>
  <c r="AN22" i="2" s="1"/>
  <c r="Q23" i="2"/>
  <c r="AN23" i="2" s="1"/>
  <c r="Q24" i="2"/>
  <c r="AN24" i="2" s="1"/>
  <c r="Q25" i="2"/>
  <c r="AN25" i="2" s="1"/>
  <c r="Q26" i="2"/>
  <c r="AN26" i="2" s="1"/>
  <c r="Q27" i="2"/>
  <c r="AN27" i="2" s="1"/>
  <c r="Q28" i="2"/>
  <c r="AN28" i="2" s="1"/>
  <c r="Q29" i="2"/>
  <c r="AO29" i="2" s="1"/>
  <c r="Q30" i="2"/>
  <c r="AN30" i="2" s="1"/>
  <c r="Q31" i="2"/>
  <c r="AN31" i="2" s="1"/>
  <c r="Q32" i="2"/>
  <c r="AN32" i="2" s="1"/>
  <c r="Q33" i="2"/>
  <c r="AO33" i="2" s="1"/>
  <c r="Q34" i="2"/>
  <c r="AO34" i="2" s="1"/>
  <c r="Q35" i="2"/>
  <c r="AO35" i="2" s="1"/>
  <c r="Q36" i="2"/>
  <c r="AO36" i="2" s="1"/>
  <c r="Q37" i="2"/>
  <c r="AO37" i="2" s="1"/>
  <c r="Q38" i="2"/>
  <c r="AN38" i="2" s="1"/>
  <c r="Q39" i="2"/>
  <c r="AN39" i="2" s="1"/>
  <c r="Q40" i="2"/>
  <c r="AN40" i="2" s="1"/>
  <c r="Q41" i="2"/>
  <c r="AN41" i="2" s="1"/>
  <c r="Q42" i="2"/>
  <c r="AN42" i="2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O3" i="2"/>
  <c r="AJ3" i="2" s="1"/>
  <c r="O4" i="2"/>
  <c r="AJ4" i="2" s="1"/>
  <c r="O5" i="2"/>
  <c r="AJ5" i="2" s="1"/>
  <c r="O6" i="2"/>
  <c r="AJ6" i="2" s="1"/>
  <c r="O7" i="2"/>
  <c r="AJ7" i="2" s="1"/>
  <c r="O8" i="2"/>
  <c r="AJ8" i="2" s="1"/>
  <c r="O9" i="2"/>
  <c r="AK9" i="2" s="1"/>
  <c r="O10" i="2"/>
  <c r="AK10" i="2" s="1"/>
  <c r="O11" i="2"/>
  <c r="AK11" i="2" s="1"/>
  <c r="O12" i="2"/>
  <c r="AK12" i="2" s="1"/>
  <c r="O13" i="2"/>
  <c r="AK13" i="2" s="1"/>
  <c r="O14" i="2"/>
  <c r="AJ14" i="2" s="1"/>
  <c r="O15" i="2"/>
  <c r="AJ15" i="2" s="1"/>
  <c r="O16" i="2"/>
  <c r="AJ16" i="2" s="1"/>
  <c r="O17" i="2"/>
  <c r="AJ17" i="2" s="1"/>
  <c r="O18" i="2"/>
  <c r="AJ18" i="2" s="1"/>
  <c r="O19" i="2"/>
  <c r="AJ19" i="2" s="1"/>
  <c r="O20" i="2"/>
  <c r="AJ20" i="2" s="1"/>
  <c r="O21" i="2"/>
  <c r="AJ21" i="2" s="1"/>
  <c r="O22" i="2"/>
  <c r="AJ22" i="2" s="1"/>
  <c r="O23" i="2"/>
  <c r="AJ23" i="2" s="1"/>
  <c r="O24" i="2"/>
  <c r="AJ24" i="2" s="1"/>
  <c r="O25" i="2"/>
  <c r="AK25" i="2" s="1"/>
  <c r="O26" i="2"/>
  <c r="AK26" i="2" s="1"/>
  <c r="O27" i="2"/>
  <c r="AK27" i="2" s="1"/>
  <c r="O28" i="2"/>
  <c r="AK28" i="2" s="1"/>
  <c r="O29" i="2"/>
  <c r="AK29" i="2" s="1"/>
  <c r="O30" i="2"/>
  <c r="AJ30" i="2" s="1"/>
  <c r="O31" i="2"/>
  <c r="AJ31" i="2" s="1"/>
  <c r="O32" i="2"/>
  <c r="AJ32" i="2" s="1"/>
  <c r="O33" i="2"/>
  <c r="AJ33" i="2" s="1"/>
  <c r="O34" i="2"/>
  <c r="AJ34" i="2" s="1"/>
  <c r="O35" i="2"/>
  <c r="AJ35" i="2" s="1"/>
  <c r="O36" i="2"/>
  <c r="AJ36" i="2" s="1"/>
  <c r="O37" i="2"/>
  <c r="AJ37" i="2" s="1"/>
  <c r="O38" i="2"/>
  <c r="AJ38" i="2" s="1"/>
  <c r="O39" i="2"/>
  <c r="AJ39" i="2" s="1"/>
  <c r="O40" i="2"/>
  <c r="AJ40" i="2" s="1"/>
  <c r="O41" i="2"/>
  <c r="AK41" i="2" s="1"/>
  <c r="O42" i="2"/>
  <c r="AK42" i="2" s="1"/>
  <c r="M8" i="1"/>
  <c r="M7" i="1"/>
  <c r="M2" i="1"/>
  <c r="M3" i="1"/>
  <c r="M4" i="1"/>
  <c r="J8" i="1"/>
  <c r="J7" i="1"/>
  <c r="AQ2" i="2"/>
  <c r="AK2" i="2"/>
  <c r="AJ2" i="2"/>
  <c r="AI2" i="2"/>
  <c r="AH2" i="2"/>
  <c r="Z2" i="2"/>
  <c r="Y2" i="2"/>
  <c r="X2" i="2"/>
  <c r="O2" i="2"/>
  <c r="Q2" i="2"/>
  <c r="AN2" i="2" s="1"/>
  <c r="AK40" i="2" l="1"/>
  <c r="AK24" i="2"/>
  <c r="AK8" i="2"/>
  <c r="AO32" i="2"/>
  <c r="AO16" i="2"/>
  <c r="AJ29" i="2"/>
  <c r="AJ13" i="2"/>
  <c r="AN37" i="2"/>
  <c r="AN21" i="2"/>
  <c r="AN5" i="2"/>
  <c r="AO31" i="2"/>
  <c r="AO15" i="2"/>
  <c r="AJ12" i="2"/>
  <c r="AK6" i="2"/>
  <c r="AN36" i="2"/>
  <c r="AN20" i="2"/>
  <c r="AN4" i="2"/>
  <c r="AJ28" i="2"/>
  <c r="AJ27" i="2"/>
  <c r="AJ11" i="2"/>
  <c r="AK37" i="2"/>
  <c r="AK21" i="2"/>
  <c r="AK5" i="2"/>
  <c r="AN35" i="2"/>
  <c r="AN19" i="2"/>
  <c r="AN3" i="2"/>
  <c r="AK38" i="2"/>
  <c r="AJ42" i="2"/>
  <c r="AJ26" i="2"/>
  <c r="AJ10" i="2"/>
  <c r="AK36" i="2"/>
  <c r="AK20" i="2"/>
  <c r="AK4" i="2"/>
  <c r="AN34" i="2"/>
  <c r="AN18" i="2"/>
  <c r="AO28" i="2"/>
  <c r="AO12" i="2"/>
  <c r="AK22" i="2"/>
  <c r="AJ41" i="2"/>
  <c r="AJ25" i="2"/>
  <c r="AJ9" i="2"/>
  <c r="AK35" i="2"/>
  <c r="AK19" i="2"/>
  <c r="AK3" i="2"/>
  <c r="AN33" i="2"/>
  <c r="AN17" i="2"/>
  <c r="AO27" i="2"/>
  <c r="AO11" i="2"/>
  <c r="AK34" i="2"/>
  <c r="AK18" i="2"/>
  <c r="AO42" i="2"/>
  <c r="AO26" i="2"/>
  <c r="AO10" i="2"/>
  <c r="AK33" i="2"/>
  <c r="AK17" i="2"/>
  <c r="AO41" i="2"/>
  <c r="AO25" i="2"/>
  <c r="AO9" i="2"/>
  <c r="AK32" i="2"/>
  <c r="AK16" i="2"/>
  <c r="AO40" i="2"/>
  <c r="AO24" i="2"/>
  <c r="AO8" i="2"/>
  <c r="AO39" i="2"/>
  <c r="AO23" i="2"/>
  <c r="AO7" i="2"/>
  <c r="AO2" i="2"/>
  <c r="AP2" i="2"/>
  <c r="P2" i="2"/>
  <c r="AM2" i="2" l="1"/>
  <c r="AL2" i="2"/>
  <c r="F8" i="1"/>
  <c r="G8" i="1"/>
  <c r="H8" i="1"/>
  <c r="I8" i="1"/>
  <c r="E8" i="1"/>
  <c r="D29" i="1"/>
  <c r="F7" i="1" l="1"/>
  <c r="E7" i="1" l="1"/>
  <c r="G7" i="1" l="1"/>
  <c r="H7" i="1"/>
  <c r="I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<sst xmlns="http://schemas.openxmlformats.org/spreadsheetml/2006/main" count="483" uniqueCount="73">
  <si>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</si>
  <si>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</si>
  <si>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</si>
  <si>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</si>
  <si>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</si>
  <si>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</si>
  <si>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</si>
  <si>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</si>
  <si>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</si>
  <si>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</si>
  <si>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</si>
  <si>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</si>
  <si>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</si>
  <si>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</si>
  <si>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</si>
  <si>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</si>
  <si>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</si>
  <si>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</si>
  <si>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</si>
  <si>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</si>
  <si>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</si>
  <si>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</si>
  <si>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</si>
  <si>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</si>
  <si>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</si>
  <si>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</si>
  <si>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</si>
  <si>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</si>
  <si>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</si>
  <si>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</si>
  <si>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</si>
  <si>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</si>
  <si>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</si>
  <si>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</si>
  <si>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</si>
  <si>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</si>
  <si>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</si>
  <si>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</si>
  <si>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</si>
  <si>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</si>
  <si>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</si>
  <si>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</si>
  <si>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</si>
  <si>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</si>
  <si>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</si>
  <si>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</si>
  <si>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</si>
  <si>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</si>
  <si>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</si>
  <si>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</si>
  <si>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</si>
  <si>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</si>
  <si>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</si>
  <si>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</si>
  <si>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</si>
  <si>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</si>
  <si>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</si>
  <si>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</si>
  <si>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</si>
  <si>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</si>
  <si>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</si>
  <si>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</si>
  <si>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</si>
  <si>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Heidenreich R, Richter I, Zenner H. Schubspannungsintensitätshpothese—
Weitere experimentalle und theorestische.
Konstruktion. 1984;36:99‐104.</t>
  </si>
  <si>
    <t>Heidenreich R</t>
  </si>
  <si>
    <t>34Cr4</t>
  </si>
  <si>
    <t>H. Zenner, R. Heidenreich und L. Richter. Bewertung von Festigkeitshypothesen fur
kombinierte statische und schwingende sowie
synchrone schwingende Beanspruchung. Z. Werkstofftecb. 14, 406-417 (1983)</t>
  </si>
  <si>
    <t xml:space="preserve">Zinner H. </t>
  </si>
  <si>
    <t>Heidenreich R. -auerscwingfestigkeit bei mehrachsiger Beanspruchung.
Forschungshefte FKM 1983; 105.</t>
  </si>
  <si>
    <t>SPECIMEN_2</t>
  </si>
  <si>
    <t>complete rupture</t>
  </si>
  <si>
    <t>Zinner H</t>
  </si>
  <si>
    <t>hollow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</si>
</sst>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E+00"/>
    <numFmt numFmtId="166" formatCode="0E+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2" fontId="0" fillId="2" borderId="0" xfId="0" applyNumberForma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166" fontId="7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3" xfId="0" applyBorder="1" applyAlignment="1">
      <alignment horizontal="center" vertical="top"/>
    </xf>
    <xf numFmtId="1" fontId="7" fillId="0" borderId="0" xfId="0" applyNumberFormat="1" applyFont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2" fontId="0" fillId="8" borderId="0" xfId="0" applyNumberFormat="1" applyFill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7" fillId="12" borderId="19" xfId="0" applyNumberFormat="1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2" borderId="0" xfId="0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</cellXfs>
  <cellStyles count="1">
    <cellStyle name="Normale" xfId="0" builtinId="0"/>
  </cellStyles>
  <dxfs count="6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Dataset!$E$2:$E$42</c:f>
              <c:numCache>
                <c:formatCode>0.0E+00</c:formatCode>
                <c:ptCount val="41"/>
                <c:pt idx="0">
                  <c:v>1500000</c:v>
                </c:pt>
                <c:pt idx="1">
                  <c:v>1500000</c:v>
                </c:pt>
                <c:pt idx="2">
                  <c:v>1500000</c:v>
                </c:pt>
                <c:pt idx="3">
                  <c:v>1500000</c:v>
                </c:pt>
                <c:pt idx="4">
                  <c:v>1500000</c:v>
                </c:pt>
                <c:pt idx="5">
                  <c:v>1500000</c:v>
                </c:pt>
                <c:pt idx="6">
                  <c:v>1500000</c:v>
                </c:pt>
                <c:pt idx="7">
                  <c:v>1500000</c:v>
                </c:pt>
                <c:pt idx="8">
                  <c:v>1500000</c:v>
                </c:pt>
                <c:pt idx="9">
                  <c:v>1500000</c:v>
                </c:pt>
                <c:pt idx="10">
                  <c:v>1500000</c:v>
                </c:pt>
                <c:pt idx="11">
                  <c:v>1500000</c:v>
                </c:pt>
                <c:pt idx="12">
                  <c:v>1500000</c:v>
                </c:pt>
                <c:pt idx="13">
                  <c:v>1500000</c:v>
                </c:pt>
                <c:pt idx="14">
                  <c:v>1500000</c:v>
                </c:pt>
                <c:pt idx="15">
                  <c:v>1500000</c:v>
                </c:pt>
                <c:pt idx="16">
                  <c:v>1500000</c:v>
                </c:pt>
                <c:pt idx="17">
                  <c:v>1500000</c:v>
                </c:pt>
                <c:pt idx="18">
                  <c:v>1500000</c:v>
                </c:pt>
                <c:pt idx="19">
                  <c:v>1500000</c:v>
                </c:pt>
                <c:pt idx="20" formatCode="0E+00">
                  <c:v>2000000</c:v>
                </c:pt>
                <c:pt idx="21" formatCode="0E+00">
                  <c:v>2000000</c:v>
                </c:pt>
                <c:pt idx="22" formatCode="0E+00">
                  <c:v>2000000</c:v>
                </c:pt>
                <c:pt idx="23" formatCode="0E+00">
                  <c:v>2000000</c:v>
                </c:pt>
                <c:pt idx="24" formatCode="0E+00">
                  <c:v>2000000</c:v>
                </c:pt>
                <c:pt idx="25" formatCode="0E+00">
                  <c:v>2000000</c:v>
                </c:pt>
                <c:pt idx="26">
                  <c:v>1500000</c:v>
                </c:pt>
                <c:pt idx="27">
                  <c:v>1500001</c:v>
                </c:pt>
                <c:pt idx="28">
                  <c:v>1500002</c:v>
                </c:pt>
                <c:pt idx="29">
                  <c:v>1500003</c:v>
                </c:pt>
                <c:pt idx="30">
                  <c:v>1500004</c:v>
                </c:pt>
                <c:pt idx="31">
                  <c:v>1500005</c:v>
                </c:pt>
                <c:pt idx="32">
                  <c:v>1500006</c:v>
                </c:pt>
                <c:pt idx="33">
                  <c:v>1500007</c:v>
                </c:pt>
                <c:pt idx="34">
                  <c:v>1500008</c:v>
                </c:pt>
                <c:pt idx="35">
                  <c:v>1500009</c:v>
                </c:pt>
                <c:pt idx="36">
                  <c:v>1500010</c:v>
                </c:pt>
                <c:pt idx="37">
                  <c:v>1500011</c:v>
                </c:pt>
                <c:pt idx="38">
                  <c:v>1500012</c:v>
                </c:pt>
                <c:pt idx="39">
                  <c:v>1500013</c:v>
                </c:pt>
                <c:pt idx="40">
                  <c:v>1500014</c:v>
                </c:pt>
              </c:numCache>
            </c:numRef>
          </c:xVal>
          <c:yVal>
            <c:numRef>
              <c:f>Dataset!$AQ$2:$AQ$42</c:f>
              <c:numCache>
                <c:formatCode>0.00</c:formatCode>
                <c:ptCount val="41"/>
                <c:pt idx="0">
                  <c:v>410</c:v>
                </c:pt>
                <c:pt idx="1">
                  <c:v>443.40500673763256</c:v>
                </c:pt>
                <c:pt idx="2">
                  <c:v>415.38295583714074</c:v>
                </c:pt>
                <c:pt idx="3">
                  <c:v>436</c:v>
                </c:pt>
                <c:pt idx="4">
                  <c:v>439.8772556066067</c:v>
                </c:pt>
                <c:pt idx="5">
                  <c:v>415.93148474237915</c:v>
                </c:pt>
                <c:pt idx="6">
                  <c:v>416.70583149267304</c:v>
                </c:pt>
                <c:pt idx="7">
                  <c:v>418.02870714820529</c:v>
                </c:pt>
                <c:pt idx="8">
                  <c:v>416.70583149267304</c:v>
                </c:pt>
                <c:pt idx="9">
                  <c:v>448</c:v>
                </c:pt>
                <c:pt idx="10">
                  <c:v>414.09539963636399</c:v>
                </c:pt>
                <c:pt idx="11">
                  <c:v>418.02870714820529</c:v>
                </c:pt>
                <c:pt idx="12">
                  <c:v>415.38295583714074</c:v>
                </c:pt>
                <c:pt idx="13">
                  <c:v>416.70583149267304</c:v>
                </c:pt>
                <c:pt idx="14">
                  <c:v>369.64983430268165</c:v>
                </c:pt>
                <c:pt idx="15">
                  <c:v>375.69668617117185</c:v>
                </c:pt>
                <c:pt idx="16">
                  <c:v>386.88670176163976</c:v>
                </c:pt>
                <c:pt idx="17">
                  <c:v>424</c:v>
                </c:pt>
                <c:pt idx="18">
                  <c:v>354</c:v>
                </c:pt>
                <c:pt idx="19">
                  <c:v>465.1161145348546</c:v>
                </c:pt>
                <c:pt idx="20">
                  <c:v>370.4051835490427</c:v>
                </c:pt>
                <c:pt idx="21">
                  <c:v>409.33604776515836</c:v>
                </c:pt>
                <c:pt idx="22">
                  <c:v>423.32020977033449</c:v>
                </c:pt>
                <c:pt idx="23">
                  <c:v>463.00647943630338</c:v>
                </c:pt>
                <c:pt idx="24">
                  <c:v>463.00647943630338</c:v>
                </c:pt>
                <c:pt idx="25">
                  <c:v>347.91629740499366</c:v>
                </c:pt>
                <c:pt idx="26">
                  <c:v>249</c:v>
                </c:pt>
                <c:pt idx="27">
                  <c:v>253</c:v>
                </c:pt>
                <c:pt idx="28">
                  <c:v>245</c:v>
                </c:pt>
                <c:pt idx="29">
                  <c:v>225</c:v>
                </c:pt>
                <c:pt idx="30">
                  <c:v>225</c:v>
                </c:pt>
                <c:pt idx="31">
                  <c:v>190</c:v>
                </c:pt>
                <c:pt idx="32">
                  <c:v>240</c:v>
                </c:pt>
                <c:pt idx="33">
                  <c:v>264.4709624892684</c:v>
                </c:pt>
                <c:pt idx="34">
                  <c:v>225.70970293720205</c:v>
                </c:pt>
                <c:pt idx="35">
                  <c:v>233.42457025771731</c:v>
                </c:pt>
                <c:pt idx="36">
                  <c:v>251.49884691584572</c:v>
                </c:pt>
                <c:pt idx="37">
                  <c:v>232.10230502948477</c:v>
                </c:pt>
                <c:pt idx="38">
                  <c:v>247.53205852979934</c:v>
                </c:pt>
                <c:pt idx="39">
                  <c:v>305</c:v>
                </c:pt>
                <c:pt idx="40">
                  <c:v>303.10889132455355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27</xdr:row>
      <xdr:rowOff>0</xdr:rowOff>
    </xdr:from>
    <xdr:to>
      <xdr:col>2</xdr:col>
      <xdr:colOff>917865</xdr:colOff>
      <xdr:row>42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6" totalsRowShown="0" headerRowDxfId="21" dataDxfId="20">
  <autoFilter ref="A1:M6" xr:uid="{7EB9CA7B-F9F7-4B65-BAF9-0554C4DD3A3C}"/>
  <tableColumns count="13">
    <tableColumn id="1" xr3:uid="{8E3D1E9D-FBEE-441F-8710-5037CD4F23F4}" name="Article DOI / Reference" dataDxfId="19"/>
    <tableColumn id="11" xr3:uid="{DB748F3A-E0FD-40A7-AD76-C03A14000D6D}" name="Authors" dataDxfId="18"/>
    <tableColumn id="8" xr3:uid="{5AA73CAD-51B7-41DD-94EB-F60F774B9687}" name="Article year" dataDxfId="17"/>
    <tableColumn id="2" xr3:uid="{06FA6682-59D0-409F-9A0C-E6CD1808F355}" name="Material name" dataDxfId="16"/>
    <tableColumn id="3" xr3:uid="{576FC30A-97BD-425F-92F2-9A2823474F7C}" name="Young's modulus (MPa)" dataDxfId="15"/>
    <tableColumn id="4" xr3:uid="{63CF6BC0-ABE3-408E-84A9-EDA0B421D7E2}" name="Poisson's ratio (-)" dataDxfId="14"/>
    <tableColumn id="5" xr3:uid="{BF08D467-4D62-4CAB-A94F-0030F94E8A2E}" name="Tensile strength (MPa)" dataDxfId="13"/>
    <tableColumn id="6" xr3:uid="{CDCD2563-ECD7-4843-B859-5F7762FE830B}" name="Yield strength (MPa)" dataDxfId="12"/>
    <tableColumn id="7" xr3:uid="{7991DD6F-6040-4C6F-AEB4-2211698F999C}" name="Tensile fatigue limit (MPa)" dataDxfId="11"/>
    <tableColumn id="15" xr3:uid="{8DA11524-8832-4C3E-96AC-9B961F2661AF}" name="Torsional fatigue limit (MPa)" dataDxfId="8"/>
    <tableColumn id="13" xr3:uid="{61EEDB63-8EB1-4E68-8C73-6F3D35C9EEF7}" name="Number of Cycles (cycles)" dataDxfId="10"/>
    <tableColumn id="12" xr3:uid="{5EB3D6EA-60A8-471D-AB0E-73C0B9E22DD2}" name="Stress ratio R" dataDxfId="9"/>
    <tableColumn id="17" xr3:uid="{C1097B4F-725A-4556-BB89-CC20F308489A}" name="K" dataDxfId="7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42" totalsRowShown="0" headerRowDxfId="59" dataDxfId="58">
  <autoFilter ref="A1:AQ42" xr:uid="{86243907-AA5D-4F4D-8699-490D77B21127}"/>
  <tableColumns count="43">
    <tableColumn id="31" xr3:uid="{05937513-BC98-44D1-A5DC-F19589B15DDF}" name="Authors" dataDxfId="57"/>
    <tableColumn id="32" xr3:uid="{DCBCBA66-A67E-429B-A752-67A81643133E}" name="Article year" dataDxfId="56"/>
    <tableColumn id="1" xr3:uid="{D75788C8-C867-4D50-A818-DADFA5044830}" name="Article DOI / Reference" dataDxfId="55"/>
    <tableColumn id="30" xr3:uid="{FA5CACDD-A594-4207-9BA7-C7F165153D5B}" name="Specimen name" dataDxfId="54"/>
    <tableColumn id="2" xr3:uid="{19DD8629-B305-4804-A689-1057FBADF71C}" name="Number of cycles to failure" dataDxfId="53"/>
    <tableColumn id="4" xr3:uid="{27575528-FAA3-4B4C-8860-7A7CFCB79DBE}" name="Run out (Yes/No)" dataDxfId="52"/>
    <tableColumn id="3" xr3:uid="{0CF78E1F-0EC3-474A-B3FD-519C01702157}" name="Failure type (complete rupture/stiffness decrease)" dataDxfId="51"/>
    <tableColumn id="26" xr3:uid="{05D9D755-9B11-40C9-8DCB-B9E39E20FA04}" name="Geometry picture" dataDxfId="0"/>
    <tableColumn id="33" xr3:uid="{936299CD-E030-4427-B1AB-D5CB204A04BE}" name="Geometry type (flat/cylindrical/hollow cylinder)" dataDxfId="50"/>
    <tableColumn id="34" xr3:uid="{09266E8F-9B14-40D4-88AB-80CC92F93BA2}" name="Notched" dataDxfId="49"/>
    <tableColumn id="39" xr3:uid="{108E1228-D670-44CE-87DA-2A1B0D22E417}" name="A (mm)" dataDxfId="48"/>
    <tableColumn id="38" xr3:uid="{D6414C63-3F42-4BCA-BB3F-506FCA7B7866}" name="B (mm)" dataDxfId="47"/>
    <tableColumn id="37" xr3:uid="{8138AA3A-CE2D-441D-907D-E35AD875EC90}" name="Hole diameter (mm)" dataDxfId="46"/>
    <tableColumn id="27" xr3:uid="{D5A8CCC0-542A-450B-8F88-B47472F29E40}" name="Diameter (mm)" dataDxfId="45"/>
    <tableColumn id="28" xr3:uid="{36725B61-E4CB-4B7E-AF40-7F3BC6BE6CB3}" name="Area (mm^2)" dataDxfId="44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43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42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1"/>
    <tableColumn id="40" xr3:uid="{FF54B50E-D6C4-4EF8-BED6-8558889E32B3}" name="Phase AXIAL load (°)" dataDxfId="40"/>
    <tableColumn id="22" xr3:uid="{9A8358C3-645B-4F7B-A800-BF2013564F31}" name="Phase TORSIONAL load (°)" dataDxfId="39"/>
    <tableColumn id="43" xr3:uid="{32E76D00-2B52-4D17-881F-6CB825346CD9}" name="Freq RADIAL load [Hz]" dataDxfId="38"/>
    <tableColumn id="42" xr3:uid="{A0DFAB77-F821-4A7F-A0A1-75075998D45D}" name="Freq AXIAL load[Hz]" dataDxfId="37"/>
    <tableColumn id="41" xr3:uid="{DEC77E42-D985-463A-B500-A8E16CF67856}" name="Freq TORSIONAL load [Hz]" dataDxfId="5"/>
    <tableColumn id="23" xr3:uid="{9724DA05-688A-43E5-9AAC-5035994CD3C7}" name="Load ratio (RADIAL)" dataDxfId="3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4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6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1"/>
    <tableColumn id="6" xr3:uid="{CFA41242-20EF-4D5D-9025-FC3F232CBE04}" name="Amplitute RADIAL stress  (MPa)" dataDxfId="36"/>
    <tableColumn id="16" xr3:uid="{F37D511D-F078-4171-84FD-3AE13D4078DC}" name="Mean AXIAL stress  (MPa)" dataDxfId="35"/>
    <tableColumn id="8" xr3:uid="{933ACC34-FA80-47BE-87CF-5D7D742564A2}" name="Amplitute AXIAL stress  (MPa)" dataDxfId="34"/>
    <tableColumn id="44" xr3:uid="{460C3648-EA91-4BC9-8C0D-58B3E19E1ED3}" name="derived from (AXIAL/BENDING) load" dataDxfId="33"/>
    <tableColumn id="19" xr3:uid="{06584471-CEAD-405D-A12E-5A2E79E8CA33}" name="Mean SHEAR stress  (MPa)" dataDxfId="32"/>
    <tableColumn id="10" xr3:uid="{2FCDB52E-3BD8-4D04-8689-303C003D64AE}" name="Amplitute SHEAR stress  (MPa)" dataDxfId="31"/>
    <tableColumn id="36" xr3:uid="{EF2440ED-01F8-493F-BD7F-BDBCFC67F43F}" name="Mean internal PRESSURE  (MPa)" dataDxfId="2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30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9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28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7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26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25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24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23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22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17" zoomScaleNormal="100" workbookViewId="0">
      <selection activeCell="R10" sqref="R10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10" width="38" customWidth="1"/>
    <col min="11" max="11" width="41.140625" customWidth="1"/>
    <col min="12" max="12" width="30.7109375" customWidth="1"/>
    <col min="13" max="13" width="9.140625" style="13"/>
  </cols>
  <sheetData>
    <row r="1" spans="1:13" ht="20.100000000000001" customHeight="1" x14ac:dyDescent="0.25">
      <c r="A1" s="2" t="s">
        <v>60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38</v>
      </c>
      <c r="J1" s="2" t="s">
        <v>39</v>
      </c>
      <c r="K1" s="2" t="s">
        <v>36</v>
      </c>
      <c r="L1" s="2" t="s">
        <v>37</v>
      </c>
      <c r="M1" s="65" t="s">
        <v>4</v>
      </c>
    </row>
    <row r="2" spans="1:13" ht="20.100000000000001" customHeight="1" x14ac:dyDescent="0.25">
      <c r="A2" s="12" t="s">
        <v>63</v>
      </c>
      <c r="B2" s="1" t="s">
        <v>64</v>
      </c>
      <c r="C2" s="1">
        <v>1984</v>
      </c>
      <c r="D2" s="1" t="s">
        <v>65</v>
      </c>
      <c r="E2" s="1">
        <v>218000</v>
      </c>
      <c r="F2" s="1" t="s">
        <v>21</v>
      </c>
      <c r="G2" s="1">
        <v>795</v>
      </c>
      <c r="H2" s="1">
        <v>657</v>
      </c>
      <c r="I2" s="1">
        <v>560</v>
      </c>
      <c r="J2" s="1">
        <v>410</v>
      </c>
      <c r="K2" s="9">
        <v>1500000</v>
      </c>
      <c r="L2" s="25">
        <v>-1</v>
      </c>
      <c r="M2" s="13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1.3658536585365855</v>
      </c>
    </row>
    <row r="3" spans="1:13" ht="20.100000000000001" customHeight="1" x14ac:dyDescent="0.25">
      <c r="A3" s="12" t="s">
        <v>66</v>
      </c>
      <c r="B3" s="1" t="s">
        <v>67</v>
      </c>
      <c r="C3" s="1">
        <v>1983</v>
      </c>
      <c r="D3" s="1" t="s">
        <v>65</v>
      </c>
      <c r="E3" s="1">
        <v>192000</v>
      </c>
      <c r="F3" s="1">
        <v>0.3</v>
      </c>
      <c r="G3" s="1">
        <v>858</v>
      </c>
      <c r="H3" s="1">
        <v>700</v>
      </c>
      <c r="I3" s="1">
        <v>415</v>
      </c>
      <c r="J3" s="1">
        <v>256</v>
      </c>
      <c r="K3" s="9">
        <v>2000000</v>
      </c>
      <c r="L3" s="25">
        <v>-1</v>
      </c>
      <c r="M3" s="13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1.62109375</v>
      </c>
    </row>
    <row r="4" spans="1:13" ht="20.100000000000001" customHeight="1" x14ac:dyDescent="0.25">
      <c r="A4" s="12" t="s">
        <v>68</v>
      </c>
      <c r="B4" s="1" t="s">
        <v>64</v>
      </c>
      <c r="C4" s="1">
        <v>1984</v>
      </c>
      <c r="D4" s="1" t="s">
        <v>65</v>
      </c>
      <c r="E4" s="1">
        <v>218000</v>
      </c>
      <c r="F4" s="1" t="s">
        <v>21</v>
      </c>
      <c r="G4" s="1">
        <v>710</v>
      </c>
      <c r="H4" s="1">
        <v>550</v>
      </c>
      <c r="I4" s="1">
        <v>343</v>
      </c>
      <c r="J4" s="1">
        <v>204</v>
      </c>
      <c r="K4" s="9">
        <v>1500000</v>
      </c>
      <c r="L4" s="25">
        <v>-1</v>
      </c>
      <c r="M4" s="13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1.6813725490196079</v>
      </c>
    </row>
    <row r="5" spans="1:13" ht="20.100000000000001" customHeight="1" x14ac:dyDescent="0.25">
      <c r="A5" s="12"/>
      <c r="B5" s="1"/>
      <c r="C5" s="1"/>
      <c r="D5" s="1"/>
      <c r="E5" s="1"/>
      <c r="F5" s="1"/>
      <c r="G5" s="1"/>
      <c r="H5" s="1"/>
      <c r="I5" s="1"/>
      <c r="J5" s="1"/>
      <c r="K5" s="9"/>
      <c r="L5" s="1"/>
    </row>
    <row r="6" spans="1:13" ht="20.100000000000001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9"/>
      <c r="L6" s="1"/>
    </row>
    <row r="7" spans="1:13" ht="20.100000000000001" customHeight="1" x14ac:dyDescent="0.25">
      <c r="A7" s="57" t="s">
        <v>24</v>
      </c>
      <c r="B7" s="58"/>
      <c r="C7" s="58"/>
      <c r="D7" s="59"/>
      <c r="E7" s="3">
        <f>IF(COUNT(Tabella1[Young''s modulus (MPa)])=0, "Null", AVERAGE(Tabella1[Young''s modulus (MPa)]))</f>
        <v>209333.33333333334</v>
      </c>
      <c r="F7" s="3">
        <f>IF(COUNT(Tabella1[Poisson''s ratio (-)])=0, "Null", AVERAGE(Tabella1[Poisson''s ratio (-)]))</f>
        <v>0.3</v>
      </c>
      <c r="G7" s="3">
        <f>IF(COUNT(Tabella1[Tensile strength (MPa)])=0, "Null", AVERAGE(Tabella1[Tensile strength (MPa)]))</f>
        <v>787.66666666666663</v>
      </c>
      <c r="H7" s="3">
        <f>IF(COUNT(Tabella1[Yield strength (MPa)])=0, "Null", AVERAGE(Tabella1[Yield strength (MPa)]))</f>
        <v>635.66666666666663</v>
      </c>
      <c r="I7" s="3">
        <f>IF(COUNT(Tabella1[Tensile fatigue limit (MPa)])=0, "Null", AVERAGE(Tabella1[Tensile fatigue limit (MPa)]))</f>
        <v>439.33333333333331</v>
      </c>
      <c r="J7" s="3">
        <f>IF(COUNT(Tabella1[Torsional fatigue limit (MPa)])=0, "Null", AVERAGE(Tabella1[Torsional fatigue limit (MPa)]))</f>
        <v>290</v>
      </c>
      <c r="K7" s="10"/>
      <c r="L7" s="3"/>
      <c r="M7" s="14">
        <f>IF(COUNT(Tabella1[K])=0, "Null", AVERAGE(Tabella1[K]))</f>
        <v>1.5561066525187313</v>
      </c>
    </row>
    <row r="8" spans="1:13" ht="20.100000000000001" customHeight="1" thickBot="1" x14ac:dyDescent="0.3">
      <c r="A8" s="60" t="s">
        <v>23</v>
      </c>
      <c r="B8" s="61"/>
      <c r="C8" s="61"/>
      <c r="D8" s="62"/>
      <c r="E8" s="4">
        <f>IF(COUNT(Tabella1[Young''s modulus (MPa)])=0, "Null", _xlfn.STDEV.P(Tabella1[Young''s modulus (MPa)]))</f>
        <v>12256.517540566823</v>
      </c>
      <c r="F8" s="4">
        <f>IF(COUNT(Tabella1[Poisson''s ratio (-)])=0, "Null", _xlfn.STDEV.P(Tabella1[Poisson''s ratio (-)]))</f>
        <v>0</v>
      </c>
      <c r="G8" s="4">
        <f>IF(COUNT(Tabella1[Tensile strength (MPa)])=0, "Null", _xlfn.STDEV.P(Tabella1[Tensile strength (MPa)]))</f>
        <v>60.642852468824017</v>
      </c>
      <c r="H8" s="4">
        <f>IF(COUNT(Tabella1[Yield strength (MPa)])=0, "Null", _xlfn.STDEV.P(Tabella1[Yield strength (MPa)]))</f>
        <v>63.067864682067331</v>
      </c>
      <c r="I8" s="4">
        <f>IF(COUNT(Tabella1[Tensile fatigue limit (MPa)])=0, "Null", _xlfn.STDEV.P(Tabella1[Tensile fatigue limit (MPa)]))</f>
        <v>90.2453446013822</v>
      </c>
      <c r="J8" s="4">
        <f>IF(COUNT(Tabella1[Torsional fatigue limit (MPa)])=0, "Null", _xlfn.STDEV.P(Tabella1[Torsional fatigue limit (MPa)]))</f>
        <v>87.468089419322908</v>
      </c>
      <c r="K8" s="11"/>
      <c r="L8" s="4"/>
      <c r="M8" s="66">
        <f>IF(COUNT(Tabella1[K])=0, "Null", _xlfn.STDEV.P(Tabella1[K]))</f>
        <v>0.13676143387224662</v>
      </c>
    </row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x14ac:dyDescent="0.25"/>
    <row r="13" spans="1:13" ht="20.100000000000001" customHeight="1" thickBot="1" x14ac:dyDescent="0.3"/>
    <row r="14" spans="1:13" ht="20.100000000000001" customHeight="1" x14ac:dyDescent="0.25">
      <c r="A14" s="63" t="s">
        <v>28</v>
      </c>
      <c r="B14" s="5" t="s">
        <v>29</v>
      </c>
    </row>
    <row r="15" spans="1:13" ht="20.100000000000001" customHeight="1" thickBot="1" x14ac:dyDescent="0.3">
      <c r="A15" s="64"/>
      <c r="B15" s="6" t="s">
        <v>30</v>
      </c>
    </row>
    <row r="28" spans="4:4" x14ac:dyDescent="0.25">
      <c r="D28" s="7" t="s">
        <v>33</v>
      </c>
    </row>
    <row r="29" spans="4:4" x14ac:dyDescent="0.25">
      <c r="D29" s="8">
        <f>COUNTA(Tabella2[Authors])</f>
        <v>41</v>
      </c>
    </row>
  </sheetData>
  <mergeCells count="3">
    <mergeCell ref="A7:D7"/>
    <mergeCell ref="A8:D8"/>
    <mergeCell ref="A14:A15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topLeftCell="D1" zoomScale="70" zoomScaleNormal="70" workbookViewId="0">
      <pane ySplit="1" topLeftCell="A11" activePane="bottomLeft" state="frozen"/>
      <selection activeCell="B1" sqref="B1"/>
      <selection pane="bottomLeft" activeCell="G45" sqref="G45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54" style="1" customWidth="1"/>
    <col min="5" max="5" width="32.85546875" style="13" customWidth="1"/>
    <col min="6" max="6" width="24.5703125" style="1" customWidth="1"/>
    <col min="7" max="7" width="49.140625" style="84" customWidth="1"/>
    <col min="8" max="8" width="28.7109375" style="89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19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4" customWidth="1"/>
    <col min="22" max="22" width="40.7109375" style="29" customWidth="1"/>
    <col min="23" max="23" width="40" style="29" customWidth="1"/>
    <col min="24" max="24" width="35.140625" style="13" customWidth="1"/>
    <col min="25" max="25" width="34.28515625" style="13" customWidth="1"/>
    <col min="26" max="26" width="41.42578125" style="13" customWidth="1"/>
    <col min="27" max="27" width="28.7109375" style="50" customWidth="1"/>
    <col min="28" max="28" width="29.5703125" style="25" customWidth="1"/>
    <col min="29" max="29" width="27.42578125" style="25" customWidth="1"/>
    <col min="30" max="30" width="30.140625" style="25" customWidth="1"/>
    <col min="31" max="31" width="30.85546875" style="29" customWidth="1"/>
    <col min="32" max="32" width="25" style="25" customWidth="1"/>
    <col min="33" max="33" width="30.28515625" style="84" customWidth="1"/>
    <col min="34" max="34" width="28.5703125" style="50" customWidth="1"/>
    <col min="35" max="35" width="29.28515625" style="25" customWidth="1"/>
    <col min="36" max="36" width="20.140625" style="25" customWidth="1"/>
    <col min="37" max="37" width="23.140625" style="25" customWidth="1"/>
    <col min="38" max="38" width="23.28515625" style="25" customWidth="1"/>
    <col min="39" max="39" width="25.85546875" style="25" customWidth="1"/>
    <col min="40" max="40" width="23.85546875" style="25" customWidth="1"/>
    <col min="41" max="41" width="24" style="20" customWidth="1"/>
    <col min="42" max="42" width="34" style="40" customWidth="1"/>
    <col min="43" max="43" width="52.7109375" style="13"/>
    <col min="44" max="16384" width="52.7109375" style="1"/>
  </cols>
  <sheetData>
    <row r="1" spans="1:43" s="23" customFormat="1" ht="44.25" customHeight="1" x14ac:dyDescent="0.25">
      <c r="A1" s="22" t="s">
        <v>26</v>
      </c>
      <c r="B1" s="22" t="s">
        <v>25</v>
      </c>
      <c r="C1" s="22" t="s">
        <v>60</v>
      </c>
      <c r="D1" s="22" t="s">
        <v>19</v>
      </c>
      <c r="E1" s="44" t="s">
        <v>5</v>
      </c>
      <c r="F1" s="22" t="s">
        <v>6</v>
      </c>
      <c r="G1" s="93" t="s">
        <v>18</v>
      </c>
      <c r="H1" s="94" t="s">
        <v>16</v>
      </c>
      <c r="I1" s="28" t="s">
        <v>43</v>
      </c>
      <c r="J1" s="28" t="s">
        <v>27</v>
      </c>
      <c r="K1" s="33" t="s">
        <v>40</v>
      </c>
      <c r="L1" s="33" t="s">
        <v>41</v>
      </c>
      <c r="M1" s="33" t="s">
        <v>42</v>
      </c>
      <c r="N1" s="28" t="s">
        <v>17</v>
      </c>
      <c r="O1" s="34" t="s">
        <v>32</v>
      </c>
      <c r="P1" s="34" t="s">
        <v>57</v>
      </c>
      <c r="Q1" s="27" t="s">
        <v>56</v>
      </c>
      <c r="R1" s="26" t="s">
        <v>44</v>
      </c>
      <c r="S1" s="26" t="s">
        <v>45</v>
      </c>
      <c r="T1" s="26" t="s">
        <v>46</v>
      </c>
      <c r="U1" s="52" t="s">
        <v>47</v>
      </c>
      <c r="V1" s="35" t="s">
        <v>48</v>
      </c>
      <c r="W1" s="35" t="s">
        <v>49</v>
      </c>
      <c r="X1" s="81" t="s">
        <v>14</v>
      </c>
      <c r="Y1" s="81" t="s">
        <v>50</v>
      </c>
      <c r="Z1" s="81" t="s">
        <v>15</v>
      </c>
      <c r="AA1" s="55" t="s">
        <v>7</v>
      </c>
      <c r="AB1" s="41" t="s">
        <v>8</v>
      </c>
      <c r="AC1" s="41" t="s">
        <v>51</v>
      </c>
      <c r="AD1" s="41" t="s">
        <v>52</v>
      </c>
      <c r="AE1" s="47" t="s">
        <v>55</v>
      </c>
      <c r="AF1" s="46" t="s">
        <v>9</v>
      </c>
      <c r="AG1" s="82" t="s">
        <v>10</v>
      </c>
      <c r="AH1" s="85" t="s">
        <v>53</v>
      </c>
      <c r="AI1" s="49" t="s">
        <v>54</v>
      </c>
      <c r="AJ1" s="48" t="s">
        <v>58</v>
      </c>
      <c r="AK1" s="49" t="s">
        <v>62</v>
      </c>
      <c r="AL1" s="48" t="s">
        <v>34</v>
      </c>
      <c r="AM1" s="49" t="s">
        <v>35</v>
      </c>
      <c r="AN1" s="48" t="s">
        <v>12</v>
      </c>
      <c r="AO1" s="54" t="s">
        <v>11</v>
      </c>
      <c r="AP1" s="37" t="s">
        <v>13</v>
      </c>
      <c r="AQ1" s="56" t="s">
        <v>61</v>
      </c>
    </row>
    <row r="2" spans="1:43" ht="20.100000000000001" customHeight="1" x14ac:dyDescent="0.25">
      <c r="A2" s="1" t="s">
        <v>64</v>
      </c>
      <c r="B2" s="1">
        <v>1984</v>
      </c>
      <c r="C2" s="42" t="s">
        <v>63</v>
      </c>
      <c r="D2" s="1" t="s">
        <v>69</v>
      </c>
      <c r="E2" s="67">
        <v>1500000</v>
      </c>
      <c r="F2" s="1" t="s">
        <v>31</v>
      </c>
      <c r="G2" s="68" t="s">
        <v>70</v>
      </c>
      <c r="H2" s="89" t="e" vm="1">
        <v>#VALUE!</v>
      </c>
      <c r="I2" s="1" t="s">
        <v>72</v>
      </c>
      <c r="J2" s="1" t="s">
        <v>20</v>
      </c>
      <c r="K2" s="1" t="s">
        <v>21</v>
      </c>
      <c r="L2" s="1" t="s">
        <v>21</v>
      </c>
      <c r="M2" s="1">
        <v>32</v>
      </c>
      <c r="N2" s="69">
        <v>34</v>
      </c>
      <c r="O2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" s="1">
        <v>0</v>
      </c>
      <c r="S2" s="1">
        <v>0</v>
      </c>
      <c r="T2" s="1">
        <v>0</v>
      </c>
      <c r="U2" s="1">
        <v>15</v>
      </c>
      <c r="V2" s="1">
        <v>15</v>
      </c>
      <c r="W2" s="1">
        <v>15</v>
      </c>
      <c r="X2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87">
        <v>0</v>
      </c>
      <c r="AB2" s="68">
        <v>0</v>
      </c>
      <c r="AC2" s="68">
        <v>0</v>
      </c>
      <c r="AD2" s="68">
        <v>410</v>
      </c>
      <c r="AE2" s="29" t="s">
        <v>59</v>
      </c>
      <c r="AF2" s="68">
        <v>0</v>
      </c>
      <c r="AG2" s="68">
        <v>0</v>
      </c>
      <c r="AH2" s="50">
        <f>IF(ISNUMBER(Tabella2[[#This Row],[Mean RADIAL stress  (MPa)]]), Tabella2[[#This Row],[Mean RADIAL stress  (MPa)]],"")</f>
        <v>0</v>
      </c>
      <c r="AI2" s="25">
        <f>IF(ISNUMBER(Tabella2[[#This Row],[Amplitute RADIAL stress  (MPa)]]), Tabella2[[#This Row],[Amplitute RADIAL stress  (MPa)]],"")</f>
        <v>0</v>
      </c>
      <c r="AJ2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25">
        <f>IF(ISNUMBER(Tabella2[[#This Row],[Amplitute AXIAL stress  (MPa)]]),    IF(Tabella2[[#This Row],[derived from (AXIAL/BENDING) load]]="AXIAL",Tabella2[[#This Row],[Amplitute AXIAL stress  (MPa)]]*Tabella2[[#This Row],[Area (mm^2)]],"Null"), "")</f>
        <v>42505.7486030699</v>
      </c>
      <c r="AL2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410</v>
      </c>
    </row>
    <row r="3" spans="1:43" ht="20.100000000000001" customHeight="1" x14ac:dyDescent="0.25">
      <c r="A3" s="1" t="s">
        <v>64</v>
      </c>
      <c r="B3" s="1">
        <v>1984</v>
      </c>
      <c r="C3" s="42" t="s">
        <v>63</v>
      </c>
      <c r="D3" s="1" t="s">
        <v>69</v>
      </c>
      <c r="E3" s="67">
        <v>1500000</v>
      </c>
      <c r="F3" s="1" t="s">
        <v>31</v>
      </c>
      <c r="G3" s="68" t="s">
        <v>70</v>
      </c>
      <c r="H3" s="89" t="e" vm="1">
        <v>#VALUE!</v>
      </c>
      <c r="I3" s="1" t="s">
        <v>72</v>
      </c>
      <c r="J3" s="1" t="s">
        <v>20</v>
      </c>
      <c r="K3" s="1" t="s">
        <v>21</v>
      </c>
      <c r="L3" s="1" t="s">
        <v>21</v>
      </c>
      <c r="M3" s="1">
        <v>32</v>
      </c>
      <c r="N3" s="69">
        <v>34</v>
      </c>
      <c r="O3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" s="1">
        <v>0</v>
      </c>
      <c r="S3" s="1">
        <v>0</v>
      </c>
      <c r="T3" s="1">
        <v>0</v>
      </c>
      <c r="U3" s="1">
        <v>15</v>
      </c>
      <c r="V3" s="1">
        <v>15</v>
      </c>
      <c r="W3" s="1">
        <v>15</v>
      </c>
      <c r="X3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3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" s="87">
        <v>0</v>
      </c>
      <c r="AB3" s="68">
        <v>0</v>
      </c>
      <c r="AC3" s="68">
        <v>0</v>
      </c>
      <c r="AD3" s="68">
        <v>0</v>
      </c>
      <c r="AE3" s="29" t="s">
        <v>59</v>
      </c>
      <c r="AF3" s="68">
        <v>0</v>
      </c>
      <c r="AG3" s="68">
        <v>256</v>
      </c>
      <c r="AH3" s="50">
        <f>IF(ISNUMBER(Tabella2[[#This Row],[Mean RADIAL stress  (MPa)]]), Tabella2[[#This Row],[Mean RADIAL stress  (MPa)]],"")</f>
        <v>0</v>
      </c>
      <c r="AI3" s="25">
        <f>IF(ISNUMBER(Tabella2[[#This Row],[Amplitute RADIAL stress  (MPa)]]), Tabella2[[#This Row],[Amplitute RADIAL stress  (MPa)]],"")</f>
        <v>0</v>
      </c>
      <c r="AJ3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25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425423.38917505828</v>
      </c>
      <c r="AP3" s="38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443.40500673763256</v>
      </c>
    </row>
    <row r="4" spans="1:43" ht="20.100000000000001" customHeight="1" x14ac:dyDescent="0.25">
      <c r="A4" s="1" t="s">
        <v>64</v>
      </c>
      <c r="B4" s="1">
        <v>1984</v>
      </c>
      <c r="C4" s="42" t="s">
        <v>63</v>
      </c>
      <c r="D4" s="1" t="s">
        <v>69</v>
      </c>
      <c r="E4" s="67">
        <v>1500000</v>
      </c>
      <c r="F4" s="1" t="s">
        <v>31</v>
      </c>
      <c r="G4" s="68" t="s">
        <v>70</v>
      </c>
      <c r="H4" s="89" t="e" vm="1">
        <v>#VALUE!</v>
      </c>
      <c r="I4" s="1" t="s">
        <v>72</v>
      </c>
      <c r="J4" s="1" t="s">
        <v>20</v>
      </c>
      <c r="K4" s="1" t="s">
        <v>21</v>
      </c>
      <c r="L4" s="1" t="s">
        <v>21</v>
      </c>
      <c r="M4" s="1">
        <v>32</v>
      </c>
      <c r="N4" s="69">
        <v>34</v>
      </c>
      <c r="O4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4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4" s="1">
        <v>0</v>
      </c>
      <c r="S4" s="1">
        <v>0</v>
      </c>
      <c r="T4" s="1">
        <v>0</v>
      </c>
      <c r="U4" s="1">
        <v>15</v>
      </c>
      <c r="V4" s="1">
        <v>15</v>
      </c>
      <c r="W4" s="1">
        <v>15</v>
      </c>
      <c r="X4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" s="87">
        <v>0</v>
      </c>
      <c r="AB4" s="68">
        <v>0</v>
      </c>
      <c r="AC4" s="68">
        <v>0</v>
      </c>
      <c r="AD4" s="68">
        <v>314</v>
      </c>
      <c r="AE4" s="29" t="s">
        <v>59</v>
      </c>
      <c r="AF4" s="68">
        <v>0</v>
      </c>
      <c r="AG4" s="68">
        <v>157</v>
      </c>
      <c r="AH4" s="50">
        <f>IF(ISNUMBER(Tabella2[[#This Row],[Mean RADIAL stress  (MPa)]]), Tabella2[[#This Row],[Mean RADIAL stress  (MPa)]],"")</f>
        <v>0</v>
      </c>
      <c r="AI4" s="25">
        <f>IF(ISNUMBER(Tabella2[[#This Row],[Amplitute RADIAL stress  (MPa)]]), Tabella2[[#This Row],[Amplitute RADIAL stress  (MPa)]],"")</f>
        <v>0</v>
      </c>
      <c r="AJ4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32553.183076497437</v>
      </c>
      <c r="AL4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260904.1878925162</v>
      </c>
      <c r="AP4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4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415.38295583714074</v>
      </c>
    </row>
    <row r="5" spans="1:43" ht="20.100000000000001" customHeight="1" x14ac:dyDescent="0.25">
      <c r="A5" s="1" t="s">
        <v>64</v>
      </c>
      <c r="B5" s="1">
        <v>1984</v>
      </c>
      <c r="C5" s="42" t="s">
        <v>63</v>
      </c>
      <c r="D5" s="1" t="s">
        <v>69</v>
      </c>
      <c r="E5" s="67">
        <v>1500000</v>
      </c>
      <c r="F5" s="1" t="s">
        <v>31</v>
      </c>
      <c r="G5" s="68" t="s">
        <v>70</v>
      </c>
      <c r="H5" s="89" t="e" vm="1">
        <v>#VALUE!</v>
      </c>
      <c r="I5" s="1" t="s">
        <v>72</v>
      </c>
      <c r="J5" s="1" t="s">
        <v>20</v>
      </c>
      <c r="K5" s="1" t="s">
        <v>21</v>
      </c>
      <c r="L5" s="1" t="s">
        <v>21</v>
      </c>
      <c r="M5" s="1">
        <v>32</v>
      </c>
      <c r="N5" s="69">
        <v>34</v>
      </c>
      <c r="O5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5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5" s="1">
        <v>0</v>
      </c>
      <c r="S5" s="1">
        <v>0</v>
      </c>
      <c r="T5" s="1">
        <v>0</v>
      </c>
      <c r="U5" s="1">
        <v>15</v>
      </c>
      <c r="V5" s="1">
        <v>15</v>
      </c>
      <c r="W5" s="1">
        <v>15</v>
      </c>
      <c r="X5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" s="87">
        <v>0</v>
      </c>
      <c r="AB5" s="68">
        <v>0</v>
      </c>
      <c r="AC5" s="68">
        <v>0</v>
      </c>
      <c r="AD5" s="68">
        <v>218</v>
      </c>
      <c r="AE5" s="29" t="s">
        <v>59</v>
      </c>
      <c r="AF5" s="68">
        <v>0</v>
      </c>
      <c r="AG5" s="68">
        <v>218</v>
      </c>
      <c r="AH5" s="50">
        <f>IF(ISNUMBER(Tabella2[[#This Row],[Mean RADIAL stress  (MPa)]]), Tabella2[[#This Row],[Mean RADIAL stress  (MPa)]],"")</f>
        <v>0</v>
      </c>
      <c r="AI5" s="25">
        <f>IF(ISNUMBER(Tabella2[[#This Row],[Amplitute RADIAL stress  (MPa)]]), Tabella2[[#This Row],[Amplitute RADIAL stress  (MPa)]],"")</f>
        <v>0</v>
      </c>
      <c r="AJ5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22600.617549924973</v>
      </c>
      <c r="AL5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362274.60484438558</v>
      </c>
      <c r="AP5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5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436</v>
      </c>
    </row>
    <row r="6" spans="1:43" ht="20.100000000000001" customHeight="1" x14ac:dyDescent="0.25">
      <c r="A6" s="1" t="s">
        <v>64</v>
      </c>
      <c r="B6" s="1">
        <v>1984</v>
      </c>
      <c r="C6" s="42" t="s">
        <v>63</v>
      </c>
      <c r="D6" s="1" t="s">
        <v>69</v>
      </c>
      <c r="E6" s="67">
        <v>1500000</v>
      </c>
      <c r="F6" s="1" t="s">
        <v>31</v>
      </c>
      <c r="G6" s="68" t="s">
        <v>70</v>
      </c>
      <c r="H6" s="89" t="e" vm="1">
        <v>#VALUE!</v>
      </c>
      <c r="I6" s="1" t="s">
        <v>72</v>
      </c>
      <c r="J6" s="1" t="s">
        <v>20</v>
      </c>
      <c r="K6" s="1" t="s">
        <v>21</v>
      </c>
      <c r="L6" s="1" t="s">
        <v>21</v>
      </c>
      <c r="M6" s="1">
        <v>32</v>
      </c>
      <c r="N6" s="69">
        <v>34</v>
      </c>
      <c r="O6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6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6" s="1">
        <v>0</v>
      </c>
      <c r="S6" s="1">
        <v>0</v>
      </c>
      <c r="T6" s="1">
        <v>0</v>
      </c>
      <c r="U6" s="1">
        <v>15</v>
      </c>
      <c r="V6" s="1">
        <v>15</v>
      </c>
      <c r="W6" s="1">
        <v>15</v>
      </c>
      <c r="X6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" s="87">
        <v>0</v>
      </c>
      <c r="AB6" s="68">
        <v>0</v>
      </c>
      <c r="AC6" s="68">
        <v>0</v>
      </c>
      <c r="AD6" s="68">
        <v>122</v>
      </c>
      <c r="AE6" s="29" t="s">
        <v>59</v>
      </c>
      <c r="AF6" s="68">
        <v>0</v>
      </c>
      <c r="AG6" s="68">
        <v>244</v>
      </c>
      <c r="AH6" s="50">
        <f>IF(ISNUMBER(Tabella2[[#This Row],[Mean RADIAL stress  (MPa)]]), Tabella2[[#This Row],[Mean RADIAL stress  (MPa)]],"")</f>
        <v>0</v>
      </c>
      <c r="AI6" s="25">
        <f>IF(ISNUMBER(Tabella2[[#This Row],[Amplitute RADIAL stress  (MPa)]]), Tabella2[[#This Row],[Amplitute RADIAL stress  (MPa)]],"")</f>
        <v>0</v>
      </c>
      <c r="AJ6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25">
        <f>IF(ISNUMBER(Tabella2[[#This Row],[Amplitute AXIAL stress  (MPa)]]),    IF(Tabella2[[#This Row],[derived from (AXIAL/BENDING) load]]="AXIAL",Tabella2[[#This Row],[Amplitute AXIAL stress  (MPa)]]*Tabella2[[#This Row],[Area (mm^2)]],"Null"), "")</f>
        <v>12648.052023352508</v>
      </c>
      <c r="AL6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405481.66780747741</v>
      </c>
      <c r="AP6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6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439.8772556066067</v>
      </c>
    </row>
    <row r="7" spans="1:43" ht="20.100000000000001" customHeight="1" x14ac:dyDescent="0.25">
      <c r="A7" s="1" t="s">
        <v>64</v>
      </c>
      <c r="B7" s="1">
        <v>1984</v>
      </c>
      <c r="C7" s="42" t="s">
        <v>63</v>
      </c>
      <c r="D7" s="1" t="s">
        <v>69</v>
      </c>
      <c r="E7" s="67">
        <v>1500000</v>
      </c>
      <c r="F7" s="1" t="s">
        <v>31</v>
      </c>
      <c r="G7" s="68" t="s">
        <v>70</v>
      </c>
      <c r="H7" s="89" t="e" vm="1">
        <v>#VALUE!</v>
      </c>
      <c r="I7" s="1" t="s">
        <v>72</v>
      </c>
      <c r="J7" s="1" t="s">
        <v>20</v>
      </c>
      <c r="K7" s="1" t="s">
        <v>21</v>
      </c>
      <c r="L7" s="1" t="s">
        <v>21</v>
      </c>
      <c r="M7" s="1">
        <v>32</v>
      </c>
      <c r="N7" s="69">
        <v>34</v>
      </c>
      <c r="O7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7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7" s="1">
        <v>0</v>
      </c>
      <c r="S7" s="1">
        <v>0</v>
      </c>
      <c r="T7" s="1">
        <v>0</v>
      </c>
      <c r="U7" s="1">
        <v>15</v>
      </c>
      <c r="V7" s="1">
        <v>15</v>
      </c>
      <c r="W7" s="1">
        <v>15</v>
      </c>
      <c r="X7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" s="87">
        <v>0</v>
      </c>
      <c r="AB7" s="68">
        <v>0</v>
      </c>
      <c r="AC7" s="68">
        <v>0</v>
      </c>
      <c r="AD7" s="68">
        <v>382</v>
      </c>
      <c r="AE7" s="29" t="s">
        <v>59</v>
      </c>
      <c r="AF7" s="68">
        <v>0</v>
      </c>
      <c r="AG7" s="68">
        <v>95</v>
      </c>
      <c r="AH7" s="50">
        <f>IF(ISNUMBER(Tabella2[[#This Row],[Mean RADIAL stress  (MPa)]]), Tabella2[[#This Row],[Mean RADIAL stress  (MPa)]],"")</f>
        <v>0</v>
      </c>
      <c r="AI7" s="25">
        <f>IF(ISNUMBER(Tabella2[[#This Row],[Amplitute RADIAL stress  (MPa)]]), Tabella2[[#This Row],[Amplitute RADIAL stress  (MPa)]],"")</f>
        <v>0</v>
      </c>
      <c r="AJ7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39602.916991152932</v>
      </c>
      <c r="AL7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157871.96082668178</v>
      </c>
      <c r="AP7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0.2486910994764398</v>
      </c>
      <c r="AQ7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415.93148474237915</v>
      </c>
    </row>
    <row r="8" spans="1:43" ht="20.100000000000001" customHeight="1" x14ac:dyDescent="0.25">
      <c r="A8" s="1" t="s">
        <v>64</v>
      </c>
      <c r="B8" s="1">
        <v>1984</v>
      </c>
      <c r="C8" s="42" t="s">
        <v>63</v>
      </c>
      <c r="D8" s="1" t="s">
        <v>69</v>
      </c>
      <c r="E8" s="67">
        <v>1500000</v>
      </c>
      <c r="F8" s="1" t="s">
        <v>31</v>
      </c>
      <c r="G8" s="68" t="s">
        <v>70</v>
      </c>
      <c r="H8" s="89" t="e" vm="1">
        <v>#VALUE!</v>
      </c>
      <c r="I8" s="1" t="s">
        <v>72</v>
      </c>
      <c r="J8" s="1" t="s">
        <v>20</v>
      </c>
      <c r="K8" s="1" t="s">
        <v>21</v>
      </c>
      <c r="L8" s="1" t="s">
        <v>21</v>
      </c>
      <c r="M8" s="1">
        <v>32</v>
      </c>
      <c r="N8" s="69">
        <v>34</v>
      </c>
      <c r="O8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8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8" s="1">
        <v>0</v>
      </c>
      <c r="S8" s="1">
        <v>0</v>
      </c>
      <c r="T8" s="1">
        <v>60</v>
      </c>
      <c r="U8" s="1">
        <v>15</v>
      </c>
      <c r="V8" s="1">
        <v>15</v>
      </c>
      <c r="W8" s="1">
        <v>15</v>
      </c>
      <c r="X8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" s="87">
        <v>0</v>
      </c>
      <c r="AB8" s="68">
        <v>0</v>
      </c>
      <c r="AC8" s="68">
        <v>0</v>
      </c>
      <c r="AD8" s="68">
        <v>315</v>
      </c>
      <c r="AE8" s="29" t="s">
        <v>59</v>
      </c>
      <c r="AF8" s="68">
        <v>0</v>
      </c>
      <c r="AG8" s="68">
        <v>157.5</v>
      </c>
      <c r="AH8" s="50">
        <f>IF(ISNUMBER(Tabella2[[#This Row],[Mean RADIAL stress  (MPa)]]), Tabella2[[#This Row],[Mean RADIAL stress  (MPa)]],"")</f>
        <v>0</v>
      </c>
      <c r="AI8" s="25">
        <f>IF(ISNUMBER(Tabella2[[#This Row],[Amplitute RADIAL stress  (MPa)]]), Tabella2[[#This Row],[Amplitute RADIAL stress  (MPa)]],"")</f>
        <v>0</v>
      </c>
      <c r="AJ8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32656.855634065902</v>
      </c>
      <c r="AL8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261735.09294949876</v>
      </c>
      <c r="AP8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8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416.70583149267304</v>
      </c>
    </row>
    <row r="9" spans="1:43" ht="20.100000000000001" customHeight="1" x14ac:dyDescent="0.25">
      <c r="A9" s="1" t="s">
        <v>64</v>
      </c>
      <c r="B9" s="1">
        <v>1984</v>
      </c>
      <c r="C9" s="42" t="s">
        <v>63</v>
      </c>
      <c r="D9" s="1" t="s">
        <v>69</v>
      </c>
      <c r="E9" s="67">
        <v>1500000</v>
      </c>
      <c r="F9" s="1" t="s">
        <v>31</v>
      </c>
      <c r="G9" s="68" t="s">
        <v>70</v>
      </c>
      <c r="H9" s="89" t="e" vm="1">
        <v>#VALUE!</v>
      </c>
      <c r="I9" s="1" t="s">
        <v>72</v>
      </c>
      <c r="J9" s="1" t="s">
        <v>20</v>
      </c>
      <c r="K9" s="1" t="s">
        <v>21</v>
      </c>
      <c r="L9" s="1" t="s">
        <v>21</v>
      </c>
      <c r="M9" s="1">
        <v>32</v>
      </c>
      <c r="N9" s="69">
        <v>34</v>
      </c>
      <c r="O9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9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9" s="1">
        <v>0</v>
      </c>
      <c r="S9" s="1">
        <v>0</v>
      </c>
      <c r="T9" s="1">
        <v>90</v>
      </c>
      <c r="U9" s="1">
        <v>15</v>
      </c>
      <c r="V9" s="1">
        <v>15</v>
      </c>
      <c r="W9" s="1">
        <v>15</v>
      </c>
      <c r="X9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" s="87">
        <v>0</v>
      </c>
      <c r="AB9" s="68">
        <v>0</v>
      </c>
      <c r="AC9" s="68">
        <v>0</v>
      </c>
      <c r="AD9" s="68">
        <v>316</v>
      </c>
      <c r="AE9" s="29" t="s">
        <v>59</v>
      </c>
      <c r="AF9" s="68">
        <v>0</v>
      </c>
      <c r="AG9" s="68">
        <v>158</v>
      </c>
      <c r="AH9" s="50">
        <f>IF(ISNUMBER(Tabella2[[#This Row],[Mean RADIAL stress  (MPa)]]), Tabella2[[#This Row],[Mean RADIAL stress  (MPa)]],"")</f>
        <v>0</v>
      </c>
      <c r="AI9" s="25">
        <f>IF(ISNUMBER(Tabella2[[#This Row],[Amplitute RADIAL stress  (MPa)]]), Tabella2[[#This Row],[Amplitute RADIAL stress  (MPa)]],"")</f>
        <v>0</v>
      </c>
      <c r="AJ9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32760.528191634363</v>
      </c>
      <c r="AL9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262565.99800648127</v>
      </c>
      <c r="AP9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9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418.02870714820529</v>
      </c>
    </row>
    <row r="10" spans="1:43" ht="20.100000000000001" customHeight="1" x14ac:dyDescent="0.25">
      <c r="A10" s="1" t="s">
        <v>64</v>
      </c>
      <c r="B10" s="1">
        <v>1984</v>
      </c>
      <c r="C10" s="42" t="s">
        <v>63</v>
      </c>
      <c r="D10" s="1" t="s">
        <v>69</v>
      </c>
      <c r="E10" s="67">
        <v>1500000</v>
      </c>
      <c r="F10" s="1" t="s">
        <v>31</v>
      </c>
      <c r="G10" s="68" t="s">
        <v>70</v>
      </c>
      <c r="H10" s="89" t="e" vm="1">
        <v>#VALUE!</v>
      </c>
      <c r="I10" s="1" t="s">
        <v>72</v>
      </c>
      <c r="J10" s="1" t="s">
        <v>20</v>
      </c>
      <c r="K10" s="1" t="s">
        <v>21</v>
      </c>
      <c r="L10" s="1" t="s">
        <v>21</v>
      </c>
      <c r="M10" s="1">
        <v>32</v>
      </c>
      <c r="N10" s="69">
        <v>34</v>
      </c>
      <c r="O10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0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0" s="1">
        <v>0</v>
      </c>
      <c r="S10" s="1">
        <v>0</v>
      </c>
      <c r="T10" s="1">
        <v>120</v>
      </c>
      <c r="U10" s="1">
        <v>15</v>
      </c>
      <c r="V10" s="1">
        <v>15</v>
      </c>
      <c r="W10" s="1">
        <v>15</v>
      </c>
      <c r="X10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" s="87">
        <v>0</v>
      </c>
      <c r="AB10" s="68">
        <v>0</v>
      </c>
      <c r="AC10" s="68">
        <v>0</v>
      </c>
      <c r="AD10" s="68">
        <v>315</v>
      </c>
      <c r="AE10" s="29" t="s">
        <v>59</v>
      </c>
      <c r="AF10" s="68">
        <v>0</v>
      </c>
      <c r="AG10" s="68">
        <v>157.5</v>
      </c>
      <c r="AH10" s="50">
        <f>IF(ISNUMBER(Tabella2[[#This Row],[Mean RADIAL stress  (MPa)]]), Tabella2[[#This Row],[Mean RADIAL stress  (MPa)]],"")</f>
        <v>0</v>
      </c>
      <c r="AI10" s="25">
        <f>IF(ISNUMBER(Tabella2[[#This Row],[Amplitute RADIAL stress  (MPa)]]), Tabella2[[#This Row],[Amplitute RADIAL stress  (MPa)]],"")</f>
        <v>0</v>
      </c>
      <c r="AJ10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32656.855634065902</v>
      </c>
      <c r="AL10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261735.09294949876</v>
      </c>
      <c r="AP10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0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416.70583149267304</v>
      </c>
    </row>
    <row r="11" spans="1:43" ht="20.100000000000001" customHeight="1" x14ac:dyDescent="0.25">
      <c r="A11" s="1" t="s">
        <v>64</v>
      </c>
      <c r="B11" s="1">
        <v>1984</v>
      </c>
      <c r="C11" s="42" t="s">
        <v>63</v>
      </c>
      <c r="D11" s="1" t="s">
        <v>69</v>
      </c>
      <c r="E11" s="67">
        <v>1500000</v>
      </c>
      <c r="F11" s="1" t="s">
        <v>31</v>
      </c>
      <c r="G11" s="68" t="s">
        <v>70</v>
      </c>
      <c r="H11" s="89" t="e" vm="1">
        <v>#VALUE!</v>
      </c>
      <c r="I11" s="1" t="s">
        <v>72</v>
      </c>
      <c r="J11" s="1" t="s">
        <v>20</v>
      </c>
      <c r="K11" s="1" t="s">
        <v>21</v>
      </c>
      <c r="L11" s="1" t="s">
        <v>21</v>
      </c>
      <c r="M11" s="1">
        <v>32</v>
      </c>
      <c r="N11" s="69">
        <v>34</v>
      </c>
      <c r="O11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1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1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1" s="1">
        <v>0</v>
      </c>
      <c r="S11" s="1">
        <v>0</v>
      </c>
      <c r="T11" s="1">
        <v>90</v>
      </c>
      <c r="U11" s="1">
        <v>15</v>
      </c>
      <c r="V11" s="1">
        <v>15</v>
      </c>
      <c r="W11" s="1">
        <v>15</v>
      </c>
      <c r="X11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87">
        <v>0</v>
      </c>
      <c r="AB11" s="68">
        <v>0</v>
      </c>
      <c r="AC11" s="68">
        <v>0</v>
      </c>
      <c r="AD11" s="68">
        <v>224</v>
      </c>
      <c r="AE11" s="29" t="s">
        <v>59</v>
      </c>
      <c r="AF11" s="68">
        <v>0</v>
      </c>
      <c r="AG11" s="68">
        <v>224</v>
      </c>
      <c r="AH11" s="50">
        <f>IF(ISNUMBER(Tabella2[[#This Row],[Mean RADIAL stress  (MPa)]]), Tabella2[[#This Row],[Mean RADIAL stress  (MPa)]],"")</f>
        <v>0</v>
      </c>
      <c r="AI11" s="25">
        <f>IF(ISNUMBER(Tabella2[[#This Row],[Amplitute RADIAL stress  (MPa)]]), Tabella2[[#This Row],[Amplitute RADIAL stress  (MPa)]],"")</f>
        <v>0</v>
      </c>
      <c r="AJ11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23222.652895335752</v>
      </c>
      <c r="AL11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372245.46552817599</v>
      </c>
      <c r="AP11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448</v>
      </c>
    </row>
    <row r="12" spans="1:43" ht="20.100000000000001" customHeight="1" x14ac:dyDescent="0.25">
      <c r="A12" s="1" t="s">
        <v>64</v>
      </c>
      <c r="B12" s="1">
        <v>1984</v>
      </c>
      <c r="C12" s="42" t="s">
        <v>63</v>
      </c>
      <c r="D12" s="1" t="s">
        <v>69</v>
      </c>
      <c r="E12" s="67">
        <v>1500000</v>
      </c>
      <c r="F12" s="1" t="s">
        <v>31</v>
      </c>
      <c r="G12" s="68" t="s">
        <v>70</v>
      </c>
      <c r="H12" s="89" t="e" vm="1">
        <v>#VALUE!</v>
      </c>
      <c r="I12" s="1" t="s">
        <v>72</v>
      </c>
      <c r="J12" s="1" t="s">
        <v>20</v>
      </c>
      <c r="K12" s="1" t="s">
        <v>21</v>
      </c>
      <c r="L12" s="1" t="s">
        <v>21</v>
      </c>
      <c r="M12" s="1">
        <v>32</v>
      </c>
      <c r="N12" s="69">
        <v>34</v>
      </c>
      <c r="O12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2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2" s="1">
        <v>0</v>
      </c>
      <c r="S12" s="1">
        <v>0</v>
      </c>
      <c r="T12" s="1">
        <v>90</v>
      </c>
      <c r="U12" s="1">
        <v>15</v>
      </c>
      <c r="V12" s="1">
        <v>15</v>
      </c>
      <c r="W12" s="1">
        <v>15</v>
      </c>
      <c r="X12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" s="87">
        <v>0</v>
      </c>
      <c r="AB12" s="68">
        <v>0</v>
      </c>
      <c r="AC12" s="68">
        <v>0</v>
      </c>
      <c r="AD12" s="68">
        <v>380</v>
      </c>
      <c r="AE12" s="29" t="s">
        <v>59</v>
      </c>
      <c r="AF12" s="68">
        <v>0</v>
      </c>
      <c r="AG12" s="68">
        <v>95</v>
      </c>
      <c r="AH12" s="50">
        <f>IF(ISNUMBER(Tabella2[[#This Row],[Mean RADIAL stress  (MPa)]]), Tabella2[[#This Row],[Mean RADIAL stress  (MPa)]],"")</f>
        <v>0</v>
      </c>
      <c r="AI12" s="25">
        <f>IF(ISNUMBER(Tabella2[[#This Row],[Amplitute RADIAL stress  (MPa)]]), Tabella2[[#This Row],[Amplitute RADIAL stress  (MPa)]],"")</f>
        <v>0</v>
      </c>
      <c r="AJ12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39395.571876016009</v>
      </c>
      <c r="AL12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157871.96082668178</v>
      </c>
      <c r="AP12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0.25</v>
      </c>
      <c r="AQ12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414.09539963636399</v>
      </c>
    </row>
    <row r="13" spans="1:43" ht="20.100000000000001" customHeight="1" x14ac:dyDescent="0.25">
      <c r="A13" s="1" t="s">
        <v>64</v>
      </c>
      <c r="B13" s="1">
        <v>1984</v>
      </c>
      <c r="C13" s="42" t="s">
        <v>63</v>
      </c>
      <c r="D13" s="1" t="s">
        <v>69</v>
      </c>
      <c r="E13" s="67">
        <v>1500000</v>
      </c>
      <c r="F13" s="1" t="s">
        <v>31</v>
      </c>
      <c r="G13" s="68" t="s">
        <v>70</v>
      </c>
      <c r="H13" s="89" t="e" vm="1">
        <v>#VALUE!</v>
      </c>
      <c r="I13" s="1" t="s">
        <v>72</v>
      </c>
      <c r="J13" s="1" t="s">
        <v>20</v>
      </c>
      <c r="K13" s="1" t="s">
        <v>21</v>
      </c>
      <c r="L13" s="1" t="s">
        <v>21</v>
      </c>
      <c r="M13" s="1">
        <v>32</v>
      </c>
      <c r="N13" s="69">
        <v>34</v>
      </c>
      <c r="O13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3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3" s="1">
        <v>0</v>
      </c>
      <c r="S13" s="1">
        <v>0</v>
      </c>
      <c r="T13" s="1">
        <v>0</v>
      </c>
      <c r="U13" s="1">
        <v>15</v>
      </c>
      <c r="V13" s="1">
        <v>15</v>
      </c>
      <c r="W13" s="1">
        <v>15</v>
      </c>
      <c r="X13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3" s="87">
        <v>0</v>
      </c>
      <c r="AB13" s="68">
        <v>0</v>
      </c>
      <c r="AC13" s="68">
        <v>0</v>
      </c>
      <c r="AD13" s="68">
        <v>316</v>
      </c>
      <c r="AE13" s="29" t="s">
        <v>59</v>
      </c>
      <c r="AF13" s="68">
        <v>158</v>
      </c>
      <c r="AG13" s="68">
        <v>158</v>
      </c>
      <c r="AH13" s="50">
        <f>IF(ISNUMBER(Tabella2[[#This Row],[Mean RADIAL stress  (MPa)]]), Tabella2[[#This Row],[Mean RADIAL stress  (MPa)]],"")</f>
        <v>0</v>
      </c>
      <c r="AI13" s="25">
        <f>IF(ISNUMBER(Tabella2[[#This Row],[Amplitute RADIAL stress  (MPa)]]), Tabella2[[#This Row],[Amplitute RADIAL stress  (MPa)]],"")</f>
        <v>0</v>
      </c>
      <c r="AJ13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32760.528191634363</v>
      </c>
      <c r="AL13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262565.99800648127</v>
      </c>
      <c r="AO1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262565.99800648127</v>
      </c>
      <c r="AP13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3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418.02870714820529</v>
      </c>
    </row>
    <row r="14" spans="1:43" ht="20.100000000000001" customHeight="1" x14ac:dyDescent="0.25">
      <c r="A14" s="1" t="s">
        <v>64</v>
      </c>
      <c r="B14" s="1">
        <v>1984</v>
      </c>
      <c r="C14" s="42" t="s">
        <v>63</v>
      </c>
      <c r="D14" s="1" t="s">
        <v>69</v>
      </c>
      <c r="E14" s="67">
        <v>1500000</v>
      </c>
      <c r="F14" s="1" t="s">
        <v>31</v>
      </c>
      <c r="G14" s="68" t="s">
        <v>70</v>
      </c>
      <c r="H14" s="89" t="e" vm="1">
        <v>#VALUE!</v>
      </c>
      <c r="I14" s="1" t="s">
        <v>72</v>
      </c>
      <c r="J14" s="1" t="s">
        <v>20</v>
      </c>
      <c r="K14" s="1" t="s">
        <v>21</v>
      </c>
      <c r="L14" s="1" t="s">
        <v>21</v>
      </c>
      <c r="M14" s="1">
        <v>32</v>
      </c>
      <c r="N14" s="69">
        <v>34</v>
      </c>
      <c r="O14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4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4" s="1">
        <v>0</v>
      </c>
      <c r="S14" s="1">
        <v>0</v>
      </c>
      <c r="T14" s="1">
        <v>60</v>
      </c>
      <c r="U14" s="1">
        <v>15</v>
      </c>
      <c r="V14" s="1">
        <v>15</v>
      </c>
      <c r="W14" s="1">
        <v>15</v>
      </c>
      <c r="X14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4" s="87">
        <v>0</v>
      </c>
      <c r="AB14" s="68">
        <v>0</v>
      </c>
      <c r="AC14" s="68">
        <v>0</v>
      </c>
      <c r="AD14" s="68">
        <v>314</v>
      </c>
      <c r="AE14" s="29" t="s">
        <v>59</v>
      </c>
      <c r="AF14" s="68">
        <v>157</v>
      </c>
      <c r="AG14" s="68">
        <v>157</v>
      </c>
      <c r="AH14" s="50">
        <f>IF(ISNUMBER(Tabella2[[#This Row],[Mean RADIAL stress  (MPa)]]), Tabella2[[#This Row],[Mean RADIAL stress  (MPa)]],"")</f>
        <v>0</v>
      </c>
      <c r="AI14" s="25">
        <f>IF(ISNUMBER(Tabella2[[#This Row],[Amplitute RADIAL stress  (MPa)]]), Tabella2[[#This Row],[Amplitute RADIAL stress  (MPa)]],"")</f>
        <v>0</v>
      </c>
      <c r="AJ14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32553.183076497437</v>
      </c>
      <c r="AL14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260904.1878925162</v>
      </c>
      <c r="AO1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260904.1878925162</v>
      </c>
      <c r="AP14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4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415.38295583714074</v>
      </c>
    </row>
    <row r="15" spans="1:43" ht="20.100000000000001" customHeight="1" x14ac:dyDescent="0.25">
      <c r="A15" s="1" t="s">
        <v>64</v>
      </c>
      <c r="B15" s="1">
        <v>1984</v>
      </c>
      <c r="C15" s="42" t="s">
        <v>63</v>
      </c>
      <c r="D15" s="1" t="s">
        <v>69</v>
      </c>
      <c r="E15" s="67">
        <v>1500000</v>
      </c>
      <c r="F15" s="1" t="s">
        <v>31</v>
      </c>
      <c r="G15" s="68" t="s">
        <v>70</v>
      </c>
      <c r="H15" s="89" t="e" vm="1">
        <v>#VALUE!</v>
      </c>
      <c r="I15" s="1" t="s">
        <v>72</v>
      </c>
      <c r="J15" s="1" t="s">
        <v>20</v>
      </c>
      <c r="K15" s="1" t="s">
        <v>21</v>
      </c>
      <c r="L15" s="1" t="s">
        <v>21</v>
      </c>
      <c r="M15" s="1">
        <v>32</v>
      </c>
      <c r="N15" s="69">
        <v>34</v>
      </c>
      <c r="O15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5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5" s="1">
        <v>0</v>
      </c>
      <c r="S15" s="1">
        <v>0</v>
      </c>
      <c r="T15" s="1">
        <v>90</v>
      </c>
      <c r="U15" s="1">
        <v>15</v>
      </c>
      <c r="V15" s="1">
        <v>15</v>
      </c>
      <c r="W15" s="1">
        <v>15</v>
      </c>
      <c r="X15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5" s="87">
        <v>0</v>
      </c>
      <c r="AB15" s="68">
        <v>0</v>
      </c>
      <c r="AC15" s="68">
        <v>0</v>
      </c>
      <c r="AD15" s="68">
        <v>315</v>
      </c>
      <c r="AE15" s="29" t="s">
        <v>59</v>
      </c>
      <c r="AF15" s="68">
        <v>157.5</v>
      </c>
      <c r="AG15" s="68">
        <v>157.5</v>
      </c>
      <c r="AH15" s="50">
        <f>IF(ISNUMBER(Tabella2[[#This Row],[Mean RADIAL stress  (MPa)]]), Tabella2[[#This Row],[Mean RADIAL stress  (MPa)]],"")</f>
        <v>0</v>
      </c>
      <c r="AI15" s="25">
        <f>IF(ISNUMBER(Tabella2[[#This Row],[Amplitute RADIAL stress  (MPa)]]), Tabella2[[#This Row],[Amplitute RADIAL stress  (MPa)]],"")</f>
        <v>0</v>
      </c>
      <c r="AJ15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32656.855634065902</v>
      </c>
      <c r="AL15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261735.09294949876</v>
      </c>
      <c r="AO1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261735.09294949876</v>
      </c>
      <c r="AP15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5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416.70583149267304</v>
      </c>
    </row>
    <row r="16" spans="1:43" ht="20.100000000000001" customHeight="1" x14ac:dyDescent="0.25">
      <c r="A16" s="1" t="s">
        <v>64</v>
      </c>
      <c r="B16" s="1">
        <v>1984</v>
      </c>
      <c r="C16" s="42" t="s">
        <v>63</v>
      </c>
      <c r="D16" s="1" t="s">
        <v>69</v>
      </c>
      <c r="E16" s="67">
        <v>1500000</v>
      </c>
      <c r="F16" s="1" t="s">
        <v>31</v>
      </c>
      <c r="G16" s="68" t="s">
        <v>70</v>
      </c>
      <c r="H16" s="89" t="e" vm="1">
        <v>#VALUE!</v>
      </c>
      <c r="I16" s="1" t="s">
        <v>72</v>
      </c>
      <c r="J16" s="1" t="s">
        <v>20</v>
      </c>
      <c r="K16" s="1" t="s">
        <v>21</v>
      </c>
      <c r="L16" s="1" t="s">
        <v>21</v>
      </c>
      <c r="M16" s="1">
        <v>32</v>
      </c>
      <c r="N16" s="69">
        <v>34</v>
      </c>
      <c r="O16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6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6" s="1">
        <v>0</v>
      </c>
      <c r="S16" s="1">
        <v>0</v>
      </c>
      <c r="T16" s="1">
        <v>0</v>
      </c>
      <c r="U16" s="1">
        <v>15</v>
      </c>
      <c r="V16" s="1">
        <v>15</v>
      </c>
      <c r="W16" s="1">
        <v>15</v>
      </c>
      <c r="X16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6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" s="87">
        <v>0</v>
      </c>
      <c r="AB16" s="68">
        <v>0</v>
      </c>
      <c r="AC16" s="68">
        <v>279</v>
      </c>
      <c r="AD16" s="68">
        <v>279</v>
      </c>
      <c r="AE16" s="29" t="s">
        <v>59</v>
      </c>
      <c r="AF16" s="68">
        <v>0</v>
      </c>
      <c r="AG16" s="68">
        <v>140</v>
      </c>
      <c r="AH16" s="50">
        <f>IF(ISNUMBER(Tabella2[[#This Row],[Mean RADIAL stress  (MPa)]]), Tabella2[[#This Row],[Mean RADIAL stress  (MPa)]],"")</f>
        <v>0</v>
      </c>
      <c r="AI16" s="25">
        <f>IF(ISNUMBER(Tabella2[[#This Row],[Amplitute RADIAL stress  (MPa)]]), Tabella2[[#This Row],[Amplitute RADIAL stress  (MPa)]],"")</f>
        <v>0</v>
      </c>
      <c r="AJ16" s="25">
        <f>IF(ISNUMBER(Tabella2[[#This Row],[Mean AXIAL stress  (MPa)]]), IF(Tabella2[[#This Row],[derived from (AXIAL/BENDING) load]]="AXIAL",Tabella2[[#This Row],[Mean AXIAL stress  (MPa)]]*Tabella2[[#This Row],[Area (mm^2)]],"Null"), "")</f>
        <v>28924.643561601228</v>
      </c>
      <c r="AK16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28924.643561601228</v>
      </c>
      <c r="AL16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232653.41595511002</v>
      </c>
      <c r="AP16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0.50179211469534046</v>
      </c>
      <c r="AQ16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369.64983430268165</v>
      </c>
    </row>
    <row r="17" spans="1:43" ht="20.100000000000001" customHeight="1" x14ac:dyDescent="0.25">
      <c r="A17" s="1" t="s">
        <v>64</v>
      </c>
      <c r="B17" s="1">
        <v>1984</v>
      </c>
      <c r="C17" s="42" t="s">
        <v>63</v>
      </c>
      <c r="D17" s="1" t="s">
        <v>69</v>
      </c>
      <c r="E17" s="67">
        <v>1500000</v>
      </c>
      <c r="F17" s="69" t="s">
        <v>31</v>
      </c>
      <c r="G17" s="68" t="s">
        <v>70</v>
      </c>
      <c r="H17" s="89" t="e" vm="1">
        <v>#VALUE!</v>
      </c>
      <c r="I17" s="1" t="s">
        <v>72</v>
      </c>
      <c r="J17" s="69" t="s">
        <v>20</v>
      </c>
      <c r="K17" s="1" t="s">
        <v>21</v>
      </c>
      <c r="L17" s="1" t="s">
        <v>21</v>
      </c>
      <c r="M17" s="1">
        <v>32</v>
      </c>
      <c r="N17" s="69">
        <v>34</v>
      </c>
      <c r="O17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7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7" s="1">
        <v>0</v>
      </c>
      <c r="S17" s="1">
        <v>0</v>
      </c>
      <c r="T17" s="69">
        <v>90</v>
      </c>
      <c r="U17" s="1">
        <v>15</v>
      </c>
      <c r="V17" s="1">
        <v>15</v>
      </c>
      <c r="W17" s="1">
        <v>15</v>
      </c>
      <c r="X17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7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" s="87">
        <v>0</v>
      </c>
      <c r="AB17" s="68">
        <v>0</v>
      </c>
      <c r="AC17" s="68">
        <v>284</v>
      </c>
      <c r="AD17" s="68">
        <v>284</v>
      </c>
      <c r="AE17" s="29" t="s">
        <v>59</v>
      </c>
      <c r="AF17" s="68">
        <v>0</v>
      </c>
      <c r="AG17" s="68">
        <v>142</v>
      </c>
      <c r="AH17" s="50">
        <f>IF(ISNUMBER(Tabella2[[#This Row],[Mean RADIAL stress  (MPa)]]), Tabella2[[#This Row],[Mean RADIAL stress  (MPa)]],"")</f>
        <v>0</v>
      </c>
      <c r="AI17" s="25">
        <f>IF(ISNUMBER(Tabella2[[#This Row],[Amplitute RADIAL stress  (MPa)]]), Tabella2[[#This Row],[Amplitute RADIAL stress  (MPa)]],"")</f>
        <v>0</v>
      </c>
      <c r="AJ17" s="25">
        <f>IF(ISNUMBER(Tabella2[[#This Row],[Mean AXIAL stress  (MPa)]]), IF(Tabella2[[#This Row],[derived from (AXIAL/BENDING) load]]="AXIAL",Tabella2[[#This Row],[Mean AXIAL stress  (MPa)]]*Tabella2[[#This Row],[Area (mm^2)]],"Null"), "")</f>
        <v>29443.006349443542</v>
      </c>
      <c r="AK17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29443.006349443542</v>
      </c>
      <c r="AL17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235977.03618304015</v>
      </c>
      <c r="AP17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7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375.69668617117185</v>
      </c>
    </row>
    <row r="18" spans="1:43" ht="20.100000000000001" customHeight="1" x14ac:dyDescent="0.25">
      <c r="A18" s="1" t="s">
        <v>64</v>
      </c>
      <c r="B18" s="1">
        <v>1984</v>
      </c>
      <c r="C18" s="42" t="s">
        <v>63</v>
      </c>
      <c r="D18" s="1" t="s">
        <v>69</v>
      </c>
      <c r="E18" s="67">
        <v>1500000</v>
      </c>
      <c r="F18" s="69" t="s">
        <v>31</v>
      </c>
      <c r="G18" s="68" t="s">
        <v>70</v>
      </c>
      <c r="H18" s="89" t="e" vm="1">
        <v>#VALUE!</v>
      </c>
      <c r="I18" s="1" t="s">
        <v>72</v>
      </c>
      <c r="J18" s="69" t="s">
        <v>20</v>
      </c>
      <c r="K18" s="1" t="s">
        <v>21</v>
      </c>
      <c r="L18" s="1" t="s">
        <v>21</v>
      </c>
      <c r="M18" s="1">
        <v>32</v>
      </c>
      <c r="N18" s="69">
        <v>34</v>
      </c>
      <c r="O18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8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8" s="1">
        <v>0</v>
      </c>
      <c r="S18" s="1">
        <v>0</v>
      </c>
      <c r="T18" s="69">
        <v>0</v>
      </c>
      <c r="U18" s="1">
        <v>15</v>
      </c>
      <c r="V18" s="1">
        <v>15</v>
      </c>
      <c r="W18" s="1">
        <v>15</v>
      </c>
      <c r="X18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0.33308298911002626</v>
      </c>
      <c r="AA18" s="87">
        <v>0</v>
      </c>
      <c r="AB18" s="68">
        <v>0</v>
      </c>
      <c r="AC18" s="68">
        <v>0</v>
      </c>
      <c r="AD18" s="68">
        <v>355</v>
      </c>
      <c r="AE18" s="29" t="s">
        <v>59</v>
      </c>
      <c r="AF18" s="68">
        <v>177.5</v>
      </c>
      <c r="AG18" s="68">
        <v>88.8</v>
      </c>
      <c r="AH18" s="50">
        <f>IF(ISNUMBER(Tabella2[[#This Row],[Mean RADIAL stress  (MPa)]]), Tabella2[[#This Row],[Mean RADIAL stress  (MPa)]],"")</f>
        <v>0</v>
      </c>
      <c r="AI18" s="25">
        <f>IF(ISNUMBER(Tabella2[[#This Row],[Amplitute RADIAL stress  (MPa)]]), Tabella2[[#This Row],[Amplitute RADIAL stress  (MPa)]],"")</f>
        <v>0</v>
      </c>
      <c r="AJ18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36803.757936804424</v>
      </c>
      <c r="AL18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294971.29522880021</v>
      </c>
      <c r="AO1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147568.73812009837</v>
      </c>
      <c r="AP18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0.2501408450704225</v>
      </c>
      <c r="AQ18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386.88670176163976</v>
      </c>
    </row>
    <row r="19" spans="1:43" ht="20.100000000000001" customHeight="1" x14ac:dyDescent="0.25">
      <c r="A19" s="1" t="s">
        <v>64</v>
      </c>
      <c r="B19" s="1">
        <v>1984</v>
      </c>
      <c r="C19" s="42" t="s">
        <v>63</v>
      </c>
      <c r="D19" s="1" t="s">
        <v>69</v>
      </c>
      <c r="E19" s="67">
        <v>1500000</v>
      </c>
      <c r="F19" s="69" t="s">
        <v>31</v>
      </c>
      <c r="G19" s="68" t="s">
        <v>70</v>
      </c>
      <c r="H19" s="89" t="e" vm="1">
        <v>#VALUE!</v>
      </c>
      <c r="I19" s="1" t="s">
        <v>72</v>
      </c>
      <c r="J19" s="69" t="s">
        <v>20</v>
      </c>
      <c r="K19" s="1" t="s">
        <v>21</v>
      </c>
      <c r="L19" s="1" t="s">
        <v>21</v>
      </c>
      <c r="M19" s="1">
        <v>32</v>
      </c>
      <c r="N19" s="69">
        <v>34</v>
      </c>
      <c r="O19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19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1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19" s="1">
        <v>0</v>
      </c>
      <c r="S19" s="1">
        <v>0</v>
      </c>
      <c r="T19" s="69">
        <v>90</v>
      </c>
      <c r="U19" s="1">
        <v>15</v>
      </c>
      <c r="V19" s="1">
        <v>15</v>
      </c>
      <c r="W19" s="1">
        <v>15</v>
      </c>
      <c r="X19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9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9" s="87">
        <v>0</v>
      </c>
      <c r="AB19" s="68">
        <v>0</v>
      </c>
      <c r="AC19" s="68">
        <v>212</v>
      </c>
      <c r="AD19" s="68">
        <v>212</v>
      </c>
      <c r="AE19" s="29" t="s">
        <v>59</v>
      </c>
      <c r="AF19" s="68">
        <v>0</v>
      </c>
      <c r="AG19" s="68">
        <v>212</v>
      </c>
      <c r="AH19" s="50">
        <f>IF(ISNUMBER(Tabella2[[#This Row],[Mean RADIAL stress  (MPa)]]), Tabella2[[#This Row],[Mean RADIAL stress  (MPa)]],"")</f>
        <v>0</v>
      </c>
      <c r="AI19" s="25">
        <f>IF(ISNUMBER(Tabella2[[#This Row],[Amplitute RADIAL stress  (MPa)]]), Tabella2[[#This Row],[Amplitute RADIAL stress  (MPa)]],"")</f>
        <v>0</v>
      </c>
      <c r="AJ19" s="25">
        <f>IF(ISNUMBER(Tabella2[[#This Row],[Mean AXIAL stress  (MPa)]]), IF(Tabella2[[#This Row],[derived from (AXIAL/BENDING) load]]="AXIAL",Tabella2[[#This Row],[Mean AXIAL stress  (MPa)]]*Tabella2[[#This Row],[Area (mm^2)]],"Null"), "")</f>
        <v>21978.582204514194</v>
      </c>
      <c r="AK19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21978.582204514194</v>
      </c>
      <c r="AL19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352303.74416059512</v>
      </c>
      <c r="AP19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9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424</v>
      </c>
    </row>
    <row r="20" spans="1:43" ht="20.100000000000001" customHeight="1" x14ac:dyDescent="0.25">
      <c r="A20" s="1" t="s">
        <v>64</v>
      </c>
      <c r="B20" s="1">
        <v>1984</v>
      </c>
      <c r="C20" s="42" t="s">
        <v>63</v>
      </c>
      <c r="D20" s="1" t="s">
        <v>69</v>
      </c>
      <c r="E20" s="67">
        <v>1500000</v>
      </c>
      <c r="F20" s="69" t="s">
        <v>31</v>
      </c>
      <c r="G20" s="68" t="s">
        <v>70</v>
      </c>
      <c r="H20" s="89" t="e" vm="2">
        <v>#VALUE!</v>
      </c>
      <c r="I20" s="1" t="s">
        <v>72</v>
      </c>
      <c r="J20" s="69" t="s">
        <v>20</v>
      </c>
      <c r="K20" s="1" t="s">
        <v>21</v>
      </c>
      <c r="L20" s="1" t="s">
        <v>21</v>
      </c>
      <c r="M20" s="1">
        <v>32</v>
      </c>
      <c r="N20" s="69">
        <v>34</v>
      </c>
      <c r="O20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0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0" s="1">
        <v>0</v>
      </c>
      <c r="S20" s="1">
        <v>0</v>
      </c>
      <c r="T20" s="69">
        <v>0</v>
      </c>
      <c r="U20" s="1">
        <v>15</v>
      </c>
      <c r="V20" s="1">
        <v>15</v>
      </c>
      <c r="W20" s="1">
        <v>15</v>
      </c>
      <c r="X20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1</v>
      </c>
      <c r="AA20" s="87">
        <v>0</v>
      </c>
      <c r="AB20" s="68">
        <v>0</v>
      </c>
      <c r="AC20" s="68">
        <v>0</v>
      </c>
      <c r="AD20" s="68">
        <v>354</v>
      </c>
      <c r="AE20" s="29" t="s">
        <v>59</v>
      </c>
      <c r="AF20" s="68">
        <v>177</v>
      </c>
      <c r="AG20" s="68">
        <v>0</v>
      </c>
      <c r="AH20" s="50">
        <f>IF(ISNUMBER(Tabella2[[#This Row],[Mean RADIAL stress  (MPa)]]), Tabella2[[#This Row],[Mean RADIAL stress  (MPa)]],"")</f>
        <v>0</v>
      </c>
      <c r="AI20" s="25">
        <f>IF(ISNUMBER(Tabella2[[#This Row],[Amplitute RADIAL stress  (MPa)]]), Tabella2[[#This Row],[Amplitute RADIAL stress  (MPa)]],"")</f>
        <v>0</v>
      </c>
      <c r="AJ20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36700.085379235963</v>
      </c>
      <c r="AL20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294140.39017181768</v>
      </c>
      <c r="AO2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0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0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354</v>
      </c>
    </row>
    <row r="21" spans="1:43" s="15" customFormat="1" ht="20.100000000000001" customHeight="1" thickBot="1" x14ac:dyDescent="0.3">
      <c r="A21" s="15" t="s">
        <v>64</v>
      </c>
      <c r="B21" s="15">
        <v>1984</v>
      </c>
      <c r="C21" s="51" t="s">
        <v>63</v>
      </c>
      <c r="D21" s="15" t="s">
        <v>69</v>
      </c>
      <c r="E21" s="70">
        <v>1500000</v>
      </c>
      <c r="F21" s="71" t="s">
        <v>31</v>
      </c>
      <c r="G21" s="72" t="s">
        <v>70</v>
      </c>
      <c r="H21" s="90" t="e" vm="3">
        <v>#VALUE!</v>
      </c>
      <c r="I21" s="15" t="s">
        <v>72</v>
      </c>
      <c r="J21" s="71" t="s">
        <v>20</v>
      </c>
      <c r="K21" s="15" t="s">
        <v>21</v>
      </c>
      <c r="L21" s="15" t="s">
        <v>21</v>
      </c>
      <c r="M21" s="15">
        <v>32</v>
      </c>
      <c r="N21" s="71">
        <v>34</v>
      </c>
      <c r="O21" s="1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1" s="1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1" s="3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1" s="15">
        <v>0</v>
      </c>
      <c r="S21" s="15">
        <v>0</v>
      </c>
      <c r="T21" s="71">
        <v>90</v>
      </c>
      <c r="U21" s="15">
        <v>15</v>
      </c>
      <c r="V21" s="15">
        <v>15</v>
      </c>
      <c r="W21" s="15">
        <v>15</v>
      </c>
      <c r="X21" s="18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1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18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1" s="88">
        <v>0</v>
      </c>
      <c r="AB21" s="72">
        <v>0</v>
      </c>
      <c r="AC21" s="72">
        <v>0</v>
      </c>
      <c r="AD21" s="72">
        <v>129</v>
      </c>
      <c r="AE21" s="30" t="s">
        <v>59</v>
      </c>
      <c r="AF21" s="72">
        <v>0</v>
      </c>
      <c r="AG21" s="72">
        <v>258</v>
      </c>
      <c r="AH21" s="53">
        <f>IF(ISNUMBER(Tabella2[[#This Row],[Mean RADIAL stress  (MPa)]]), Tabella2[[#This Row],[Mean RADIAL stress  (MPa)]],"")</f>
        <v>0</v>
      </c>
      <c r="AI21" s="17">
        <f>IF(ISNUMBER(Tabella2[[#This Row],[Amplitute RADIAL stress  (MPa)]]), Tabella2[[#This Row],[Amplitute RADIAL stress  (MPa)]],"")</f>
        <v>0</v>
      </c>
      <c r="AJ21" s="1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17">
        <f>IF(ISNUMBER(Tabella2[[#This Row],[Amplitute AXIAL stress  (MPa)]]),    IF(Tabella2[[#This Row],[derived from (AXIAL/BENDING) load]]="AXIAL",Tabella2[[#This Row],[Amplitute AXIAL stress  (MPa)]]*Tabella2[[#This Row],[Area (mm^2)]],"Null"), "")</f>
        <v>13373.75992633175</v>
      </c>
      <c r="AL21" s="1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1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1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1" s="3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428747.00940298842</v>
      </c>
      <c r="AP21" s="39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21" s="18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465.1161145348546</v>
      </c>
    </row>
    <row r="22" spans="1:43" ht="20.100000000000001" customHeight="1" x14ac:dyDescent="0.25">
      <c r="A22" s="1" t="s">
        <v>71</v>
      </c>
      <c r="B22" s="1">
        <v>1983</v>
      </c>
      <c r="C22" s="43" t="s">
        <v>66</v>
      </c>
      <c r="D22" s="1" t="s">
        <v>69</v>
      </c>
      <c r="E22" s="73">
        <v>2000000</v>
      </c>
      <c r="F22" s="69" t="s">
        <v>31</v>
      </c>
      <c r="G22" s="68" t="s">
        <v>70</v>
      </c>
      <c r="H22" s="89" t="e" vm="4">
        <v>#VALUE!</v>
      </c>
      <c r="I22" s="1" t="s">
        <v>72</v>
      </c>
      <c r="J22" s="1" t="s">
        <v>20</v>
      </c>
      <c r="K22" s="1" t="s">
        <v>21</v>
      </c>
      <c r="L22" s="1" t="s">
        <v>21</v>
      </c>
      <c r="M22" s="1">
        <v>32</v>
      </c>
      <c r="N22" s="69">
        <v>34</v>
      </c>
      <c r="O22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2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2" s="1">
        <v>0</v>
      </c>
      <c r="S22" s="1">
        <v>0</v>
      </c>
      <c r="T22" s="69">
        <v>0</v>
      </c>
      <c r="U22" s="1">
        <v>20</v>
      </c>
      <c r="V22" s="1">
        <v>20</v>
      </c>
      <c r="W22" s="1">
        <v>20</v>
      </c>
      <c r="X22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2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0.33333333333333331</v>
      </c>
      <c r="AA22" s="89">
        <v>0</v>
      </c>
      <c r="AB22" s="1">
        <v>0</v>
      </c>
      <c r="AC22" s="69">
        <v>0</v>
      </c>
      <c r="AD22" s="78">
        <v>280</v>
      </c>
      <c r="AE22" s="29" t="s">
        <v>59</v>
      </c>
      <c r="AF22" s="78">
        <v>280</v>
      </c>
      <c r="AG22" s="78">
        <v>140</v>
      </c>
      <c r="AH22" s="50">
        <f>IF(ISNUMBER(Tabella2[[#This Row],[Mean RADIAL stress  (MPa)]]), Tabella2[[#This Row],[Mean RADIAL stress  (MPa)]],"")</f>
        <v>0</v>
      </c>
      <c r="AI22" s="25">
        <f>IF(ISNUMBER(Tabella2[[#This Row],[Amplitute RADIAL stress  (MPa)]]), Tabella2[[#This Row],[Amplitute RADIAL stress  (MPa)]],"")</f>
        <v>0</v>
      </c>
      <c r="AJ22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29028.316119169689</v>
      </c>
      <c r="AL22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465306.83191022003</v>
      </c>
      <c r="AO2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232653.41595511002</v>
      </c>
      <c r="AP22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22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370.4051835490427</v>
      </c>
    </row>
    <row r="23" spans="1:43" ht="20.100000000000001" customHeight="1" x14ac:dyDescent="0.25">
      <c r="A23" s="1" t="s">
        <v>71</v>
      </c>
      <c r="B23" s="1">
        <v>1983</v>
      </c>
      <c r="C23" s="43" t="s">
        <v>66</v>
      </c>
      <c r="D23" s="1" t="s">
        <v>69</v>
      </c>
      <c r="E23" s="73">
        <v>2000000</v>
      </c>
      <c r="F23" s="69" t="s">
        <v>31</v>
      </c>
      <c r="G23" s="68" t="s">
        <v>70</v>
      </c>
      <c r="H23" s="89" t="e" vm="1">
        <v>#VALUE!</v>
      </c>
      <c r="I23" s="1" t="s">
        <v>72</v>
      </c>
      <c r="J23" s="1" t="s">
        <v>20</v>
      </c>
      <c r="K23" s="1" t="s">
        <v>21</v>
      </c>
      <c r="L23" s="1" t="s">
        <v>21</v>
      </c>
      <c r="M23" s="1">
        <v>32</v>
      </c>
      <c r="N23" s="69">
        <v>34</v>
      </c>
      <c r="O23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3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3" s="1">
        <v>0</v>
      </c>
      <c r="S23" s="1">
        <v>0</v>
      </c>
      <c r="T23" s="69">
        <v>180</v>
      </c>
      <c r="U23" s="1">
        <v>20</v>
      </c>
      <c r="V23" s="1">
        <v>20</v>
      </c>
      <c r="W23" s="1">
        <v>20</v>
      </c>
      <c r="X23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3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0.33189655172413796</v>
      </c>
      <c r="AA23" s="89">
        <v>0</v>
      </c>
      <c r="AB23" s="1">
        <v>0</v>
      </c>
      <c r="AC23" s="69">
        <v>0</v>
      </c>
      <c r="AD23" s="45">
        <v>309</v>
      </c>
      <c r="AE23" s="29" t="s">
        <v>59</v>
      </c>
      <c r="AF23" s="78">
        <v>309</v>
      </c>
      <c r="AG23" s="45">
        <v>155</v>
      </c>
      <c r="AH23" s="50">
        <f>IF(ISNUMBER(Tabella2[[#This Row],[Mean RADIAL stress  (MPa)]]), Tabella2[[#This Row],[Mean RADIAL stress  (MPa)]],"")</f>
        <v>0</v>
      </c>
      <c r="AI23" s="25">
        <f>IF(ISNUMBER(Tabella2[[#This Row],[Amplitute RADIAL stress  (MPa)]]), Tabella2[[#This Row],[Amplitute RADIAL stress  (MPa)]],"")</f>
        <v>0</v>
      </c>
      <c r="AJ23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32034.820288655123</v>
      </c>
      <c r="AL23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513499.32521520706</v>
      </c>
      <c r="AO2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257580.56766458607</v>
      </c>
      <c r="AP23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0.50161812297734631</v>
      </c>
      <c r="AQ23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409.33604776515836</v>
      </c>
    </row>
    <row r="24" spans="1:43" ht="20.100000000000001" customHeight="1" x14ac:dyDescent="0.25">
      <c r="A24" s="1" t="s">
        <v>71</v>
      </c>
      <c r="B24" s="1">
        <v>1983</v>
      </c>
      <c r="C24" s="43" t="s">
        <v>66</v>
      </c>
      <c r="D24" s="1" t="s">
        <v>69</v>
      </c>
      <c r="E24" s="73">
        <v>2000000</v>
      </c>
      <c r="F24" s="69" t="s">
        <v>31</v>
      </c>
      <c r="G24" s="68" t="s">
        <v>70</v>
      </c>
      <c r="H24" s="89" t="e" vm="1">
        <v>#VALUE!</v>
      </c>
      <c r="I24" s="1" t="s">
        <v>72</v>
      </c>
      <c r="J24" s="1" t="s">
        <v>20</v>
      </c>
      <c r="K24" s="1" t="s">
        <v>21</v>
      </c>
      <c r="L24" s="1" t="s">
        <v>21</v>
      </c>
      <c r="M24" s="1">
        <v>32</v>
      </c>
      <c r="N24" s="69">
        <v>34</v>
      </c>
      <c r="O24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4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4" s="1">
        <v>0</v>
      </c>
      <c r="S24" s="1">
        <v>0</v>
      </c>
      <c r="T24" s="69">
        <v>0</v>
      </c>
      <c r="U24" s="1">
        <v>20</v>
      </c>
      <c r="V24" s="1">
        <v>20</v>
      </c>
      <c r="W24" s="1">
        <v>20</v>
      </c>
      <c r="X24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-3</v>
      </c>
      <c r="Z24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24" s="89">
        <v>0</v>
      </c>
      <c r="AB24" s="1">
        <v>0</v>
      </c>
      <c r="AC24" s="69">
        <v>-160</v>
      </c>
      <c r="AD24" s="45">
        <v>320</v>
      </c>
      <c r="AE24" s="29" t="s">
        <v>59</v>
      </c>
      <c r="AF24" s="78">
        <v>160</v>
      </c>
      <c r="AG24" s="45">
        <v>160</v>
      </c>
      <c r="AH24" s="50">
        <f>IF(ISNUMBER(Tabella2[[#This Row],[Mean RADIAL stress  (MPa)]]), Tabella2[[#This Row],[Mean RADIAL stress  (MPa)]],"")</f>
        <v>0</v>
      </c>
      <c r="AI24" s="25">
        <f>IF(ISNUMBER(Tabella2[[#This Row],[Amplitute RADIAL stress  (MPa)]]), Tabella2[[#This Row],[Amplitute RADIAL stress  (MPa)]],"")</f>
        <v>0</v>
      </c>
      <c r="AJ24" s="25">
        <f>IF(ISNUMBER(Tabella2[[#This Row],[Mean AXIAL stress  (MPa)]]), IF(Tabella2[[#This Row],[derived from (AXIAL/BENDING) load]]="AXIAL",Tabella2[[#This Row],[Mean AXIAL stress  (MPa)]]*Tabella2[[#This Row],[Area (mm^2)]],"Null"), "")</f>
        <v>-16587.60921095411</v>
      </c>
      <c r="AK24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33175.218421908219</v>
      </c>
      <c r="AL24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265889.61823441141</v>
      </c>
      <c r="AO2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265889.61823441141</v>
      </c>
      <c r="AP24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24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423.32020977033449</v>
      </c>
    </row>
    <row r="25" spans="1:43" ht="20.100000000000001" customHeight="1" x14ac:dyDescent="0.25">
      <c r="A25" s="1" t="s">
        <v>71</v>
      </c>
      <c r="B25" s="1">
        <v>1983</v>
      </c>
      <c r="C25" s="43" t="s">
        <v>66</v>
      </c>
      <c r="D25" s="1" t="s">
        <v>69</v>
      </c>
      <c r="E25" s="73">
        <v>2000000</v>
      </c>
      <c r="F25" s="69" t="s">
        <v>31</v>
      </c>
      <c r="G25" s="68" t="s">
        <v>70</v>
      </c>
      <c r="H25" s="89" t="e" vm="1">
        <v>#VALUE!</v>
      </c>
      <c r="I25" s="1" t="s">
        <v>72</v>
      </c>
      <c r="J25" s="1" t="s">
        <v>20</v>
      </c>
      <c r="K25" s="1" t="s">
        <v>21</v>
      </c>
      <c r="L25" s="1" t="s">
        <v>21</v>
      </c>
      <c r="M25" s="1">
        <v>32</v>
      </c>
      <c r="N25" s="69">
        <v>34</v>
      </c>
      <c r="O25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5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5" s="1">
        <v>0</v>
      </c>
      <c r="S25" s="1">
        <v>0</v>
      </c>
      <c r="T25" s="69">
        <v>180</v>
      </c>
      <c r="U25" s="1">
        <v>20</v>
      </c>
      <c r="V25" s="1">
        <v>20</v>
      </c>
      <c r="W25" s="1">
        <v>20</v>
      </c>
      <c r="X25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-3</v>
      </c>
      <c r="Z25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25" s="89">
        <v>0</v>
      </c>
      <c r="AB25" s="1">
        <v>0</v>
      </c>
      <c r="AC25" s="69">
        <v>-175</v>
      </c>
      <c r="AD25" s="45">
        <v>350</v>
      </c>
      <c r="AE25" s="29" t="s">
        <v>59</v>
      </c>
      <c r="AF25" s="78">
        <v>175</v>
      </c>
      <c r="AG25" s="45">
        <v>175</v>
      </c>
      <c r="AH25" s="50">
        <f>IF(ISNUMBER(Tabella2[[#This Row],[Mean RADIAL stress  (MPa)]]), Tabella2[[#This Row],[Mean RADIAL stress  (MPa)]],"")</f>
        <v>0</v>
      </c>
      <c r="AI25" s="25">
        <f>IF(ISNUMBER(Tabella2[[#This Row],[Amplitute RADIAL stress  (MPa)]]), Tabella2[[#This Row],[Amplitute RADIAL stress  (MPa)]],"")</f>
        <v>0</v>
      </c>
      <c r="AJ25" s="25">
        <f>IF(ISNUMBER(Tabella2[[#This Row],[Mean AXIAL stress  (MPa)]]), IF(Tabella2[[#This Row],[derived from (AXIAL/BENDING) load]]="AXIAL",Tabella2[[#This Row],[Mean AXIAL stress  (MPa)]]*Tabella2[[#This Row],[Area (mm^2)]],"Null"), "")</f>
        <v>-18142.697574481055</v>
      </c>
      <c r="AK25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36285.39514896211</v>
      </c>
      <c r="AL25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290816.76994388748</v>
      </c>
      <c r="AO2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290816.76994388748</v>
      </c>
      <c r="AP25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25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463.00647943630338</v>
      </c>
    </row>
    <row r="26" spans="1:43" ht="20.100000000000001" customHeight="1" x14ac:dyDescent="0.25">
      <c r="A26" s="1" t="s">
        <v>71</v>
      </c>
      <c r="B26" s="1">
        <v>1983</v>
      </c>
      <c r="C26" s="43" t="s">
        <v>66</v>
      </c>
      <c r="D26" s="1" t="s">
        <v>69</v>
      </c>
      <c r="E26" s="73">
        <v>2000000</v>
      </c>
      <c r="F26" s="69" t="s">
        <v>31</v>
      </c>
      <c r="G26" s="68" t="s">
        <v>70</v>
      </c>
      <c r="H26" s="89" t="e" vm="1">
        <v>#VALUE!</v>
      </c>
      <c r="I26" s="1" t="s">
        <v>72</v>
      </c>
      <c r="J26" s="1" t="s">
        <v>20</v>
      </c>
      <c r="K26" s="1" t="s">
        <v>21</v>
      </c>
      <c r="L26" s="1" t="s">
        <v>21</v>
      </c>
      <c r="M26" s="1">
        <v>32</v>
      </c>
      <c r="N26" s="69">
        <v>34</v>
      </c>
      <c r="O26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6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6" s="1">
        <v>0</v>
      </c>
      <c r="S26" s="1">
        <v>0</v>
      </c>
      <c r="T26" s="69">
        <v>0</v>
      </c>
      <c r="U26" s="1">
        <v>20</v>
      </c>
      <c r="V26" s="1">
        <v>20</v>
      </c>
      <c r="W26" s="1">
        <v>20</v>
      </c>
      <c r="X26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13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6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26" s="89">
        <v>0</v>
      </c>
      <c r="AB26" s="1">
        <v>0</v>
      </c>
      <c r="AC26" s="69">
        <v>-350</v>
      </c>
      <c r="AD26" s="45">
        <v>350</v>
      </c>
      <c r="AE26" s="29" t="s">
        <v>59</v>
      </c>
      <c r="AF26" s="78">
        <v>175</v>
      </c>
      <c r="AG26" s="45">
        <v>175</v>
      </c>
      <c r="AH26" s="50">
        <f>IF(ISNUMBER(Tabella2[[#This Row],[Mean RADIAL stress  (MPa)]]), Tabella2[[#This Row],[Mean RADIAL stress  (MPa)]],"")</f>
        <v>0</v>
      </c>
      <c r="AI26" s="25">
        <f>IF(ISNUMBER(Tabella2[[#This Row],[Amplitute RADIAL stress  (MPa)]]), Tabella2[[#This Row],[Amplitute RADIAL stress  (MPa)]],"")</f>
        <v>0</v>
      </c>
      <c r="AJ26" s="25">
        <f>IF(ISNUMBER(Tabella2[[#This Row],[Mean AXIAL stress  (MPa)]]), IF(Tabella2[[#This Row],[derived from (AXIAL/BENDING) load]]="AXIAL",Tabella2[[#This Row],[Mean AXIAL stress  (MPa)]]*Tabella2[[#This Row],[Area (mm^2)]],"Null"), "")</f>
        <v>-36285.39514896211</v>
      </c>
      <c r="AK26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36285.39514896211</v>
      </c>
      <c r="AL26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290816.76994388748</v>
      </c>
      <c r="AO2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290816.76994388748</v>
      </c>
      <c r="AP26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26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463.00647943630338</v>
      </c>
    </row>
    <row r="27" spans="1:43" s="15" customFormat="1" ht="20.100000000000001" customHeight="1" thickBot="1" x14ac:dyDescent="0.3">
      <c r="A27" s="15" t="s">
        <v>71</v>
      </c>
      <c r="B27" s="15">
        <v>1983</v>
      </c>
      <c r="C27" s="74" t="s">
        <v>66</v>
      </c>
      <c r="D27" s="15" t="s">
        <v>69</v>
      </c>
      <c r="E27" s="75">
        <v>2000000</v>
      </c>
      <c r="F27" s="71" t="s">
        <v>31</v>
      </c>
      <c r="G27" s="72" t="s">
        <v>70</v>
      </c>
      <c r="H27" s="90" t="e" vm="1">
        <v>#VALUE!</v>
      </c>
      <c r="I27" s="15" t="s">
        <v>72</v>
      </c>
      <c r="J27" s="15" t="s">
        <v>20</v>
      </c>
      <c r="K27" s="15" t="s">
        <v>21</v>
      </c>
      <c r="L27" s="15" t="s">
        <v>21</v>
      </c>
      <c r="M27" s="15">
        <v>32</v>
      </c>
      <c r="N27" s="71">
        <v>34</v>
      </c>
      <c r="O27" s="1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7" s="1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7" s="3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7" s="15">
        <v>0</v>
      </c>
      <c r="S27" s="15">
        <v>0</v>
      </c>
      <c r="T27" s="71">
        <v>0</v>
      </c>
      <c r="U27" s="15">
        <v>20</v>
      </c>
      <c r="V27" s="15">
        <v>20</v>
      </c>
      <c r="W27" s="15">
        <v>20</v>
      </c>
      <c r="X27" s="18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1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7" s="18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7" s="90">
        <v>0</v>
      </c>
      <c r="AB27" s="15">
        <v>0</v>
      </c>
      <c r="AC27" s="71">
        <v>0</v>
      </c>
      <c r="AD27" s="79">
        <v>263</v>
      </c>
      <c r="AE27" s="30" t="s">
        <v>59</v>
      </c>
      <c r="AF27" s="80">
        <v>0</v>
      </c>
      <c r="AG27" s="79">
        <v>131.5</v>
      </c>
      <c r="AH27" s="53">
        <f>IF(ISNUMBER(Tabella2[[#This Row],[Mean RADIAL stress  (MPa)]]), Tabella2[[#This Row],[Mean RADIAL stress  (MPa)]],"")</f>
        <v>0</v>
      </c>
      <c r="AI27" s="17">
        <f>IF(ISNUMBER(Tabella2[[#This Row],[Amplitute RADIAL stress  (MPa)]]), Tabella2[[#This Row],[Amplitute RADIAL stress  (MPa)]],"")</f>
        <v>0</v>
      </c>
      <c r="AJ27" s="1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17">
        <f>IF(ISNUMBER(Tabella2[[#This Row],[Amplitute AXIAL stress  (MPa)]]),    IF(Tabella2[[#This Row],[derived from (AXIAL/BENDING) load]]="AXIAL",Tabella2[[#This Row],[Amplitute AXIAL stress  (MPa)]]*Tabella2[[#This Row],[Area (mm^2)]],"Null"), "")</f>
        <v>27265.882640505817</v>
      </c>
      <c r="AL27" s="1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1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1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3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218528.02998640691</v>
      </c>
      <c r="AP27" s="39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27" s="18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347.91629740499366</v>
      </c>
    </row>
    <row r="28" spans="1:43" ht="20.100000000000001" customHeight="1" x14ac:dyDescent="0.25">
      <c r="A28" s="1" t="s">
        <v>64</v>
      </c>
      <c r="B28" s="1">
        <v>1983</v>
      </c>
      <c r="C28" s="43" t="s">
        <v>68</v>
      </c>
      <c r="D28" s="1" t="s">
        <v>69</v>
      </c>
      <c r="E28" s="67">
        <v>1500000</v>
      </c>
      <c r="F28" s="69" t="s">
        <v>31</v>
      </c>
      <c r="G28" s="68" t="s">
        <v>70</v>
      </c>
      <c r="H28" s="89" t="e" vm="1">
        <v>#VALUE!</v>
      </c>
      <c r="I28" s="1" t="s">
        <v>72</v>
      </c>
      <c r="J28" s="1" t="s">
        <v>20</v>
      </c>
      <c r="K28" s="1" t="s">
        <v>21</v>
      </c>
      <c r="L28" s="1" t="s">
        <v>21</v>
      </c>
      <c r="M28" s="1">
        <v>32</v>
      </c>
      <c r="N28" s="69">
        <v>34</v>
      </c>
      <c r="O28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8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8" s="69">
        <v>0</v>
      </c>
      <c r="S28" s="69">
        <v>0</v>
      </c>
      <c r="T28" s="69">
        <v>0</v>
      </c>
      <c r="U28" s="1">
        <v>15</v>
      </c>
      <c r="V28" s="1">
        <v>15</v>
      </c>
      <c r="W28" s="1">
        <v>15</v>
      </c>
      <c r="X28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9.9131693198263413E-2</v>
      </c>
      <c r="Z28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8" s="91">
        <v>0</v>
      </c>
      <c r="AB28" s="76">
        <v>0</v>
      </c>
      <c r="AC28" s="68">
        <v>303.8</v>
      </c>
      <c r="AD28" s="68">
        <v>249</v>
      </c>
      <c r="AE28" s="29" t="s">
        <v>59</v>
      </c>
      <c r="AF28" s="68">
        <v>0</v>
      </c>
      <c r="AG28" s="68">
        <v>0</v>
      </c>
      <c r="AH28" s="50">
        <f>IF(ISNUMBER(Tabella2[[#This Row],[Mean RADIAL stress  (MPa)]]), Tabella2[[#This Row],[Mean RADIAL stress  (MPa)]],"")</f>
        <v>0</v>
      </c>
      <c r="AI28" s="25">
        <f>IF(ISNUMBER(Tabella2[[#This Row],[Amplitute RADIAL stress  (MPa)]]), Tabella2[[#This Row],[Amplitute RADIAL stress  (MPa)]],"")</f>
        <v>0</v>
      </c>
      <c r="AJ28" s="25">
        <f>IF(ISNUMBER(Tabella2[[#This Row],[Mean AXIAL stress  (MPa)]]), IF(Tabella2[[#This Row],[derived from (AXIAL/BENDING) load]]="AXIAL",Tabella2[[#This Row],[Mean AXIAL stress  (MPa)]]*Tabella2[[#This Row],[Area (mm^2)]],"Null"), "")</f>
        <v>31495.722989299113</v>
      </c>
      <c r="AK28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25814.466834547329</v>
      </c>
      <c r="AL28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8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8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</v>
      </c>
    </row>
    <row r="29" spans="1:43" ht="20.100000000000001" customHeight="1" x14ac:dyDescent="0.25">
      <c r="A29" s="1" t="s">
        <v>64</v>
      </c>
      <c r="B29" s="1">
        <v>1983</v>
      </c>
      <c r="C29" s="43" t="s">
        <v>68</v>
      </c>
      <c r="D29" s="1" t="s">
        <v>69</v>
      </c>
      <c r="E29" s="67">
        <v>1500001</v>
      </c>
      <c r="F29" s="69" t="s">
        <v>31</v>
      </c>
      <c r="G29" s="68" t="s">
        <v>70</v>
      </c>
      <c r="H29" s="89" t="e" vm="1">
        <v>#VALUE!</v>
      </c>
      <c r="I29" s="1" t="s">
        <v>72</v>
      </c>
      <c r="J29" s="1" t="s">
        <v>20</v>
      </c>
      <c r="K29" s="1" t="s">
        <v>21</v>
      </c>
      <c r="L29" s="1" t="s">
        <v>21</v>
      </c>
      <c r="M29" s="1">
        <v>32</v>
      </c>
      <c r="N29" s="69">
        <v>34</v>
      </c>
      <c r="O29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29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2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29" s="69">
        <v>0</v>
      </c>
      <c r="S29" s="69">
        <v>0</v>
      </c>
      <c r="T29" s="69">
        <v>0</v>
      </c>
      <c r="U29" s="1">
        <v>15</v>
      </c>
      <c r="V29" s="1">
        <v>15</v>
      </c>
      <c r="W29" s="1">
        <v>15</v>
      </c>
      <c r="X29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9.9163254406266665E-2</v>
      </c>
      <c r="Z29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9" s="91">
        <v>0</v>
      </c>
      <c r="AB29" s="76">
        <v>0</v>
      </c>
      <c r="AC29" s="68">
        <v>308.7</v>
      </c>
      <c r="AD29" s="68">
        <v>253</v>
      </c>
      <c r="AE29" s="29" t="s">
        <v>59</v>
      </c>
      <c r="AF29" s="68">
        <v>0</v>
      </c>
      <c r="AG29" s="68">
        <v>0</v>
      </c>
      <c r="AH29" s="50">
        <f>IF(ISNUMBER(Tabella2[[#This Row],[Mean RADIAL stress  (MPa)]]), Tabella2[[#This Row],[Mean RADIAL stress  (MPa)]],"")</f>
        <v>0</v>
      </c>
      <c r="AI29" s="25">
        <f>IF(ISNUMBER(Tabella2[[#This Row],[Amplitute RADIAL stress  (MPa)]]), Tabella2[[#This Row],[Amplitute RADIAL stress  (MPa)]],"")</f>
        <v>0</v>
      </c>
      <c r="AJ29" s="25">
        <f>IF(ISNUMBER(Tabella2[[#This Row],[Mean AXIAL stress  (MPa)]]), IF(Tabella2[[#This Row],[derived from (AXIAL/BENDING) load]]="AXIAL",Tabella2[[#This Row],[Mean AXIAL stress  (MPa)]]*Tabella2[[#This Row],[Area (mm^2)]],"Null"), "")</f>
        <v>32003.718521384581</v>
      </c>
      <c r="AK29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26229.157064821182</v>
      </c>
      <c r="AL29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9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9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253</v>
      </c>
    </row>
    <row r="30" spans="1:43" ht="20.100000000000001" customHeight="1" x14ac:dyDescent="0.25">
      <c r="A30" s="1" t="s">
        <v>64</v>
      </c>
      <c r="B30" s="1">
        <v>1983</v>
      </c>
      <c r="C30" s="43" t="s">
        <v>68</v>
      </c>
      <c r="D30" s="1" t="s">
        <v>69</v>
      </c>
      <c r="E30" s="67">
        <v>1500002</v>
      </c>
      <c r="F30" s="69" t="s">
        <v>31</v>
      </c>
      <c r="G30" s="68" t="s">
        <v>70</v>
      </c>
      <c r="H30" s="89" t="e" vm="1">
        <v>#VALUE!</v>
      </c>
      <c r="I30" s="1" t="s">
        <v>72</v>
      </c>
      <c r="J30" s="1" t="s">
        <v>20</v>
      </c>
      <c r="K30" s="1" t="s">
        <v>21</v>
      </c>
      <c r="L30" s="1" t="s">
        <v>21</v>
      </c>
      <c r="M30" s="1">
        <v>32</v>
      </c>
      <c r="N30" s="69">
        <v>34</v>
      </c>
      <c r="O30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0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0" s="69">
        <v>0</v>
      </c>
      <c r="S30" s="69">
        <v>0</v>
      </c>
      <c r="T30" s="69">
        <v>0</v>
      </c>
      <c r="U30" s="1">
        <v>15</v>
      </c>
      <c r="V30" s="1">
        <v>15</v>
      </c>
      <c r="W30" s="1">
        <v>15</v>
      </c>
      <c r="X30" s="1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9.9099099099099058E-2</v>
      </c>
      <c r="Z30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0" s="91">
        <v>0</v>
      </c>
      <c r="AB30" s="76">
        <v>0</v>
      </c>
      <c r="AC30" s="68">
        <v>298.89999999999998</v>
      </c>
      <c r="AD30" s="68">
        <v>245</v>
      </c>
      <c r="AE30" s="29" t="s">
        <v>59</v>
      </c>
      <c r="AF30" s="68">
        <v>0</v>
      </c>
      <c r="AG30" s="68">
        <v>0</v>
      </c>
      <c r="AH30" s="50">
        <f>IF(ISNUMBER(Tabella2[[#This Row],[Mean RADIAL stress  (MPa)]]), Tabella2[[#This Row],[Mean RADIAL stress  (MPa)]],"")</f>
        <v>0</v>
      </c>
      <c r="AI30" s="25">
        <f>IF(ISNUMBER(Tabella2[[#This Row],[Amplitute RADIAL stress  (MPa)]]), Tabella2[[#This Row],[Amplitute RADIAL stress  (MPa)]],"")</f>
        <v>0</v>
      </c>
      <c r="AJ30" s="25">
        <f>IF(ISNUMBER(Tabella2[[#This Row],[Mean AXIAL stress  (MPa)]]), IF(Tabella2[[#This Row],[derived from (AXIAL/BENDING) load]]="AXIAL",Tabella2[[#This Row],[Mean AXIAL stress  (MPa)]]*Tabella2[[#This Row],[Area (mm^2)]],"Null"), "")</f>
        <v>30987.727457213641</v>
      </c>
      <c r="AK30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25399.776604273477</v>
      </c>
      <c r="AL30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0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0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245</v>
      </c>
    </row>
    <row r="31" spans="1:43" s="32" customFormat="1" ht="20.100000000000001" customHeight="1" x14ac:dyDescent="0.25">
      <c r="A31" s="1" t="s">
        <v>64</v>
      </c>
      <c r="B31" s="1">
        <v>1983</v>
      </c>
      <c r="C31" s="43" t="s">
        <v>68</v>
      </c>
      <c r="D31" s="1" t="s">
        <v>69</v>
      </c>
      <c r="E31" s="67">
        <v>1500003</v>
      </c>
      <c r="F31" s="69" t="s">
        <v>31</v>
      </c>
      <c r="G31" s="68" t="s">
        <v>70</v>
      </c>
      <c r="H31" s="89" t="e" vm="1">
        <v>#VALUE!</v>
      </c>
      <c r="I31" s="1" t="s">
        <v>72</v>
      </c>
      <c r="J31" s="1" t="s">
        <v>20</v>
      </c>
      <c r="K31" s="1" t="s">
        <v>21</v>
      </c>
      <c r="L31" s="1" t="s">
        <v>21</v>
      </c>
      <c r="M31" s="1">
        <v>32</v>
      </c>
      <c r="N31" s="69">
        <v>34</v>
      </c>
      <c r="O31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1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1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1" s="69">
        <v>0</v>
      </c>
      <c r="S31" s="69">
        <v>0</v>
      </c>
      <c r="T31" s="69">
        <v>0</v>
      </c>
      <c r="U31" s="1">
        <v>15</v>
      </c>
      <c r="V31" s="1">
        <v>15</v>
      </c>
      <c r="W31" s="1">
        <v>15</v>
      </c>
      <c r="X31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9.90990990990991E-2</v>
      </c>
      <c r="Y31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9.90990990990991E-2</v>
      </c>
      <c r="Z31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1" s="91">
        <v>274.5</v>
      </c>
      <c r="AB31" s="76">
        <v>225</v>
      </c>
      <c r="AC31" s="68">
        <v>274.5</v>
      </c>
      <c r="AD31" s="68">
        <v>225</v>
      </c>
      <c r="AE31" s="29" t="s">
        <v>59</v>
      </c>
      <c r="AF31" s="68">
        <v>0</v>
      </c>
      <c r="AG31" s="68">
        <v>0</v>
      </c>
      <c r="AH31" s="50">
        <f>IF(ISNUMBER(Tabella2[[#This Row],[Mean RADIAL stress  (MPa)]]), Tabella2[[#This Row],[Mean RADIAL stress  (MPa)]],"")</f>
        <v>274.5</v>
      </c>
      <c r="AI31" s="25">
        <f>IF(ISNUMBER(Tabella2[[#This Row],[Amplitute RADIAL stress  (MPa)]]), Tabella2[[#This Row],[Amplitute RADIAL stress  (MPa)]],"")</f>
        <v>225</v>
      </c>
      <c r="AJ31" s="25">
        <f>IF(ISNUMBER(Tabella2[[#This Row],[Mean AXIAL stress  (MPa)]]), IF(Tabella2[[#This Row],[derived from (AXIAL/BENDING) load]]="AXIAL",Tabella2[[#This Row],[Mean AXIAL stress  (MPa)]]*Tabella2[[#This Row],[Area (mm^2)]],"Null"), "")</f>
        <v>28458.117052543141</v>
      </c>
      <c r="AK31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23326.325452904213</v>
      </c>
      <c r="AL31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1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1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1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1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1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</v>
      </c>
    </row>
    <row r="32" spans="1:43" ht="20.100000000000001" customHeight="1" x14ac:dyDescent="0.25">
      <c r="A32" s="1" t="s">
        <v>64</v>
      </c>
      <c r="B32" s="1">
        <v>1983</v>
      </c>
      <c r="C32" s="43" t="s">
        <v>68</v>
      </c>
      <c r="D32" s="1" t="s">
        <v>69</v>
      </c>
      <c r="E32" s="67">
        <v>1500004</v>
      </c>
      <c r="F32" s="69" t="s">
        <v>31</v>
      </c>
      <c r="G32" s="68" t="s">
        <v>70</v>
      </c>
      <c r="I32" s="1" t="s">
        <v>72</v>
      </c>
      <c r="J32" s="1" t="s">
        <v>20</v>
      </c>
      <c r="K32" s="1" t="s">
        <v>21</v>
      </c>
      <c r="L32" s="1" t="s">
        <v>21</v>
      </c>
      <c r="M32" s="1">
        <v>32</v>
      </c>
      <c r="N32" s="69">
        <v>34</v>
      </c>
      <c r="O32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2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2" s="69">
        <v>0</v>
      </c>
      <c r="S32" s="69">
        <v>60</v>
      </c>
      <c r="T32" s="69">
        <v>0</v>
      </c>
      <c r="U32" s="1">
        <v>15</v>
      </c>
      <c r="V32" s="1">
        <v>15</v>
      </c>
      <c r="W32" s="1">
        <v>15</v>
      </c>
      <c r="X32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9.90990990990991E-2</v>
      </c>
      <c r="Y32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9.90990990990991E-2</v>
      </c>
      <c r="Z32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2" s="91">
        <v>274.5</v>
      </c>
      <c r="AB32" s="76">
        <v>225</v>
      </c>
      <c r="AC32" s="68">
        <v>274.5</v>
      </c>
      <c r="AD32" s="68">
        <v>225</v>
      </c>
      <c r="AE32" s="29" t="s">
        <v>59</v>
      </c>
      <c r="AF32" s="68">
        <v>0</v>
      </c>
      <c r="AG32" s="68">
        <v>0</v>
      </c>
      <c r="AH32" s="50">
        <f>IF(ISNUMBER(Tabella2[[#This Row],[Mean RADIAL stress  (MPa)]]), Tabella2[[#This Row],[Mean RADIAL stress  (MPa)]],"")</f>
        <v>274.5</v>
      </c>
      <c r="AI32" s="25">
        <f>IF(ISNUMBER(Tabella2[[#This Row],[Amplitute RADIAL stress  (MPa)]]), Tabella2[[#This Row],[Amplitute RADIAL stress  (MPa)]],"")</f>
        <v>225</v>
      </c>
      <c r="AJ32" s="25">
        <f>IF(ISNUMBER(Tabella2[[#This Row],[Mean AXIAL stress  (MPa)]]), IF(Tabella2[[#This Row],[derived from (AXIAL/BENDING) load]]="AXIAL",Tabella2[[#This Row],[Mean AXIAL stress  (MPa)]]*Tabella2[[#This Row],[Area (mm^2)]],"Null"), "")</f>
        <v>28458.117052543141</v>
      </c>
      <c r="AK32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23326.325452904213</v>
      </c>
      <c r="AL32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2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2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</v>
      </c>
    </row>
    <row r="33" spans="1:43" ht="20.100000000000001" customHeight="1" x14ac:dyDescent="0.25">
      <c r="A33" s="1" t="s">
        <v>64</v>
      </c>
      <c r="B33" s="1">
        <v>1983</v>
      </c>
      <c r="C33" s="43" t="s">
        <v>68</v>
      </c>
      <c r="D33" s="1" t="s">
        <v>69</v>
      </c>
      <c r="E33" s="67">
        <v>1500005</v>
      </c>
      <c r="F33" s="69" t="s">
        <v>31</v>
      </c>
      <c r="G33" s="68" t="s">
        <v>70</v>
      </c>
      <c r="H33" s="89" t="e" vm="1">
        <v>#VALUE!</v>
      </c>
      <c r="I33" s="1" t="s">
        <v>72</v>
      </c>
      <c r="J33" s="1" t="s">
        <v>20</v>
      </c>
      <c r="K33" s="1" t="s">
        <v>21</v>
      </c>
      <c r="L33" s="1" t="s">
        <v>21</v>
      </c>
      <c r="M33" s="1">
        <v>32</v>
      </c>
      <c r="N33" s="69">
        <v>34</v>
      </c>
      <c r="O33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3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3" s="69">
        <v>0</v>
      </c>
      <c r="S33" s="69">
        <v>180</v>
      </c>
      <c r="T33" s="69">
        <v>0</v>
      </c>
      <c r="U33" s="1">
        <v>15</v>
      </c>
      <c r="V33" s="1">
        <v>15</v>
      </c>
      <c r="W33" s="1">
        <v>15</v>
      </c>
      <c r="X33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-0.18085767557489119</v>
      </c>
      <c r="Y33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9.9099099099099128E-2</v>
      </c>
      <c r="Z33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3" s="91">
        <v>131.80000000000001</v>
      </c>
      <c r="AB33" s="76">
        <v>190</v>
      </c>
      <c r="AC33" s="68">
        <v>231.8</v>
      </c>
      <c r="AD33" s="68">
        <v>190</v>
      </c>
      <c r="AE33" s="29" t="s">
        <v>59</v>
      </c>
      <c r="AF33" s="68">
        <v>0</v>
      </c>
      <c r="AG33" s="68">
        <v>0</v>
      </c>
      <c r="AH33" s="50">
        <f>IF(ISNUMBER(Tabella2[[#This Row],[Mean RADIAL stress  (MPa)]]), Tabella2[[#This Row],[Mean RADIAL stress  (MPa)]],"")</f>
        <v>131.80000000000001</v>
      </c>
      <c r="AI33" s="25">
        <f>IF(ISNUMBER(Tabella2[[#This Row],[Amplitute RADIAL stress  (MPa)]]), Tabella2[[#This Row],[Amplitute RADIAL stress  (MPa)]],"")</f>
        <v>190</v>
      </c>
      <c r="AJ33" s="25">
        <f>IF(ISNUMBER(Tabella2[[#This Row],[Mean AXIAL stress  (MPa)]]), IF(Tabella2[[#This Row],[derived from (AXIAL/BENDING) load]]="AXIAL",Tabella2[[#This Row],[Mean AXIAL stress  (MPa)]]*Tabella2[[#This Row],[Area (mm^2)]],"Null"), "")</f>
        <v>24031.298844369765</v>
      </c>
      <c r="AK33" s="25">
        <f>IF(ISNUMBER(Tabella2[[#This Row],[Amplitute AXIAL stress  (MPa)]]),    IF(Tabella2[[#This Row],[derived from (AXIAL/BENDING) load]]="AXIAL",Tabella2[[#This Row],[Amplitute AXIAL stress  (MPa)]]*Tabella2[[#This Row],[Area (mm^2)]],"Null"), "")</f>
        <v>19697.785938008004</v>
      </c>
      <c r="AL33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3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3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</row>
    <row r="34" spans="1:43" ht="20.100000000000001" customHeight="1" x14ac:dyDescent="0.25">
      <c r="A34" s="1" t="s">
        <v>64</v>
      </c>
      <c r="B34" s="1">
        <v>1983</v>
      </c>
      <c r="C34" s="43" t="s">
        <v>68</v>
      </c>
      <c r="D34" s="1" t="s">
        <v>69</v>
      </c>
      <c r="E34" s="67">
        <v>1500006</v>
      </c>
      <c r="F34" s="69" t="s">
        <v>31</v>
      </c>
      <c r="G34" s="68" t="s">
        <v>70</v>
      </c>
      <c r="H34" s="89" t="e" vm="1">
        <v>#VALUE!</v>
      </c>
      <c r="I34" s="1" t="s">
        <v>72</v>
      </c>
      <c r="J34" s="1" t="s">
        <v>20</v>
      </c>
      <c r="K34" s="1" t="s">
        <v>21</v>
      </c>
      <c r="L34" s="1" t="s">
        <v>21</v>
      </c>
      <c r="M34" s="1">
        <v>32</v>
      </c>
      <c r="N34" s="69">
        <v>34</v>
      </c>
      <c r="O34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4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4" s="69">
        <v>0</v>
      </c>
      <c r="S34" s="69">
        <v>0</v>
      </c>
      <c r="T34" s="69">
        <v>0</v>
      </c>
      <c r="U34" s="1">
        <v>15</v>
      </c>
      <c r="V34" s="1">
        <v>15</v>
      </c>
      <c r="W34" s="1">
        <v>15</v>
      </c>
      <c r="X34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9.9099099099099128E-2</v>
      </c>
      <c r="Y34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10.090909090909088</v>
      </c>
      <c r="Z34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4" s="91">
        <v>292.8</v>
      </c>
      <c r="AB34" s="76">
        <v>240</v>
      </c>
      <c r="AC34" s="68">
        <v>-292.8</v>
      </c>
      <c r="AD34" s="68">
        <v>240</v>
      </c>
      <c r="AE34" s="29" t="s">
        <v>59</v>
      </c>
      <c r="AF34" s="68">
        <v>0</v>
      </c>
      <c r="AG34" s="68">
        <v>0</v>
      </c>
      <c r="AH34" s="50">
        <f>IF(ISNUMBER(Tabella2[[#This Row],[Mean RADIAL stress  (MPa)]]), Tabella2[[#This Row],[Mean RADIAL stress  (MPa)]],"")</f>
        <v>292.8</v>
      </c>
      <c r="AI34" s="25">
        <f>IF(ISNUMBER(Tabella2[[#This Row],[Amplitute RADIAL stress  (MPa)]]), Tabella2[[#This Row],[Amplitute RADIAL stress  (MPa)]],"")</f>
        <v>240</v>
      </c>
      <c r="AJ34" s="25">
        <f>IF(ISNUMBER(Tabella2[[#This Row],[Mean AXIAL stress  (MPa)]]), IF(Tabella2[[#This Row],[derived from (AXIAL/BENDING) load]]="AXIAL",Tabella2[[#This Row],[Mean AXIAL stress  (MPa)]]*Tabella2[[#This Row],[Area (mm^2)]],"Null"), "")</f>
        <v>-30355.32485604602</v>
      </c>
      <c r="AK34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24881.413816431163</v>
      </c>
      <c r="AL34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4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4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35" spans="1:43" ht="20.100000000000001" customHeight="1" x14ac:dyDescent="0.25">
      <c r="A35" s="1" t="s">
        <v>64</v>
      </c>
      <c r="B35" s="1">
        <v>1983</v>
      </c>
      <c r="C35" s="43" t="s">
        <v>68</v>
      </c>
      <c r="D35" s="1" t="s">
        <v>69</v>
      </c>
      <c r="E35" s="67">
        <v>1500007</v>
      </c>
      <c r="F35" s="69" t="s">
        <v>31</v>
      </c>
      <c r="G35" s="68" t="s">
        <v>70</v>
      </c>
      <c r="H35" s="89" t="e" vm="1">
        <v>#VALUE!</v>
      </c>
      <c r="I35" s="1" t="s">
        <v>72</v>
      </c>
      <c r="J35" s="1" t="s">
        <v>20</v>
      </c>
      <c r="K35" s="1" t="s">
        <v>21</v>
      </c>
      <c r="L35" s="1" t="s">
        <v>21</v>
      </c>
      <c r="M35" s="1">
        <v>32</v>
      </c>
      <c r="N35" s="69">
        <v>34</v>
      </c>
      <c r="O35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5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5" s="69">
        <v>0</v>
      </c>
      <c r="S35" s="69">
        <v>0</v>
      </c>
      <c r="T35" s="69">
        <v>0</v>
      </c>
      <c r="U35" s="1">
        <v>15</v>
      </c>
      <c r="V35" s="1">
        <v>15</v>
      </c>
      <c r="W35" s="1">
        <v>15</v>
      </c>
      <c r="X35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9.8659635245001112E-2</v>
      </c>
      <c r="Y35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9.8659635245001112E-2</v>
      </c>
      <c r="Z35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5" s="91">
        <v>250</v>
      </c>
      <c r="AB35" s="76">
        <v>205.1</v>
      </c>
      <c r="AC35" s="68">
        <v>250</v>
      </c>
      <c r="AD35" s="68">
        <v>205.1</v>
      </c>
      <c r="AE35" s="29" t="s">
        <v>59</v>
      </c>
      <c r="AF35" s="68">
        <v>0</v>
      </c>
      <c r="AG35" s="68">
        <v>96.4</v>
      </c>
      <c r="AH35" s="50">
        <f>IF(ISNUMBER(Tabella2[[#This Row],[Mean RADIAL stress  (MPa)]]), Tabella2[[#This Row],[Mean RADIAL stress  (MPa)]],"")</f>
        <v>250</v>
      </c>
      <c r="AI35" s="25">
        <f>IF(ISNUMBER(Tabella2[[#This Row],[Amplitute RADIAL stress  (MPa)]]), Tabella2[[#This Row],[Amplitute RADIAL stress  (MPa)]],"")</f>
        <v>205.1</v>
      </c>
      <c r="AJ35" s="25">
        <f>IF(ISNUMBER(Tabella2[[#This Row],[Mean AXIAL stress  (MPa)]]), IF(Tabella2[[#This Row],[derived from (AXIAL/BENDING) load]]="AXIAL",Tabella2[[#This Row],[Mean AXIAL stress  (MPa)]]*Tabella2[[#This Row],[Area (mm^2)]],"Null"), "")</f>
        <v>25918.139392115794</v>
      </c>
      <c r="AK35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21263.241557291796</v>
      </c>
      <c r="AL35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160198.49498623289</v>
      </c>
      <c r="AP35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0.4700146270112141</v>
      </c>
      <c r="AQ35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264.4709624892684</v>
      </c>
    </row>
    <row r="36" spans="1:43" ht="20.100000000000001" customHeight="1" x14ac:dyDescent="0.25">
      <c r="A36" s="1" t="s">
        <v>64</v>
      </c>
      <c r="B36" s="1">
        <v>1983</v>
      </c>
      <c r="C36" s="43" t="s">
        <v>68</v>
      </c>
      <c r="D36" s="1" t="s">
        <v>69</v>
      </c>
      <c r="E36" s="67">
        <v>1500008</v>
      </c>
      <c r="F36" s="69" t="s">
        <v>31</v>
      </c>
      <c r="G36" s="68" t="s">
        <v>70</v>
      </c>
      <c r="H36" s="89" t="e" vm="1">
        <v>#VALUE!</v>
      </c>
      <c r="I36" s="1" t="s">
        <v>72</v>
      </c>
      <c r="J36" s="1" t="s">
        <v>20</v>
      </c>
      <c r="K36" s="1" t="s">
        <v>21</v>
      </c>
      <c r="L36" s="1" t="s">
        <v>21</v>
      </c>
      <c r="M36" s="1">
        <v>32</v>
      </c>
      <c r="N36" s="69">
        <v>34</v>
      </c>
      <c r="O36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6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6" s="69">
        <v>0</v>
      </c>
      <c r="S36" s="69">
        <v>180</v>
      </c>
      <c r="T36" s="69">
        <v>0</v>
      </c>
      <c r="U36" s="1">
        <v>15</v>
      </c>
      <c r="V36" s="1">
        <v>15</v>
      </c>
      <c r="W36" s="1">
        <v>15</v>
      </c>
      <c r="X36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9.90990990990991E-2</v>
      </c>
      <c r="Y36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9.90990990990991E-2</v>
      </c>
      <c r="Z36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6" s="91">
        <v>213.5</v>
      </c>
      <c r="AB36" s="76">
        <v>175</v>
      </c>
      <c r="AC36" s="68">
        <v>213.5</v>
      </c>
      <c r="AD36" s="68">
        <v>175</v>
      </c>
      <c r="AE36" s="29" t="s">
        <v>59</v>
      </c>
      <c r="AF36" s="68">
        <v>0</v>
      </c>
      <c r="AG36" s="68">
        <v>82.3</v>
      </c>
      <c r="AH36" s="50">
        <f>IF(ISNUMBER(Tabella2[[#This Row],[Mean RADIAL stress  (MPa)]]), Tabella2[[#This Row],[Mean RADIAL stress  (MPa)]],"")</f>
        <v>213.5</v>
      </c>
      <c r="AI36" s="25">
        <f>IF(ISNUMBER(Tabella2[[#This Row],[Amplitute RADIAL stress  (MPa)]]), Tabella2[[#This Row],[Amplitute RADIAL stress  (MPa)]],"")</f>
        <v>175</v>
      </c>
      <c r="AJ36" s="25">
        <f>IF(ISNUMBER(Tabella2[[#This Row],[Mean AXIAL stress  (MPa)]]), IF(Tabella2[[#This Row],[derived from (AXIAL/BENDING) load]]="AXIAL",Tabella2[[#This Row],[Mean AXIAL stress  (MPa)]]*Tabella2[[#This Row],[Area (mm^2)]],"Null"), "")</f>
        <v>22134.09104086689</v>
      </c>
      <c r="AK36" s="25">
        <f>IF(ISNUMBER(Tabella2[[#This Row],[Amplitute AXIAL stress  (MPa)]]),    IF(Tabella2[[#This Row],[derived from (AXIAL/BENDING) load]]="AXIAL",Tabella2[[#This Row],[Amplitute AXIAL stress  (MPa)]]*Tabella2[[#This Row],[Area (mm^2)]],"Null"), "")</f>
        <v>18142.697574481055</v>
      </c>
      <c r="AL36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136766.97237932537</v>
      </c>
      <c r="AP36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0.47028571428571425</v>
      </c>
      <c r="AQ36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225.70970293720205</v>
      </c>
    </row>
    <row r="37" spans="1:43" ht="20.100000000000001" customHeight="1" x14ac:dyDescent="0.25">
      <c r="A37" s="1" t="s">
        <v>64</v>
      </c>
      <c r="B37" s="1">
        <v>1983</v>
      </c>
      <c r="C37" s="43" t="s">
        <v>68</v>
      </c>
      <c r="D37" s="1" t="s">
        <v>69</v>
      </c>
      <c r="E37" s="67">
        <v>1500009</v>
      </c>
      <c r="F37" s="69" t="s">
        <v>31</v>
      </c>
      <c r="G37" s="68" t="s">
        <v>70</v>
      </c>
      <c r="H37" s="89" t="e" vm="1">
        <v>#VALUE!</v>
      </c>
      <c r="I37" s="1" t="s">
        <v>72</v>
      </c>
      <c r="J37" s="1" t="s">
        <v>20</v>
      </c>
      <c r="K37" s="1" t="s">
        <v>21</v>
      </c>
      <c r="L37" s="1" t="s">
        <v>21</v>
      </c>
      <c r="M37" s="1">
        <v>32</v>
      </c>
      <c r="N37" s="69">
        <v>34</v>
      </c>
      <c r="O37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7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7" s="69">
        <v>0</v>
      </c>
      <c r="S37" s="69">
        <v>0</v>
      </c>
      <c r="T37" s="69">
        <v>0</v>
      </c>
      <c r="U37" s="1">
        <v>15</v>
      </c>
      <c r="V37" s="1">
        <v>15</v>
      </c>
      <c r="W37" s="1">
        <v>15</v>
      </c>
      <c r="X37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9.9054255848680967E-2</v>
      </c>
      <c r="Y37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9.9054255848680967E-2</v>
      </c>
      <c r="Z37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37" s="91">
        <v>220.8</v>
      </c>
      <c r="AB37" s="76">
        <v>181</v>
      </c>
      <c r="AC37" s="68">
        <v>220.8</v>
      </c>
      <c r="AD37" s="68">
        <v>181</v>
      </c>
      <c r="AE37" s="29" t="s">
        <v>59</v>
      </c>
      <c r="AF37" s="68">
        <v>85.1</v>
      </c>
      <c r="AG37" s="68">
        <v>85.1</v>
      </c>
      <c r="AH37" s="50">
        <f>IF(ISNUMBER(Tabella2[[#This Row],[Mean RADIAL stress  (MPa)]]), Tabella2[[#This Row],[Mean RADIAL stress  (MPa)]],"")</f>
        <v>220.8</v>
      </c>
      <c r="AI37" s="25">
        <f>IF(ISNUMBER(Tabella2[[#This Row],[Amplitute RADIAL stress  (MPa)]]), Tabella2[[#This Row],[Amplitute RADIAL stress  (MPa)]],"")</f>
        <v>181</v>
      </c>
      <c r="AJ37" s="25">
        <f>IF(ISNUMBER(Tabella2[[#This Row],[Mean AXIAL stress  (MPa)]]), IF(Tabella2[[#This Row],[derived from (AXIAL/BENDING) load]]="AXIAL",Tabella2[[#This Row],[Mean AXIAL stress  (MPa)]]*Tabella2[[#This Row],[Area (mm^2)]],"Null"), "")</f>
        <v>22890.900711116672</v>
      </c>
      <c r="AK37" s="25">
        <f>IF(ISNUMBER(Tabella2[[#This Row],[Amplitute AXIAL stress  (MPa)]]),    IF(Tabella2[[#This Row],[derived from (AXIAL/BENDING) load]]="AXIAL",Tabella2[[#This Row],[Amplitute AXIAL stress  (MPa)]]*Tabella2[[#This Row],[Area (mm^2)]],"Null"), "")</f>
        <v>18764.732919891834</v>
      </c>
      <c r="AL37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141420.04069842756</v>
      </c>
      <c r="AO3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141420.04069842756</v>
      </c>
      <c r="AP37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0.47016574585635357</v>
      </c>
      <c r="AQ37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233.42457025771731</v>
      </c>
    </row>
    <row r="38" spans="1:43" ht="20.100000000000001" customHeight="1" x14ac:dyDescent="0.25">
      <c r="A38" s="1" t="s">
        <v>64</v>
      </c>
      <c r="B38" s="1">
        <v>1983</v>
      </c>
      <c r="C38" s="43" t="s">
        <v>68</v>
      </c>
      <c r="D38" s="1" t="s">
        <v>69</v>
      </c>
      <c r="E38" s="67">
        <v>1500010</v>
      </c>
      <c r="F38" s="69" t="s">
        <v>31</v>
      </c>
      <c r="G38" s="68" t="s">
        <v>70</v>
      </c>
      <c r="H38" s="89" t="e" vm="1">
        <v>#VALUE!</v>
      </c>
      <c r="I38" s="1" t="s">
        <v>72</v>
      </c>
      <c r="J38" s="1" t="s">
        <v>20</v>
      </c>
      <c r="K38" s="1" t="s">
        <v>21</v>
      </c>
      <c r="L38" s="1" t="s">
        <v>21</v>
      </c>
      <c r="M38" s="1">
        <v>32</v>
      </c>
      <c r="N38" s="69">
        <v>34</v>
      </c>
      <c r="O38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8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8" s="69">
        <v>0</v>
      </c>
      <c r="S38" s="69">
        <v>0</v>
      </c>
      <c r="T38" s="69">
        <v>90</v>
      </c>
      <c r="U38" s="1">
        <v>15</v>
      </c>
      <c r="V38" s="1">
        <v>15</v>
      </c>
      <c r="W38" s="1">
        <v>15</v>
      </c>
      <c r="X38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9.9099099099099114E-2</v>
      </c>
      <c r="Y38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9.9099099099099114E-2</v>
      </c>
      <c r="Z38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38" s="91">
        <v>237.9</v>
      </c>
      <c r="AB38" s="76">
        <v>195</v>
      </c>
      <c r="AC38" s="68">
        <v>237.9</v>
      </c>
      <c r="AD38" s="68">
        <v>195</v>
      </c>
      <c r="AE38" s="29" t="s">
        <v>59</v>
      </c>
      <c r="AF38" s="68">
        <v>91.7</v>
      </c>
      <c r="AG38" s="68">
        <v>91.7</v>
      </c>
      <c r="AH38" s="50">
        <f>IF(ISNUMBER(Tabella2[[#This Row],[Mean RADIAL stress  (MPa)]]), Tabella2[[#This Row],[Mean RADIAL stress  (MPa)]],"")</f>
        <v>237.9</v>
      </c>
      <c r="AI38" s="25">
        <f>IF(ISNUMBER(Tabella2[[#This Row],[Amplitute RADIAL stress  (MPa)]]), Tabella2[[#This Row],[Amplitute RADIAL stress  (MPa)]],"")</f>
        <v>195</v>
      </c>
      <c r="AJ38" s="25">
        <f>IF(ISNUMBER(Tabella2[[#This Row],[Mean AXIAL stress  (MPa)]]), IF(Tabella2[[#This Row],[derived from (AXIAL/BENDING) load]]="AXIAL",Tabella2[[#This Row],[Mean AXIAL stress  (MPa)]]*Tabella2[[#This Row],[Area (mm^2)]],"Null"), "")</f>
        <v>24663.70144553739</v>
      </c>
      <c r="AK38" s="25">
        <f>IF(ISNUMBER(Tabella2[[#This Row],[Amplitute AXIAL stress  (MPa)]]),    IF(Tabella2[[#This Row],[derived from (AXIAL/BENDING) load]]="AXIAL",Tabella2[[#This Row],[Amplitute AXIAL stress  (MPa)]]*Tabella2[[#This Row],[Area (mm^2)]],"Null"), "")</f>
        <v>20216.148725850318</v>
      </c>
      <c r="AL38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152387.98745059708</v>
      </c>
      <c r="AO3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152387.98745059708</v>
      </c>
      <c r="AP38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0.4702564102564103</v>
      </c>
      <c r="AQ38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251.49884691584572</v>
      </c>
    </row>
    <row r="39" spans="1:43" ht="20.100000000000001" customHeight="1" x14ac:dyDescent="0.25">
      <c r="A39" s="1" t="s">
        <v>64</v>
      </c>
      <c r="B39" s="1">
        <v>1983</v>
      </c>
      <c r="C39" s="43" t="s">
        <v>68</v>
      </c>
      <c r="D39" s="1" t="s">
        <v>69</v>
      </c>
      <c r="E39" s="67">
        <v>1500011</v>
      </c>
      <c r="F39" s="69" t="s">
        <v>31</v>
      </c>
      <c r="G39" s="68" t="s">
        <v>70</v>
      </c>
      <c r="H39" s="89" t="e" vm="1">
        <v>#VALUE!</v>
      </c>
      <c r="I39" s="1" t="s">
        <v>72</v>
      </c>
      <c r="J39" s="1" t="s">
        <v>20</v>
      </c>
      <c r="K39" s="1" t="s">
        <v>21</v>
      </c>
      <c r="L39" s="1" t="s">
        <v>21</v>
      </c>
      <c r="M39" s="1">
        <v>32</v>
      </c>
      <c r="N39" s="69">
        <v>34</v>
      </c>
      <c r="O39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39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3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39" s="69">
        <v>0</v>
      </c>
      <c r="S39" s="69">
        <v>180</v>
      </c>
      <c r="T39" s="69">
        <v>90</v>
      </c>
      <c r="U39" s="1">
        <v>15</v>
      </c>
      <c r="V39" s="1">
        <v>15</v>
      </c>
      <c r="W39" s="1">
        <v>15</v>
      </c>
      <c r="X39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9.9099099099099086E-2</v>
      </c>
      <c r="Y39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9.9099099099099086E-2</v>
      </c>
      <c r="Z39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39" s="91">
        <v>219.6</v>
      </c>
      <c r="AB39" s="76">
        <v>180</v>
      </c>
      <c r="AC39" s="68">
        <v>219.6</v>
      </c>
      <c r="AD39" s="68">
        <v>180</v>
      </c>
      <c r="AE39" s="29" t="s">
        <v>59</v>
      </c>
      <c r="AF39" s="68">
        <v>84.6</v>
      </c>
      <c r="AG39" s="68">
        <v>84.6</v>
      </c>
      <c r="AH39" s="50">
        <f>IF(ISNUMBER(Tabella2[[#This Row],[Mean RADIAL stress  (MPa)]]), Tabella2[[#This Row],[Mean RADIAL stress  (MPa)]],"")</f>
        <v>219.6</v>
      </c>
      <c r="AI39" s="25">
        <f>IF(ISNUMBER(Tabella2[[#This Row],[Amplitute RADIAL stress  (MPa)]]), Tabella2[[#This Row],[Amplitute RADIAL stress  (MPa)]],"")</f>
        <v>180</v>
      </c>
      <c r="AJ39" s="25">
        <f>IF(ISNUMBER(Tabella2[[#This Row],[Mean AXIAL stress  (MPa)]]), IF(Tabella2[[#This Row],[derived from (AXIAL/BENDING) load]]="AXIAL",Tabella2[[#This Row],[Mean AXIAL stress  (MPa)]]*Tabella2[[#This Row],[Area (mm^2)]],"Null"), "")</f>
        <v>22766.493642034511</v>
      </c>
      <c r="AK39" s="25">
        <f>IF(ISNUMBER(Tabella2[[#This Row],[Amplitute AXIAL stress  (MPa)]]),    IF(Tabella2[[#This Row],[derived from (AXIAL/BENDING) load]]="AXIAL",Tabella2[[#This Row],[Amplitute AXIAL stress  (MPa)]]*Tabella2[[#This Row],[Area (mm^2)]],"Null"), "")</f>
        <v>18661.060362323373</v>
      </c>
      <c r="AL39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140589.13564144503</v>
      </c>
      <c r="AO3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140589.13564144503</v>
      </c>
      <c r="AP39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0.47</v>
      </c>
      <c r="AQ39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232.10230502948477</v>
      </c>
    </row>
    <row r="40" spans="1:43" ht="20.100000000000001" customHeight="1" x14ac:dyDescent="0.25">
      <c r="A40" s="1" t="s">
        <v>64</v>
      </c>
      <c r="B40" s="1">
        <v>1983</v>
      </c>
      <c r="C40" s="43" t="s">
        <v>68</v>
      </c>
      <c r="D40" s="1" t="s">
        <v>69</v>
      </c>
      <c r="E40" s="67">
        <v>1500012</v>
      </c>
      <c r="F40" s="69" t="s">
        <v>31</v>
      </c>
      <c r="G40" s="68" t="s">
        <v>70</v>
      </c>
      <c r="H40" s="89" t="e" vm="1">
        <v>#VALUE!</v>
      </c>
      <c r="I40" s="1" t="s">
        <v>72</v>
      </c>
      <c r="J40" s="1" t="s">
        <v>20</v>
      </c>
      <c r="K40" s="1" t="s">
        <v>21</v>
      </c>
      <c r="L40" s="1" t="s">
        <v>21</v>
      </c>
      <c r="M40" s="1">
        <v>32</v>
      </c>
      <c r="N40" s="69">
        <v>34</v>
      </c>
      <c r="O40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40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4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40" s="69">
        <v>0</v>
      </c>
      <c r="S40" s="69">
        <v>60</v>
      </c>
      <c r="T40" s="69">
        <v>90</v>
      </c>
      <c r="U40" s="1">
        <v>15</v>
      </c>
      <c r="V40" s="1">
        <v>15</v>
      </c>
      <c r="W40" s="1">
        <v>15</v>
      </c>
      <c r="X40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9.901454716095727E-2</v>
      </c>
      <c r="Y40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9.901454716095727E-2</v>
      </c>
      <c r="Z40" s="1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0" s="91">
        <v>234.2</v>
      </c>
      <c r="AB40" s="76">
        <v>192</v>
      </c>
      <c r="AC40" s="68">
        <v>234.2</v>
      </c>
      <c r="AD40" s="68">
        <v>192</v>
      </c>
      <c r="AE40" s="29" t="s">
        <v>59</v>
      </c>
      <c r="AF40" s="68">
        <v>90.2</v>
      </c>
      <c r="AG40" s="68">
        <v>90.2</v>
      </c>
      <c r="AH40" s="50">
        <f>IF(ISNUMBER(Tabella2[[#This Row],[Mean RADIAL stress  (MPa)]]), Tabella2[[#This Row],[Mean RADIAL stress  (MPa)]],"")</f>
        <v>234.2</v>
      </c>
      <c r="AI40" s="25">
        <f>IF(ISNUMBER(Tabella2[[#This Row],[Amplitute RADIAL stress  (MPa)]]), Tabella2[[#This Row],[Amplitute RADIAL stress  (MPa)]],"")</f>
        <v>192</v>
      </c>
      <c r="AJ40" s="25">
        <f>IF(ISNUMBER(Tabella2[[#This Row],[Mean AXIAL stress  (MPa)]]), IF(Tabella2[[#This Row],[derived from (AXIAL/BENDING) load]]="AXIAL",Tabella2[[#This Row],[Mean AXIAL stress  (MPa)]]*Tabella2[[#This Row],[Area (mm^2)]],"Null"), "")</f>
        <v>24280.112982534076</v>
      </c>
      <c r="AK40" s="25">
        <f>IF(ISNUMBER(Tabella2[[#This Row],[Amplitute AXIAL stress  (MPa)]]),    IF(Tabella2[[#This Row],[derived from (AXIAL/BENDING) load]]="AXIAL",Tabella2[[#This Row],[Amplitute AXIAL stress  (MPa)]]*Tabella2[[#This Row],[Area (mm^2)]],"Null"), "")</f>
        <v>19905.131053144931</v>
      </c>
      <c r="AL40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0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0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149895.27227964945</v>
      </c>
      <c r="AO4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149895.27227964945</v>
      </c>
      <c r="AP40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0.46979166666666666</v>
      </c>
      <c r="AQ40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247.53205852979934</v>
      </c>
    </row>
    <row r="41" spans="1:43" ht="20.100000000000001" customHeight="1" x14ac:dyDescent="0.25">
      <c r="A41" s="1" t="s">
        <v>64</v>
      </c>
      <c r="B41" s="1">
        <v>1983</v>
      </c>
      <c r="C41" s="43" t="s">
        <v>68</v>
      </c>
      <c r="D41" s="1" t="s">
        <v>69</v>
      </c>
      <c r="E41" s="67">
        <v>1500013</v>
      </c>
      <c r="F41" s="69" t="s">
        <v>31</v>
      </c>
      <c r="G41" s="68" t="s">
        <v>70</v>
      </c>
      <c r="H41" s="89" t="e" vm="1">
        <v>#VALUE!</v>
      </c>
      <c r="I41" s="1" t="s">
        <v>72</v>
      </c>
      <c r="J41" s="1" t="s">
        <v>20</v>
      </c>
      <c r="K41" s="1" t="s">
        <v>21</v>
      </c>
      <c r="L41" s="1" t="s">
        <v>21</v>
      </c>
      <c r="M41" s="1">
        <v>32</v>
      </c>
      <c r="N41" s="69">
        <v>34</v>
      </c>
      <c r="O41" s="2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41" s="2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41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41" s="69">
        <v>0</v>
      </c>
      <c r="S41" s="69">
        <v>0</v>
      </c>
      <c r="T41" s="69">
        <v>0</v>
      </c>
      <c r="U41" s="1">
        <v>15</v>
      </c>
      <c r="V41" s="1">
        <v>15</v>
      </c>
      <c r="W41" s="1">
        <v>15</v>
      </c>
      <c r="X41" s="13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1</v>
      </c>
      <c r="Y41" s="1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1" s="1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1" s="91">
        <v>372.1</v>
      </c>
      <c r="AB41" s="76">
        <v>0</v>
      </c>
      <c r="AC41" s="68">
        <v>0</v>
      </c>
      <c r="AD41" s="68">
        <v>305</v>
      </c>
      <c r="AE41" s="29" t="s">
        <v>59</v>
      </c>
      <c r="AF41" s="68">
        <v>0</v>
      </c>
      <c r="AG41" s="68">
        <v>0</v>
      </c>
      <c r="AH41" s="50">
        <f>IF(ISNUMBER(Tabella2[[#This Row],[Mean RADIAL stress  (MPa)]]), Tabella2[[#This Row],[Mean RADIAL stress  (MPa)]],"")</f>
        <v>372.1</v>
      </c>
      <c r="AI41" s="25">
        <f>IF(ISNUMBER(Tabella2[[#This Row],[Amplitute RADIAL stress  (MPa)]]), Tabella2[[#This Row],[Amplitute RADIAL stress  (MPa)]],"")</f>
        <v>0</v>
      </c>
      <c r="AJ41" s="25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1" s="25">
        <f>IF(ISNUMBER(Tabella2[[#This Row],[Amplitute AXIAL stress  (MPa)]]),    IF(Tabella2[[#This Row],[derived from (AXIAL/BENDING) load]]="AXIAL",Tabella2[[#This Row],[Amplitute AXIAL stress  (MPa)]]*Tabella2[[#This Row],[Area (mm^2)]],"Null"), "")</f>
        <v>31620.13005838127</v>
      </c>
      <c r="AL41" s="25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1" s="25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1" s="25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1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1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1" s="1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305</v>
      </c>
    </row>
    <row r="42" spans="1:43" s="15" customFormat="1" ht="20.100000000000001" customHeight="1" thickBot="1" x14ac:dyDescent="0.3">
      <c r="A42" s="15" t="s">
        <v>64</v>
      </c>
      <c r="B42" s="15">
        <v>1983</v>
      </c>
      <c r="C42" s="74" t="s">
        <v>68</v>
      </c>
      <c r="D42" s="15" t="s">
        <v>69</v>
      </c>
      <c r="E42" s="70">
        <v>1500014</v>
      </c>
      <c r="F42" s="71" t="s">
        <v>31</v>
      </c>
      <c r="G42" s="72" t="s">
        <v>70</v>
      </c>
      <c r="H42" s="90" t="e" vm="1">
        <v>#VALUE!</v>
      </c>
      <c r="I42" s="15" t="s">
        <v>72</v>
      </c>
      <c r="J42" s="15" t="s">
        <v>20</v>
      </c>
      <c r="K42" s="15" t="s">
        <v>21</v>
      </c>
      <c r="L42" s="15" t="s">
        <v>21</v>
      </c>
      <c r="M42" s="15">
        <v>32</v>
      </c>
      <c r="N42" s="71">
        <v>34</v>
      </c>
      <c r="O42" s="1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103.67255756846318</v>
      </c>
      <c r="P42" s="1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14125.385968703107</v>
      </c>
      <c r="Q42" s="3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28250.771937406214</v>
      </c>
      <c r="R42" s="71">
        <v>0</v>
      </c>
      <c r="S42" s="71">
        <v>0</v>
      </c>
      <c r="T42" s="71">
        <v>0</v>
      </c>
      <c r="U42" s="15">
        <v>15</v>
      </c>
      <c r="V42" s="15">
        <v>15</v>
      </c>
      <c r="W42" s="15">
        <v>15</v>
      </c>
      <c r="X42" s="18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18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2" s="18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2" s="92">
        <v>0</v>
      </c>
      <c r="AB42" s="77">
        <v>0</v>
      </c>
      <c r="AC42" s="72">
        <v>0</v>
      </c>
      <c r="AD42" s="72">
        <v>0</v>
      </c>
      <c r="AE42" s="30" t="s">
        <v>59</v>
      </c>
      <c r="AF42" s="72">
        <v>175</v>
      </c>
      <c r="AG42" s="72">
        <v>175</v>
      </c>
      <c r="AH42" s="53">
        <f>IF(ISNUMBER(Tabella2[[#This Row],[Mean RADIAL stress  (MPa)]]), Tabella2[[#This Row],[Mean RADIAL stress  (MPa)]],"")</f>
        <v>0</v>
      </c>
      <c r="AI42" s="17">
        <f>IF(ISNUMBER(Tabella2[[#This Row],[Amplitute RADIAL stress  (MPa)]]), Tabella2[[#This Row],[Amplitute RADIAL stress  (MPa)]],"")</f>
        <v>0</v>
      </c>
      <c r="AJ42" s="1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2" s="1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2" s="1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2" s="1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2" s="1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290816.76994388748</v>
      </c>
      <c r="AO42" s="3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290816.76994388748</v>
      </c>
      <c r="AP42" s="39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2" s="18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303.10889132455355</v>
      </c>
    </row>
    <row r="43" spans="1:43" customFormat="1" ht="20.100000000000001" customHeight="1" x14ac:dyDescent="0.25">
      <c r="H43" s="86"/>
      <c r="AA43" s="86"/>
      <c r="AH43" s="86"/>
    </row>
    <row r="44" spans="1:43" customFormat="1" ht="20.100000000000001" customHeight="1" x14ac:dyDescent="0.25">
      <c r="H44" s="86"/>
      <c r="AA44" s="86"/>
      <c r="AH44" s="86"/>
    </row>
    <row r="45" spans="1:43" customFormat="1" ht="20.100000000000001" customHeight="1" x14ac:dyDescent="0.25">
      <c r="H45" s="86"/>
      <c r="AA45" s="86"/>
      <c r="AH45" s="86"/>
    </row>
    <row r="46" spans="1:43" customFormat="1" ht="20.100000000000001" customHeight="1" x14ac:dyDescent="0.25">
      <c r="H46" s="86"/>
      <c r="AA46" s="86"/>
      <c r="AH46" s="86"/>
    </row>
    <row r="47" spans="1:43" customFormat="1" ht="20.100000000000001" customHeight="1" x14ac:dyDescent="0.25">
      <c r="H47" s="86"/>
      <c r="AA47" s="86"/>
      <c r="AH47" s="86"/>
    </row>
    <row r="48" spans="1:43" customFormat="1" ht="20.100000000000001" customHeight="1" x14ac:dyDescent="0.25">
      <c r="H48" s="86"/>
      <c r="AA48" s="86"/>
      <c r="AH48" s="86"/>
    </row>
    <row r="49" spans="8:34" customFormat="1" ht="20.100000000000001" customHeight="1" x14ac:dyDescent="0.25">
      <c r="H49" s="86"/>
      <c r="AA49" s="86"/>
      <c r="AH49" s="86"/>
    </row>
    <row r="50" spans="8:34" customFormat="1" ht="20.100000000000001" customHeight="1" x14ac:dyDescent="0.25">
      <c r="H50" s="86"/>
      <c r="AA50" s="86"/>
      <c r="AH50" s="86"/>
    </row>
    <row r="51" spans="8:34" customFormat="1" ht="20.100000000000001" customHeight="1" x14ac:dyDescent="0.25">
      <c r="H51" s="86"/>
      <c r="AA51" s="86"/>
      <c r="AH51" s="86"/>
    </row>
    <row r="52" spans="8:34" customFormat="1" ht="20.100000000000001" customHeight="1" x14ac:dyDescent="0.25">
      <c r="H52" s="86"/>
      <c r="AA52" s="86"/>
      <c r="AH52" s="86"/>
    </row>
    <row r="53" spans="8:34" customFormat="1" ht="20.100000000000001" customHeight="1" x14ac:dyDescent="0.25">
      <c r="H53" s="86"/>
      <c r="AA53" s="86"/>
      <c r="AH53" s="86"/>
    </row>
    <row r="54" spans="8:34" customFormat="1" ht="20.100000000000001" customHeight="1" x14ac:dyDescent="0.25">
      <c r="H54" s="86"/>
      <c r="AA54" s="86"/>
      <c r="AH54" s="86"/>
    </row>
    <row r="55" spans="8:34" customFormat="1" ht="20.100000000000001" customHeight="1" x14ac:dyDescent="0.25">
      <c r="H55" s="86"/>
      <c r="AA55" s="86"/>
      <c r="AH55" s="86"/>
    </row>
    <row r="56" spans="8:34" customFormat="1" ht="19.5" customHeight="1" x14ac:dyDescent="0.25">
      <c r="H56" s="86"/>
      <c r="AA56" s="86"/>
      <c r="AH56" s="86"/>
    </row>
    <row r="57" spans="8:34" customFormat="1" ht="20.100000000000001" customHeight="1" x14ac:dyDescent="0.25">
      <c r="H57" s="86"/>
      <c r="AA57" s="86"/>
      <c r="AH57" s="86"/>
    </row>
    <row r="58" spans="8:34" customFormat="1" ht="20.100000000000001" customHeight="1" x14ac:dyDescent="0.25">
      <c r="H58" s="86"/>
      <c r="AA58" s="86"/>
      <c r="AH58" s="86"/>
    </row>
    <row r="59" spans="8:34" customFormat="1" ht="20.100000000000001" customHeight="1" x14ac:dyDescent="0.25">
      <c r="H59" s="86"/>
      <c r="AA59" s="86"/>
      <c r="AH59" s="86"/>
    </row>
    <row r="60" spans="8:34" customFormat="1" ht="20.100000000000001" customHeight="1" x14ac:dyDescent="0.25">
      <c r="H60" s="86"/>
      <c r="AA60" s="86"/>
      <c r="AH60" s="86"/>
    </row>
    <row r="61" spans="8:34" customFormat="1" ht="20.100000000000001" customHeight="1" x14ac:dyDescent="0.25">
      <c r="H61" s="86"/>
      <c r="AA61" s="86"/>
      <c r="AH61" s="86"/>
    </row>
    <row r="62" spans="8:34" customFormat="1" x14ac:dyDescent="0.25">
      <c r="H62" s="86"/>
      <c r="AA62" s="86"/>
      <c r="AH62" s="86"/>
    </row>
    <row r="63" spans="8:34" customFormat="1" x14ac:dyDescent="0.25">
      <c r="H63" s="86"/>
      <c r="AA63" s="86"/>
      <c r="AH63" s="86"/>
    </row>
    <row r="64" spans="8:34" customFormat="1" x14ac:dyDescent="0.25">
      <c r="H64" s="86"/>
      <c r="AA64" s="86"/>
      <c r="AH64" s="86"/>
    </row>
    <row r="65" spans="8:34" customFormat="1" x14ac:dyDescent="0.25">
      <c r="H65" s="86"/>
      <c r="AA65" s="86"/>
      <c r="AH65" s="86"/>
    </row>
    <row r="66" spans="8:34" customFormat="1" x14ac:dyDescent="0.25">
      <c r="H66" s="86"/>
      <c r="AA66" s="86"/>
      <c r="AH66" s="86"/>
    </row>
    <row r="67" spans="8:34" customFormat="1" x14ac:dyDescent="0.25">
      <c r="H67" s="86"/>
      <c r="AA67" s="86"/>
      <c r="AH67" s="86"/>
    </row>
    <row r="68" spans="8:34" customFormat="1" ht="13.5" customHeight="1" x14ac:dyDescent="0.25">
      <c r="H68" s="86"/>
      <c r="AA68" s="86"/>
      <c r="AH68" s="86"/>
    </row>
    <row r="69" spans="8:34" customFormat="1" x14ac:dyDescent="0.25">
      <c r="H69" s="86"/>
      <c r="AA69" s="86"/>
      <c r="AH69" s="86"/>
    </row>
    <row r="70" spans="8:34" customFormat="1" x14ac:dyDescent="0.25">
      <c r="H70" s="86"/>
      <c r="AA70" s="86"/>
      <c r="AH70" s="86"/>
    </row>
    <row r="71" spans="8:34" customFormat="1" x14ac:dyDescent="0.25">
      <c r="H71" s="86"/>
      <c r="AA71" s="86"/>
      <c r="AH71" s="86"/>
    </row>
    <row r="72" spans="8:34" customFormat="1" x14ac:dyDescent="0.25">
      <c r="H72" s="86"/>
      <c r="AA72" s="86"/>
      <c r="AH72" s="86"/>
    </row>
    <row r="73" spans="8:34" customFormat="1" x14ac:dyDescent="0.25">
      <c r="H73" s="86"/>
      <c r="AA73" s="86"/>
      <c r="AH73" s="86"/>
    </row>
    <row r="74" spans="8:34" customFormat="1" x14ac:dyDescent="0.25">
      <c r="H74" s="86"/>
      <c r="AA74" s="86"/>
      <c r="AH74" s="86"/>
    </row>
    <row r="75" spans="8:34" customFormat="1" x14ac:dyDescent="0.25">
      <c r="H75" s="86"/>
      <c r="AA75" s="86"/>
      <c r="AH75" s="86"/>
    </row>
    <row r="76" spans="8:34" customFormat="1" x14ac:dyDescent="0.25">
      <c r="H76" s="86"/>
      <c r="AA76" s="86"/>
      <c r="AH76" s="86"/>
    </row>
    <row r="77" spans="8:34" customFormat="1" x14ac:dyDescent="0.25">
      <c r="H77" s="86"/>
      <c r="AA77" s="86"/>
      <c r="AH77" s="86"/>
    </row>
    <row r="78" spans="8:34" customFormat="1" x14ac:dyDescent="0.25">
      <c r="H78" s="86"/>
      <c r="AA78" s="86"/>
      <c r="AH78" s="86"/>
    </row>
    <row r="79" spans="8:34" customFormat="1" x14ac:dyDescent="0.25">
      <c r="H79" s="86"/>
      <c r="AA79" s="86"/>
      <c r="AH79" s="86"/>
    </row>
    <row r="80" spans="8:34" customFormat="1" x14ac:dyDescent="0.25">
      <c r="H80" s="86"/>
      <c r="AA80" s="86"/>
      <c r="AH80" s="86"/>
    </row>
    <row r="81" spans="8:34" customFormat="1" x14ac:dyDescent="0.25">
      <c r="H81" s="86"/>
      <c r="AA81" s="86"/>
      <c r="AH81" s="86"/>
    </row>
    <row r="82" spans="8:34" customFormat="1" x14ac:dyDescent="0.25">
      <c r="H82" s="86"/>
      <c r="AA82" s="86"/>
      <c r="AH82" s="86"/>
    </row>
    <row r="83" spans="8:34" customFormat="1" x14ac:dyDescent="0.25">
      <c r="H83" s="86"/>
      <c r="AA83" s="86"/>
      <c r="AH83" s="86"/>
    </row>
    <row r="84" spans="8:34" customFormat="1" x14ac:dyDescent="0.25">
      <c r="H84" s="86"/>
      <c r="AA84" s="86"/>
      <c r="AH84" s="86"/>
    </row>
    <row r="85" spans="8:34" customFormat="1" x14ac:dyDescent="0.25">
      <c r="H85" s="86"/>
      <c r="AA85" s="86"/>
      <c r="AH85" s="86"/>
    </row>
    <row r="86" spans="8:34" customFormat="1" x14ac:dyDescent="0.25">
      <c r="H86" s="86"/>
      <c r="AA86" s="86"/>
      <c r="AH86" s="86"/>
    </row>
    <row r="87" spans="8:34" customFormat="1" ht="17.45" customHeight="1" x14ac:dyDescent="0.25">
      <c r="H87" s="86"/>
      <c r="AA87" s="86"/>
      <c r="AH87" s="86"/>
    </row>
    <row r="88" spans="8:34" customFormat="1" x14ac:dyDescent="0.25">
      <c r="H88" s="86"/>
      <c r="AA88" s="86"/>
      <c r="AH88" s="86"/>
    </row>
    <row r="89" spans="8:34" customFormat="1" x14ac:dyDescent="0.25">
      <c r="H89" s="86"/>
      <c r="AA89" s="86"/>
      <c r="AH89" s="86"/>
    </row>
    <row r="90" spans="8:34" customFormat="1" x14ac:dyDescent="0.25">
      <c r="H90" s="86"/>
      <c r="AA90" s="86"/>
      <c r="AH90" s="86"/>
    </row>
    <row r="91" spans="8:34" customFormat="1" x14ac:dyDescent="0.25">
      <c r="H91" s="86"/>
      <c r="AA91" s="86"/>
      <c r="AH91" s="86"/>
    </row>
    <row r="92" spans="8:34" customFormat="1" x14ac:dyDescent="0.25">
      <c r="H92" s="86"/>
      <c r="AA92" s="86"/>
      <c r="AH92" s="86"/>
    </row>
    <row r="93" spans="8:34" customFormat="1" x14ac:dyDescent="0.25">
      <c r="H93" s="86"/>
      <c r="AA93" s="86"/>
      <c r="AH93" s="86"/>
    </row>
    <row r="94" spans="8:34" customFormat="1" x14ac:dyDescent="0.25">
      <c r="H94" s="86"/>
      <c r="AA94" s="86"/>
      <c r="AH94" s="86"/>
    </row>
    <row r="95" spans="8:34" customFormat="1" x14ac:dyDescent="0.25">
      <c r="H95" s="86"/>
      <c r="AA95" s="86"/>
      <c r="AH95" s="86"/>
    </row>
    <row r="96" spans="8:34" customFormat="1" ht="17.45" customHeight="1" x14ac:dyDescent="0.25">
      <c r="H96" s="86"/>
      <c r="AA96" s="86"/>
      <c r="AH96" s="86"/>
    </row>
    <row r="97" spans="8:34" customFormat="1" x14ac:dyDescent="0.25">
      <c r="H97" s="86"/>
      <c r="AA97" s="86"/>
      <c r="AH97" s="86"/>
    </row>
    <row r="98" spans="8:34" customFormat="1" x14ac:dyDescent="0.25">
      <c r="H98" s="86"/>
      <c r="AA98" s="86"/>
      <c r="AH98" s="86"/>
    </row>
    <row r="99" spans="8:34" customFormat="1" x14ac:dyDescent="0.25">
      <c r="H99" s="86"/>
      <c r="AA99" s="86"/>
      <c r="AH99" s="86"/>
    </row>
    <row r="100" spans="8:34" customFormat="1" x14ac:dyDescent="0.25">
      <c r="H100" s="86"/>
      <c r="AA100" s="86"/>
      <c r="AH100" s="86"/>
    </row>
    <row r="101" spans="8:34" customFormat="1" x14ac:dyDescent="0.25">
      <c r="H101" s="86"/>
      <c r="AA101" s="86"/>
      <c r="AH101" s="86"/>
    </row>
    <row r="102" spans="8:34" customFormat="1" x14ac:dyDescent="0.25">
      <c r="H102" s="86"/>
      <c r="AA102" s="86"/>
      <c r="AH102" s="86"/>
    </row>
    <row r="103" spans="8:34" customFormat="1" x14ac:dyDescent="0.25">
      <c r="H103" s="86"/>
      <c r="AA103" s="86"/>
      <c r="AH103" s="86"/>
    </row>
    <row r="104" spans="8:34" customFormat="1" x14ac:dyDescent="0.25">
      <c r="H104" s="86"/>
      <c r="AA104" s="86"/>
      <c r="AH104" s="86"/>
    </row>
    <row r="105" spans="8:34" customFormat="1" x14ac:dyDescent="0.25">
      <c r="H105" s="86"/>
      <c r="AA105" s="86"/>
      <c r="AH105" s="86"/>
    </row>
    <row r="106" spans="8:34" customFormat="1" x14ac:dyDescent="0.25">
      <c r="H106" s="86"/>
      <c r="AA106" s="86"/>
      <c r="AH106" s="86"/>
    </row>
    <row r="107" spans="8:34" customFormat="1" x14ac:dyDescent="0.25">
      <c r="H107" s="86"/>
      <c r="AA107" s="86"/>
      <c r="AH107" s="86"/>
    </row>
    <row r="108" spans="8:34" customFormat="1" x14ac:dyDescent="0.25">
      <c r="H108" s="86"/>
      <c r="AA108" s="86"/>
      <c r="AH108" s="86"/>
    </row>
    <row r="109" spans="8:34" customFormat="1" x14ac:dyDescent="0.25">
      <c r="H109" s="86"/>
      <c r="AA109" s="86"/>
      <c r="AH109" s="86"/>
    </row>
    <row r="110" spans="8:34" customFormat="1" x14ac:dyDescent="0.25">
      <c r="H110" s="86"/>
      <c r="AA110" s="86"/>
      <c r="AH110" s="86"/>
    </row>
    <row r="111" spans="8:34" customFormat="1" x14ac:dyDescent="0.25">
      <c r="H111" s="86"/>
      <c r="AA111" s="86"/>
      <c r="AH111" s="86"/>
    </row>
    <row r="112" spans="8:34" customFormat="1" x14ac:dyDescent="0.25">
      <c r="H112" s="86"/>
      <c r="AA112" s="86"/>
      <c r="AH112" s="86"/>
    </row>
    <row r="113" spans="8:34" customFormat="1" x14ac:dyDescent="0.25">
      <c r="H113" s="86"/>
      <c r="AA113" s="86"/>
      <c r="AH113" s="86"/>
    </row>
    <row r="114" spans="8:34" customFormat="1" x14ac:dyDescent="0.25">
      <c r="H114" s="86"/>
      <c r="AA114" s="86"/>
      <c r="AH114" s="86"/>
    </row>
    <row r="115" spans="8:34" customFormat="1" x14ac:dyDescent="0.25">
      <c r="H115" s="86"/>
      <c r="AA115" s="86"/>
      <c r="AH115" s="86"/>
    </row>
    <row r="116" spans="8:34" customFormat="1" x14ac:dyDescent="0.25">
      <c r="H116" s="86"/>
      <c r="AA116" s="86"/>
      <c r="AH116" s="86"/>
    </row>
    <row r="117" spans="8:34" customFormat="1" x14ac:dyDescent="0.25">
      <c r="H117" s="86"/>
      <c r="AA117" s="86"/>
      <c r="AH117" s="86"/>
    </row>
    <row r="118" spans="8:34" customFormat="1" x14ac:dyDescent="0.25">
      <c r="H118" s="86"/>
      <c r="AA118" s="86"/>
      <c r="AH118" s="86"/>
    </row>
    <row r="119" spans="8:34" customFormat="1" x14ac:dyDescent="0.25">
      <c r="H119" s="86"/>
      <c r="AA119" s="86"/>
      <c r="AH119" s="86"/>
    </row>
    <row r="120" spans="8:34" customFormat="1" x14ac:dyDescent="0.25">
      <c r="H120" s="86"/>
      <c r="AA120" s="86"/>
      <c r="AH120" s="86"/>
    </row>
    <row r="121" spans="8:34" customFormat="1" x14ac:dyDescent="0.25">
      <c r="H121" s="86"/>
      <c r="AA121" s="86"/>
      <c r="AH121" s="86"/>
    </row>
    <row r="122" spans="8:34" x14ac:dyDescent="0.25">
      <c r="O122" s="24"/>
      <c r="P122" s="24"/>
      <c r="AG122" s="83"/>
    </row>
    <row r="123" spans="8:34" x14ac:dyDescent="0.25">
      <c r="O123" s="24"/>
      <c r="P123" s="24"/>
      <c r="AG123" s="83"/>
    </row>
    <row r="124" spans="8:34" x14ac:dyDescent="0.25">
      <c r="O124" s="24"/>
      <c r="P124" s="24"/>
      <c r="AG124" s="83"/>
    </row>
    <row r="125" spans="8:34" x14ac:dyDescent="0.25">
      <c r="O125" s="24"/>
      <c r="P125" s="24"/>
      <c r="AG125" s="83"/>
    </row>
    <row r="126" spans="8:34" x14ac:dyDescent="0.25">
      <c r="O126" s="24"/>
      <c r="P126" s="24"/>
      <c r="AG126" s="83"/>
    </row>
    <row r="127" spans="8:34" x14ac:dyDescent="0.25">
      <c r="O127" s="24"/>
      <c r="P127" s="24"/>
      <c r="AG127" s="83"/>
    </row>
    <row r="128" spans="8:34" x14ac:dyDescent="0.25">
      <c r="O128" s="24"/>
      <c r="P128" s="24"/>
      <c r="AG128" s="83"/>
    </row>
    <row r="129" spans="15:33" x14ac:dyDescent="0.25">
      <c r="O129" s="24"/>
      <c r="P129" s="24"/>
      <c r="AG129" s="83"/>
    </row>
    <row r="130" spans="15:33" x14ac:dyDescent="0.25">
      <c r="O130" s="24"/>
      <c r="P130" s="24"/>
      <c r="AG130" s="83"/>
    </row>
    <row r="131" spans="15:33" x14ac:dyDescent="0.25">
      <c r="O131" s="24"/>
      <c r="P131" s="24"/>
      <c r="AG131" s="83"/>
    </row>
    <row r="132" spans="15:33" x14ac:dyDescent="0.25">
      <c r="O132" s="24"/>
      <c r="P132" s="24"/>
      <c r="AG132" s="83"/>
    </row>
    <row r="133" spans="15:33" x14ac:dyDescent="0.25">
      <c r="O133" s="24"/>
      <c r="P133" s="24"/>
      <c r="AG133" s="83"/>
    </row>
    <row r="134" spans="15:33" x14ac:dyDescent="0.25">
      <c r="O134" s="24"/>
      <c r="P134" s="24"/>
      <c r="AG134" s="83"/>
    </row>
    <row r="135" spans="15:33" x14ac:dyDescent="0.25">
      <c r="O135" s="24"/>
      <c r="P135" s="24"/>
      <c r="AG135" s="83"/>
    </row>
    <row r="136" spans="15:33" x14ac:dyDescent="0.25">
      <c r="O136" s="24"/>
      <c r="P136" s="24"/>
      <c r="AG136" s="83"/>
    </row>
    <row r="137" spans="15:33" x14ac:dyDescent="0.25">
      <c r="O137" s="24"/>
      <c r="P137" s="24"/>
      <c r="AG137" s="83"/>
    </row>
    <row r="138" spans="15:33" x14ac:dyDescent="0.25">
      <c r="O138" s="24"/>
      <c r="P138" s="24"/>
      <c r="AG138" s="83"/>
    </row>
    <row r="139" spans="15:33" x14ac:dyDescent="0.25">
      <c r="O139" s="24"/>
      <c r="P139" s="24"/>
      <c r="AG139" s="83"/>
    </row>
    <row r="140" spans="15:33" x14ac:dyDescent="0.25">
      <c r="O140" s="24"/>
      <c r="P140" s="24"/>
      <c r="AG140" s="83"/>
    </row>
    <row r="141" spans="15:33" x14ac:dyDescent="0.25">
      <c r="O141" s="24"/>
      <c r="P141" s="24"/>
      <c r="AG141" s="83"/>
    </row>
    <row r="142" spans="15:33" x14ac:dyDescent="0.25">
      <c r="O142" s="24"/>
      <c r="P142" s="24"/>
      <c r="AG142" s="83"/>
    </row>
    <row r="143" spans="15:33" x14ac:dyDescent="0.25">
      <c r="O143" s="24"/>
      <c r="P143" s="24"/>
      <c r="AG143" s="83"/>
    </row>
    <row r="144" spans="15:33" x14ac:dyDescent="0.25">
      <c r="O144" s="24"/>
      <c r="P144" s="24"/>
      <c r="AG144" s="83"/>
    </row>
    <row r="145" spans="15:33" x14ac:dyDescent="0.25">
      <c r="O145" s="24"/>
      <c r="P145" s="24"/>
      <c r="AG145" s="83"/>
    </row>
    <row r="146" spans="15:33" x14ac:dyDescent="0.25">
      <c r="O146" s="24"/>
      <c r="P146" s="24"/>
      <c r="AG146" s="83"/>
    </row>
    <row r="147" spans="15:33" x14ac:dyDescent="0.25">
      <c r="O147" s="24"/>
      <c r="P147" s="24"/>
      <c r="AG147" s="83"/>
    </row>
    <row r="148" spans="15:33" x14ac:dyDescent="0.25">
      <c r="O148" s="24"/>
      <c r="P148" s="24"/>
      <c r="AG148" s="83"/>
    </row>
    <row r="149" spans="15:33" ht="13.15" customHeight="1" x14ac:dyDescent="0.25">
      <c r="O149" s="24"/>
      <c r="P149" s="24"/>
      <c r="AG149" s="83"/>
    </row>
    <row r="150" spans="15:33" x14ac:dyDescent="0.25">
      <c r="O150" s="24"/>
      <c r="P150" s="24"/>
      <c r="AG150" s="83"/>
    </row>
    <row r="151" spans="15:33" x14ac:dyDescent="0.25">
      <c r="O151" s="24"/>
      <c r="P151" s="24"/>
      <c r="AG151" s="83"/>
    </row>
    <row r="152" spans="15:33" x14ac:dyDescent="0.25">
      <c r="O152" s="24"/>
      <c r="P152" s="24"/>
      <c r="AG152" s="83"/>
    </row>
    <row r="153" spans="15:33" x14ac:dyDescent="0.25">
      <c r="O153" s="24"/>
      <c r="P153" s="24"/>
      <c r="AG153" s="83"/>
    </row>
    <row r="154" spans="15:33" x14ac:dyDescent="0.25">
      <c r="O154" s="24"/>
      <c r="P154" s="24"/>
      <c r="AG154" s="83"/>
    </row>
    <row r="155" spans="15:33" x14ac:dyDescent="0.25">
      <c r="O155" s="24"/>
      <c r="P155" s="24"/>
      <c r="AG155" s="83"/>
    </row>
    <row r="156" spans="15:33" x14ac:dyDescent="0.25">
      <c r="O156" s="24"/>
      <c r="P156" s="24"/>
      <c r="AG156" s="83"/>
    </row>
    <row r="157" spans="15:33" x14ac:dyDescent="0.25">
      <c r="O157" s="24"/>
      <c r="P157" s="24"/>
      <c r="AG157" s="83"/>
    </row>
    <row r="158" spans="15:33" ht="13.9" customHeight="1" x14ac:dyDescent="0.25">
      <c r="O158" s="24"/>
      <c r="P158" s="24"/>
      <c r="AG158" s="83"/>
    </row>
    <row r="159" spans="15:33" x14ac:dyDescent="0.25">
      <c r="O159" s="24"/>
      <c r="P159" s="24"/>
      <c r="AG159" s="83"/>
    </row>
    <row r="160" spans="15:33" x14ac:dyDescent="0.25">
      <c r="O160" s="24"/>
      <c r="P160" s="24"/>
      <c r="AG160" s="83"/>
    </row>
    <row r="161" spans="15:33" x14ac:dyDescent="0.25">
      <c r="O161" s="24"/>
      <c r="P161" s="24"/>
      <c r="AG161" s="83"/>
    </row>
    <row r="162" spans="15:33" x14ac:dyDescent="0.25">
      <c r="O162" s="24"/>
      <c r="P162" s="24"/>
      <c r="AG162" s="83"/>
    </row>
    <row r="163" spans="15:33" x14ac:dyDescent="0.25">
      <c r="O163" s="24"/>
      <c r="P163" s="24"/>
      <c r="AG163" s="83"/>
    </row>
    <row r="164" spans="15:33" x14ac:dyDescent="0.25">
      <c r="O164" s="24"/>
      <c r="P164" s="24"/>
      <c r="AG164" s="83"/>
    </row>
    <row r="165" spans="15:33" x14ac:dyDescent="0.25">
      <c r="O165" s="24"/>
      <c r="P165" s="24"/>
      <c r="AG165" s="83"/>
    </row>
    <row r="166" spans="15:33" x14ac:dyDescent="0.25">
      <c r="O166" s="24"/>
      <c r="P166" s="24"/>
      <c r="AG166" s="83"/>
    </row>
    <row r="167" spans="15:33" x14ac:dyDescent="0.25">
      <c r="O167" s="24"/>
      <c r="P167" s="24"/>
      <c r="AG167" s="83"/>
    </row>
    <row r="168" spans="15:33" x14ac:dyDescent="0.25">
      <c r="O168" s="24"/>
      <c r="P168" s="24"/>
      <c r="AG168" s="83"/>
    </row>
    <row r="169" spans="15:33" x14ac:dyDescent="0.25">
      <c r="O169" s="24"/>
      <c r="P169" s="24"/>
      <c r="AG169" s="83"/>
    </row>
    <row r="170" spans="15:33" x14ac:dyDescent="0.25">
      <c r="O170" s="24"/>
      <c r="P170" s="24"/>
      <c r="AG170" s="83"/>
    </row>
    <row r="171" spans="15:33" x14ac:dyDescent="0.25">
      <c r="O171" s="24"/>
      <c r="P171" s="24"/>
      <c r="AG171" s="83"/>
    </row>
    <row r="172" spans="15:33" x14ac:dyDescent="0.25">
      <c r="O172" s="24"/>
      <c r="P172" s="24"/>
      <c r="AG172" s="83"/>
    </row>
    <row r="173" spans="15:33" x14ac:dyDescent="0.25">
      <c r="O173" s="24"/>
      <c r="P173" s="24"/>
      <c r="AG173" s="83"/>
    </row>
    <row r="174" spans="15:33" x14ac:dyDescent="0.25">
      <c r="O174" s="24"/>
      <c r="P174" s="24"/>
      <c r="AG174" s="83"/>
    </row>
    <row r="175" spans="15:33" x14ac:dyDescent="0.25">
      <c r="O175" s="24"/>
      <c r="P175" s="24"/>
      <c r="AG175" s="83"/>
    </row>
    <row r="176" spans="15:33" x14ac:dyDescent="0.25">
      <c r="O176" s="24"/>
      <c r="P176" s="24"/>
      <c r="AG176" s="83"/>
    </row>
    <row r="177" spans="15:33" x14ac:dyDescent="0.25">
      <c r="O177" s="24"/>
      <c r="P177" s="24"/>
      <c r="AG177" s="83"/>
    </row>
    <row r="178" spans="15:33" x14ac:dyDescent="0.25">
      <c r="O178" s="24"/>
      <c r="P178" s="24"/>
      <c r="AG178" s="83"/>
    </row>
    <row r="179" spans="15:33" x14ac:dyDescent="0.25">
      <c r="O179" s="24"/>
      <c r="P179" s="24"/>
      <c r="AG179" s="83"/>
    </row>
    <row r="180" spans="15:33" x14ac:dyDescent="0.25">
      <c r="O180" s="24"/>
      <c r="P180" s="24"/>
      <c r="AG180" s="83"/>
    </row>
    <row r="181" spans="15:33" x14ac:dyDescent="0.25">
      <c r="O181" s="24"/>
      <c r="P181" s="24"/>
      <c r="AG181" s="83"/>
    </row>
    <row r="182" spans="15:33" x14ac:dyDescent="0.25">
      <c r="O182" s="24"/>
      <c r="P182" s="24"/>
      <c r="AG182" s="83"/>
    </row>
    <row r="183" spans="15:33" x14ac:dyDescent="0.25">
      <c r="O183" s="24"/>
      <c r="P183" s="24"/>
      <c r="AG183" s="83"/>
    </row>
    <row r="184" spans="15:33" x14ac:dyDescent="0.25">
      <c r="O184" s="24"/>
      <c r="P184" s="24"/>
      <c r="AG184" s="83"/>
    </row>
    <row r="185" spans="15:33" x14ac:dyDescent="0.25">
      <c r="O185" s="24"/>
      <c r="P185" s="24"/>
      <c r="AG185" s="83"/>
    </row>
    <row r="186" spans="15:33" x14ac:dyDescent="0.25">
      <c r="O186" s="24"/>
      <c r="P186" s="24"/>
      <c r="AG186" s="83"/>
    </row>
    <row r="187" spans="15:33" x14ac:dyDescent="0.25">
      <c r="O187" s="24"/>
      <c r="P187" s="24"/>
      <c r="AG187" s="83"/>
    </row>
    <row r="188" spans="15:33" x14ac:dyDescent="0.25">
      <c r="O188" s="24"/>
      <c r="P188" s="24"/>
      <c r="AG188" s="83"/>
    </row>
    <row r="189" spans="15:33" x14ac:dyDescent="0.25">
      <c r="O189" s="24"/>
      <c r="P189" s="24"/>
      <c r="AG189" s="83"/>
    </row>
    <row r="190" spans="15:33" x14ac:dyDescent="0.25">
      <c r="O190" s="24"/>
      <c r="P190" s="24"/>
      <c r="AG190" s="83"/>
    </row>
    <row r="191" spans="15:33" x14ac:dyDescent="0.25">
      <c r="O191" s="24"/>
      <c r="P191" s="24"/>
      <c r="AG191" s="83"/>
    </row>
    <row r="192" spans="15:33" x14ac:dyDescent="0.25">
      <c r="O192" s="24"/>
      <c r="P192" s="24"/>
      <c r="AG192" s="83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2026-09-23T10:50:08Z</dcterms:modified>
</cp:coreProperties>
</file>