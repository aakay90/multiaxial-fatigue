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gros\PycharmProjects\multiaxial-fatigue\Experimental_Data\"/>
    </mc:Choice>
  </mc:AlternateContent>
  <xr:revisionPtr revIDLastSave="0" documentId="13_ncr:1_{D4502DF4-4117-463A-82D1-9F7C559E07B0}" xr6:coauthVersionLast="47" xr6:coauthVersionMax="47" xr10:uidLastSave="{00000000-0000-0000-0000-000000000000}"/>
  <bookViews>
    <workbookView xWindow="-108" yWindow="-108" windowWidth="30936" windowHeight="16776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2" l="1"/>
  <c r="P49" i="2"/>
  <c r="Q49" i="2"/>
  <c r="X49" i="2"/>
  <c r="Y49" i="2"/>
  <c r="Z49" i="2"/>
  <c r="AH49" i="2"/>
  <c r="AI49" i="2"/>
  <c r="AJ49" i="2"/>
  <c r="AK49" i="2"/>
  <c r="AL49" i="2"/>
  <c r="AM49" i="2"/>
  <c r="AN49" i="2"/>
  <c r="AO49" i="2"/>
  <c r="AP49" i="2"/>
  <c r="AQ49" i="2"/>
  <c r="O48" i="2"/>
  <c r="P48" i="2"/>
  <c r="Q48" i="2"/>
  <c r="X48" i="2"/>
  <c r="Y48" i="2"/>
  <c r="Z48" i="2"/>
  <c r="AH48" i="2"/>
  <c r="AI48" i="2"/>
  <c r="AJ48" i="2"/>
  <c r="AK48" i="2"/>
  <c r="AL48" i="2"/>
  <c r="AM48" i="2"/>
  <c r="AN48" i="2"/>
  <c r="AO48" i="2"/>
  <c r="AP48" i="2"/>
  <c r="AQ48" i="2"/>
  <c r="O47" i="2"/>
  <c r="P47" i="2"/>
  <c r="Q47" i="2"/>
  <c r="X47" i="2"/>
  <c r="Y47" i="2"/>
  <c r="Z47" i="2"/>
  <c r="AH47" i="2"/>
  <c r="AI47" i="2"/>
  <c r="AJ47" i="2"/>
  <c r="AK47" i="2"/>
  <c r="AL47" i="2"/>
  <c r="AM47" i="2"/>
  <c r="AN47" i="2"/>
  <c r="AO47" i="2"/>
  <c r="AP47" i="2"/>
  <c r="AQ47" i="2"/>
  <c r="O46" i="2"/>
  <c r="P46" i="2"/>
  <c r="Q46" i="2"/>
  <c r="X46" i="2"/>
  <c r="Y46" i="2"/>
  <c r="Z46" i="2"/>
  <c r="AH46" i="2"/>
  <c r="AI46" i="2"/>
  <c r="AJ46" i="2"/>
  <c r="AK46" i="2"/>
  <c r="AL46" i="2"/>
  <c r="AM46" i="2"/>
  <c r="AN46" i="2"/>
  <c r="AO46" i="2"/>
  <c r="AP46" i="2"/>
  <c r="AQ46" i="2"/>
  <c r="O45" i="2"/>
  <c r="P45" i="2"/>
  <c r="Q45" i="2"/>
  <c r="X45" i="2"/>
  <c r="Y45" i="2"/>
  <c r="Z45" i="2"/>
  <c r="AH45" i="2"/>
  <c r="AI45" i="2"/>
  <c r="AJ45" i="2"/>
  <c r="AK45" i="2"/>
  <c r="AL45" i="2"/>
  <c r="AM45" i="2"/>
  <c r="AP45" i="2"/>
  <c r="AQ45" i="2"/>
  <c r="O44" i="2"/>
  <c r="AK44" i="2" s="1"/>
  <c r="P44" i="2"/>
  <c r="Q44" i="2"/>
  <c r="X44" i="2"/>
  <c r="Y44" i="2"/>
  <c r="Z44" i="2"/>
  <c r="AH44" i="2"/>
  <c r="AI44" i="2"/>
  <c r="AJ44" i="2"/>
  <c r="AL44" i="2"/>
  <c r="AM44" i="2"/>
  <c r="AP44" i="2"/>
  <c r="AQ44" i="2"/>
  <c r="O43" i="2"/>
  <c r="P43" i="2"/>
  <c r="Q43" i="2"/>
  <c r="X43" i="2"/>
  <c r="Y43" i="2"/>
  <c r="Z43" i="2"/>
  <c r="AH43" i="2"/>
  <c r="AI43" i="2"/>
  <c r="AL43" i="2"/>
  <c r="AM43" i="2"/>
  <c r="AP43" i="2"/>
  <c r="AQ43" i="2"/>
  <c r="O42" i="2"/>
  <c r="P42" i="2"/>
  <c r="Q42" i="2"/>
  <c r="X42" i="2"/>
  <c r="Y42" i="2"/>
  <c r="Z42" i="2"/>
  <c r="AH42" i="2"/>
  <c r="AI42" i="2"/>
  <c r="AL42" i="2"/>
  <c r="AM42" i="2"/>
  <c r="AP42" i="2"/>
  <c r="AQ42" i="2"/>
  <c r="O41" i="2"/>
  <c r="P41" i="2"/>
  <c r="Q41" i="2"/>
  <c r="X41" i="2"/>
  <c r="Y41" i="2"/>
  <c r="Z41" i="2"/>
  <c r="AH41" i="2"/>
  <c r="AI41" i="2"/>
  <c r="AL41" i="2"/>
  <c r="AM41" i="2"/>
  <c r="AP41" i="2"/>
  <c r="AQ41" i="2"/>
  <c r="O40" i="2"/>
  <c r="P40" i="2"/>
  <c r="Q40" i="2"/>
  <c r="X40" i="2"/>
  <c r="Y40" i="2"/>
  <c r="Z40" i="2"/>
  <c r="AH40" i="2"/>
  <c r="AI40" i="2"/>
  <c r="AL40" i="2"/>
  <c r="AM40" i="2"/>
  <c r="AP40" i="2"/>
  <c r="AQ40" i="2"/>
  <c r="O39" i="2"/>
  <c r="P39" i="2"/>
  <c r="Q39" i="2"/>
  <c r="X39" i="2"/>
  <c r="Y39" i="2"/>
  <c r="Z39" i="2"/>
  <c r="AH39" i="2"/>
  <c r="AI39" i="2"/>
  <c r="AL39" i="2"/>
  <c r="AM39" i="2"/>
  <c r="AP39" i="2"/>
  <c r="AQ39" i="2"/>
  <c r="O38" i="2"/>
  <c r="P38" i="2"/>
  <c r="Q38" i="2"/>
  <c r="X38" i="2"/>
  <c r="Y38" i="2"/>
  <c r="Z38" i="2"/>
  <c r="AH38" i="2"/>
  <c r="AI38" i="2"/>
  <c r="AL38" i="2"/>
  <c r="AM38" i="2"/>
  <c r="AP38" i="2"/>
  <c r="AQ38" i="2"/>
  <c r="O37" i="2"/>
  <c r="P37" i="2"/>
  <c r="Q37" i="2"/>
  <c r="X37" i="2"/>
  <c r="Y37" i="2"/>
  <c r="Z37" i="2"/>
  <c r="AH37" i="2"/>
  <c r="AI37" i="2"/>
  <c r="AL37" i="2"/>
  <c r="AM37" i="2"/>
  <c r="AP37" i="2"/>
  <c r="AQ37" i="2"/>
  <c r="O36" i="2"/>
  <c r="P36" i="2"/>
  <c r="Q36" i="2"/>
  <c r="X36" i="2"/>
  <c r="Y36" i="2"/>
  <c r="Z36" i="2"/>
  <c r="AH36" i="2"/>
  <c r="AI36" i="2"/>
  <c r="AL36" i="2"/>
  <c r="AM36" i="2"/>
  <c r="AP36" i="2"/>
  <c r="AQ36" i="2"/>
  <c r="O35" i="2"/>
  <c r="P35" i="2"/>
  <c r="Q35" i="2"/>
  <c r="X35" i="2"/>
  <c r="Y35" i="2"/>
  <c r="Z35" i="2"/>
  <c r="AH35" i="2"/>
  <c r="AI35" i="2"/>
  <c r="AL35" i="2"/>
  <c r="AM35" i="2"/>
  <c r="AP35" i="2"/>
  <c r="AQ35" i="2"/>
  <c r="O34" i="2"/>
  <c r="P34" i="2"/>
  <c r="Q34" i="2"/>
  <c r="X34" i="2"/>
  <c r="Y34" i="2"/>
  <c r="Z34" i="2"/>
  <c r="AH34" i="2"/>
  <c r="AI34" i="2"/>
  <c r="AL34" i="2"/>
  <c r="AM34" i="2"/>
  <c r="AP34" i="2"/>
  <c r="AQ34" i="2"/>
  <c r="O33" i="2"/>
  <c r="P33" i="2"/>
  <c r="Q33" i="2"/>
  <c r="X33" i="2"/>
  <c r="Y33" i="2"/>
  <c r="Z33" i="2"/>
  <c r="AH33" i="2"/>
  <c r="AI33" i="2"/>
  <c r="AL33" i="2"/>
  <c r="AM33" i="2"/>
  <c r="AP33" i="2"/>
  <c r="AQ33" i="2"/>
  <c r="O32" i="2"/>
  <c r="P32" i="2"/>
  <c r="Q32" i="2"/>
  <c r="X32" i="2"/>
  <c r="Y32" i="2"/>
  <c r="Z32" i="2"/>
  <c r="AH32" i="2"/>
  <c r="AI32" i="2"/>
  <c r="AL32" i="2"/>
  <c r="AM32" i="2"/>
  <c r="AP32" i="2"/>
  <c r="AQ32" i="2"/>
  <c r="O31" i="2"/>
  <c r="P31" i="2"/>
  <c r="Q31" i="2"/>
  <c r="X31" i="2"/>
  <c r="Y31" i="2"/>
  <c r="Z31" i="2"/>
  <c r="AH31" i="2"/>
  <c r="AI31" i="2"/>
  <c r="AL31" i="2"/>
  <c r="AM31" i="2"/>
  <c r="AP31" i="2"/>
  <c r="AQ31" i="2"/>
  <c r="O30" i="2"/>
  <c r="P30" i="2"/>
  <c r="Q30" i="2"/>
  <c r="X30" i="2"/>
  <c r="Y30" i="2"/>
  <c r="Z30" i="2"/>
  <c r="AH30" i="2"/>
  <c r="AI30" i="2"/>
  <c r="AL30" i="2"/>
  <c r="AM30" i="2"/>
  <c r="AP30" i="2"/>
  <c r="AQ30" i="2"/>
  <c r="O29" i="2"/>
  <c r="P29" i="2"/>
  <c r="Q29" i="2"/>
  <c r="X29" i="2"/>
  <c r="Y29" i="2"/>
  <c r="Z29" i="2"/>
  <c r="AH29" i="2"/>
  <c r="AI29" i="2"/>
  <c r="AL29" i="2"/>
  <c r="AM29" i="2"/>
  <c r="AP29" i="2"/>
  <c r="AQ29" i="2"/>
  <c r="O28" i="2"/>
  <c r="P28" i="2"/>
  <c r="Q28" i="2"/>
  <c r="X28" i="2"/>
  <c r="Y28" i="2"/>
  <c r="Z28" i="2"/>
  <c r="AH28" i="2"/>
  <c r="AI28" i="2"/>
  <c r="AL28" i="2"/>
  <c r="AM28" i="2"/>
  <c r="AP28" i="2"/>
  <c r="AQ28" i="2"/>
  <c r="O27" i="2"/>
  <c r="P27" i="2"/>
  <c r="Q27" i="2"/>
  <c r="X27" i="2"/>
  <c r="Y27" i="2"/>
  <c r="Z27" i="2"/>
  <c r="AH27" i="2"/>
  <c r="AI27" i="2"/>
  <c r="AL27" i="2"/>
  <c r="AM27" i="2"/>
  <c r="AP27" i="2"/>
  <c r="AQ27" i="2"/>
  <c r="O26" i="2"/>
  <c r="P26" i="2"/>
  <c r="Q26" i="2"/>
  <c r="X26" i="2"/>
  <c r="Y26" i="2"/>
  <c r="Z26" i="2"/>
  <c r="AH26" i="2"/>
  <c r="AI26" i="2"/>
  <c r="AL26" i="2"/>
  <c r="AM26" i="2"/>
  <c r="AP26" i="2"/>
  <c r="AQ26" i="2"/>
  <c r="O25" i="2"/>
  <c r="P25" i="2"/>
  <c r="Q25" i="2"/>
  <c r="X25" i="2"/>
  <c r="Y25" i="2"/>
  <c r="Z25" i="2"/>
  <c r="AH25" i="2"/>
  <c r="AI25" i="2"/>
  <c r="AL25" i="2"/>
  <c r="AM25" i="2"/>
  <c r="AP25" i="2"/>
  <c r="AQ25" i="2"/>
  <c r="O24" i="2"/>
  <c r="P24" i="2"/>
  <c r="Q24" i="2"/>
  <c r="X24" i="2"/>
  <c r="Y24" i="2"/>
  <c r="Z24" i="2"/>
  <c r="AH24" i="2"/>
  <c r="AI24" i="2"/>
  <c r="AL24" i="2"/>
  <c r="AM24" i="2"/>
  <c r="AP24" i="2"/>
  <c r="AQ24" i="2"/>
  <c r="O23" i="2"/>
  <c r="P23" i="2"/>
  <c r="Q23" i="2"/>
  <c r="X23" i="2"/>
  <c r="Y23" i="2"/>
  <c r="Z23" i="2"/>
  <c r="AH23" i="2"/>
  <c r="AI23" i="2"/>
  <c r="AL23" i="2"/>
  <c r="AM23" i="2"/>
  <c r="AP23" i="2"/>
  <c r="AQ23" i="2"/>
  <c r="O22" i="2"/>
  <c r="P22" i="2"/>
  <c r="Q22" i="2"/>
  <c r="X22" i="2"/>
  <c r="Y22" i="2"/>
  <c r="Z22" i="2"/>
  <c r="AH22" i="2"/>
  <c r="AI22" i="2"/>
  <c r="AL22" i="2"/>
  <c r="AM22" i="2"/>
  <c r="AP22" i="2"/>
  <c r="AQ22" i="2"/>
  <c r="O21" i="2"/>
  <c r="P21" i="2"/>
  <c r="Q21" i="2"/>
  <c r="X21" i="2"/>
  <c r="Y21" i="2"/>
  <c r="Z21" i="2"/>
  <c r="AH21" i="2"/>
  <c r="AI21" i="2"/>
  <c r="AL21" i="2"/>
  <c r="AM21" i="2"/>
  <c r="AP21" i="2"/>
  <c r="AQ21" i="2"/>
  <c r="O20" i="2"/>
  <c r="P20" i="2"/>
  <c r="Q20" i="2"/>
  <c r="X20" i="2"/>
  <c r="Y20" i="2"/>
  <c r="Z20" i="2"/>
  <c r="AH20" i="2"/>
  <c r="AI20" i="2"/>
  <c r="AL20" i="2"/>
  <c r="AM20" i="2"/>
  <c r="AP20" i="2"/>
  <c r="AQ20" i="2"/>
  <c r="O19" i="2"/>
  <c r="P19" i="2"/>
  <c r="Q19" i="2"/>
  <c r="X19" i="2"/>
  <c r="Y19" i="2"/>
  <c r="Z19" i="2"/>
  <c r="AH19" i="2"/>
  <c r="AI19" i="2"/>
  <c r="AL19" i="2"/>
  <c r="AM19" i="2"/>
  <c r="AP19" i="2"/>
  <c r="AQ19" i="2"/>
  <c r="O18" i="2"/>
  <c r="P18" i="2"/>
  <c r="Q18" i="2"/>
  <c r="X18" i="2"/>
  <c r="Y18" i="2"/>
  <c r="Z18" i="2"/>
  <c r="AH18" i="2"/>
  <c r="AI18" i="2"/>
  <c r="AL18" i="2"/>
  <c r="AM18" i="2"/>
  <c r="AP18" i="2"/>
  <c r="AQ18" i="2"/>
  <c r="O17" i="2"/>
  <c r="P17" i="2"/>
  <c r="Q17" i="2"/>
  <c r="X17" i="2"/>
  <c r="Y17" i="2"/>
  <c r="Z17" i="2"/>
  <c r="AH17" i="2"/>
  <c r="AI17" i="2"/>
  <c r="AL17" i="2"/>
  <c r="AM17" i="2"/>
  <c r="AP17" i="2"/>
  <c r="AQ17" i="2"/>
  <c r="O16" i="2"/>
  <c r="P16" i="2"/>
  <c r="Q16" i="2"/>
  <c r="X16" i="2"/>
  <c r="Y16" i="2"/>
  <c r="Z16" i="2"/>
  <c r="AH16" i="2"/>
  <c r="AI16" i="2"/>
  <c r="AL16" i="2"/>
  <c r="AM16" i="2"/>
  <c r="AP16" i="2"/>
  <c r="AQ16" i="2"/>
  <c r="O15" i="2"/>
  <c r="P15" i="2"/>
  <c r="Q15" i="2"/>
  <c r="X15" i="2"/>
  <c r="Y15" i="2"/>
  <c r="Z15" i="2"/>
  <c r="AH15" i="2"/>
  <c r="AI15" i="2"/>
  <c r="AL15" i="2"/>
  <c r="AM15" i="2"/>
  <c r="AP15" i="2"/>
  <c r="AQ15" i="2"/>
  <c r="O14" i="2"/>
  <c r="P14" i="2"/>
  <c r="Q14" i="2"/>
  <c r="X14" i="2"/>
  <c r="Y14" i="2"/>
  <c r="Z14" i="2"/>
  <c r="AH14" i="2"/>
  <c r="AI14" i="2"/>
  <c r="AL14" i="2"/>
  <c r="AM14" i="2"/>
  <c r="AP14" i="2"/>
  <c r="AQ14" i="2"/>
  <c r="O13" i="2"/>
  <c r="P13" i="2"/>
  <c r="Q13" i="2"/>
  <c r="X13" i="2"/>
  <c r="Y13" i="2"/>
  <c r="Z13" i="2"/>
  <c r="AH13" i="2"/>
  <c r="AI13" i="2"/>
  <c r="AL13" i="2"/>
  <c r="AM13" i="2"/>
  <c r="AP13" i="2"/>
  <c r="AQ13" i="2"/>
  <c r="O12" i="2"/>
  <c r="P12" i="2"/>
  <c r="Q12" i="2"/>
  <c r="X12" i="2"/>
  <c r="Y12" i="2"/>
  <c r="Z12" i="2"/>
  <c r="AH12" i="2"/>
  <c r="AI12" i="2"/>
  <c r="AL12" i="2"/>
  <c r="AM12" i="2"/>
  <c r="AP12" i="2"/>
  <c r="AQ12" i="2"/>
  <c r="O11" i="2"/>
  <c r="P11" i="2"/>
  <c r="Q11" i="2"/>
  <c r="X11" i="2"/>
  <c r="Y11" i="2"/>
  <c r="Z11" i="2"/>
  <c r="AH11" i="2"/>
  <c r="AI11" i="2"/>
  <c r="AL11" i="2"/>
  <c r="AM11" i="2"/>
  <c r="AP11" i="2"/>
  <c r="AQ11" i="2"/>
  <c r="O10" i="2"/>
  <c r="P10" i="2"/>
  <c r="Q10" i="2"/>
  <c r="AO10" i="2" s="1"/>
  <c r="X10" i="2"/>
  <c r="Y10" i="2"/>
  <c r="Z10" i="2"/>
  <c r="AH10" i="2"/>
  <c r="AI10" i="2"/>
  <c r="AL10" i="2"/>
  <c r="AM10" i="2"/>
  <c r="AN10" i="2"/>
  <c r="AP10" i="2"/>
  <c r="AQ10" i="2"/>
  <c r="O9" i="2"/>
  <c r="P9" i="2"/>
  <c r="Q9" i="2"/>
  <c r="X9" i="2"/>
  <c r="Y9" i="2"/>
  <c r="Z9" i="2"/>
  <c r="AH9" i="2"/>
  <c r="AI9" i="2"/>
  <c r="AL9" i="2"/>
  <c r="AM9" i="2"/>
  <c r="AP9" i="2"/>
  <c r="AQ9" i="2"/>
  <c r="O8" i="2"/>
  <c r="P8" i="2"/>
  <c r="Q8" i="2"/>
  <c r="X8" i="2"/>
  <c r="Y8" i="2"/>
  <c r="Z8" i="2"/>
  <c r="AH8" i="2"/>
  <c r="AI8" i="2"/>
  <c r="AL8" i="2"/>
  <c r="AM8" i="2"/>
  <c r="AP8" i="2"/>
  <c r="AQ8" i="2"/>
  <c r="O7" i="2"/>
  <c r="P7" i="2"/>
  <c r="Q7" i="2"/>
  <c r="X7" i="2"/>
  <c r="Y7" i="2"/>
  <c r="Z7" i="2"/>
  <c r="AH7" i="2"/>
  <c r="AI7" i="2"/>
  <c r="AL7" i="2"/>
  <c r="AM7" i="2"/>
  <c r="AP7" i="2"/>
  <c r="AQ7" i="2"/>
  <c r="O6" i="2"/>
  <c r="P6" i="2"/>
  <c r="Q6" i="2"/>
  <c r="X6" i="2"/>
  <c r="Y6" i="2"/>
  <c r="Z6" i="2"/>
  <c r="AH6" i="2"/>
  <c r="AI6" i="2"/>
  <c r="AL6" i="2"/>
  <c r="AM6" i="2"/>
  <c r="AP6" i="2"/>
  <c r="AQ6" i="2"/>
  <c r="O5" i="2"/>
  <c r="P5" i="2"/>
  <c r="Q5" i="2"/>
  <c r="X5" i="2"/>
  <c r="Y5" i="2"/>
  <c r="Z5" i="2"/>
  <c r="AH5" i="2"/>
  <c r="AI5" i="2"/>
  <c r="AL5" i="2"/>
  <c r="AM5" i="2"/>
  <c r="AP5" i="2"/>
  <c r="AQ5" i="2"/>
  <c r="O4" i="2"/>
  <c r="P4" i="2"/>
  <c r="Q4" i="2"/>
  <c r="X4" i="2"/>
  <c r="Y4" i="2"/>
  <c r="Z4" i="2"/>
  <c r="AH4" i="2"/>
  <c r="AI4" i="2"/>
  <c r="AL4" i="2"/>
  <c r="AM4" i="2"/>
  <c r="AP4" i="2"/>
  <c r="AQ4" i="2"/>
  <c r="O3" i="2"/>
  <c r="P3" i="2"/>
  <c r="Q3" i="2"/>
  <c r="X3" i="2"/>
  <c r="Y3" i="2"/>
  <c r="Z3" i="2"/>
  <c r="AH3" i="2"/>
  <c r="AI3" i="2"/>
  <c r="AL3" i="2"/>
  <c r="AM3" i="2"/>
  <c r="AP3" i="2"/>
  <c r="AQ3" i="2"/>
  <c r="AQ2" i="2"/>
  <c r="AI2" i="2"/>
  <c r="AH2" i="2"/>
  <c r="Z2" i="2"/>
  <c r="Y2" i="2"/>
  <c r="X2" i="2"/>
  <c r="O2" i="2"/>
  <c r="Q2" i="2"/>
  <c r="AN39" i="2" l="1"/>
  <c r="AO39" i="2"/>
  <c r="AN45" i="2"/>
  <c r="AO45" i="2"/>
  <c r="AN44" i="2"/>
  <c r="AO44" i="2"/>
  <c r="AJ38" i="2"/>
  <c r="AK38" i="2"/>
  <c r="AN38" i="2"/>
  <c r="AO38" i="2"/>
  <c r="AJ43" i="2"/>
  <c r="AK43" i="2"/>
  <c r="AN43" i="2"/>
  <c r="AO43" i="2"/>
  <c r="AJ42" i="2"/>
  <c r="AK42" i="2"/>
  <c r="AN42" i="2"/>
  <c r="AO42" i="2"/>
  <c r="AJ37" i="2"/>
  <c r="AK37" i="2"/>
  <c r="AO37" i="2"/>
  <c r="AN37" i="2"/>
  <c r="AJ41" i="2"/>
  <c r="AK41" i="2"/>
  <c r="AN41" i="2"/>
  <c r="AO41" i="2"/>
  <c r="AJ36" i="2"/>
  <c r="AK36" i="2"/>
  <c r="AJ40" i="2"/>
  <c r="AK40" i="2"/>
  <c r="AN40" i="2"/>
  <c r="AO40" i="2"/>
  <c r="AJ39" i="2"/>
  <c r="AK39" i="2"/>
  <c r="AJ35" i="2"/>
  <c r="AK35" i="2"/>
  <c r="AJ27" i="2"/>
  <c r="AK27" i="2"/>
  <c r="AN36" i="2"/>
  <c r="AO36" i="2"/>
  <c r="AN35" i="2"/>
  <c r="AO35" i="2"/>
  <c r="AJ30" i="2"/>
  <c r="AK30" i="2"/>
  <c r="AO30" i="2"/>
  <c r="AN30" i="2"/>
  <c r="AJ34" i="2"/>
  <c r="AK34" i="2"/>
  <c r="AN34" i="2"/>
  <c r="AO34" i="2"/>
  <c r="AJ33" i="2"/>
  <c r="AK33" i="2"/>
  <c r="AN33" i="2"/>
  <c r="AO33" i="2"/>
  <c r="AN29" i="2"/>
  <c r="AO29" i="2"/>
  <c r="AJ32" i="2"/>
  <c r="AK32" i="2"/>
  <c r="AN32" i="2"/>
  <c r="AO32" i="2"/>
  <c r="AJ28" i="2"/>
  <c r="AK28" i="2"/>
  <c r="AJ31" i="2"/>
  <c r="AK31" i="2"/>
  <c r="AN31" i="2"/>
  <c r="AO31" i="2"/>
  <c r="AO28" i="2"/>
  <c r="AN28" i="2"/>
  <c r="AO19" i="2"/>
  <c r="AN19" i="2"/>
  <c r="AJ29" i="2"/>
  <c r="AK29" i="2"/>
  <c r="AJ26" i="2"/>
  <c r="AK26" i="2"/>
  <c r="AN27" i="2"/>
  <c r="AO27" i="2"/>
  <c r="AN26" i="2"/>
  <c r="AO26" i="2"/>
  <c r="AJ25" i="2"/>
  <c r="AK25" i="2"/>
  <c r="AN25" i="2"/>
  <c r="AO25" i="2"/>
  <c r="AJ24" i="2"/>
  <c r="AK24" i="2"/>
  <c r="AN24" i="2"/>
  <c r="AO24" i="2"/>
  <c r="AJ21" i="2"/>
  <c r="AK21" i="2"/>
  <c r="AN21" i="2"/>
  <c r="AO21" i="2"/>
  <c r="AJ23" i="2"/>
  <c r="AK23" i="2"/>
  <c r="AN23" i="2"/>
  <c r="AO23" i="2"/>
  <c r="AJ22" i="2"/>
  <c r="AK22" i="2"/>
  <c r="AN22" i="2"/>
  <c r="AO22" i="2"/>
  <c r="AN20" i="2"/>
  <c r="AO20" i="2"/>
  <c r="AJ19" i="2"/>
  <c r="AK19" i="2"/>
  <c r="AJ20" i="2"/>
  <c r="AK20" i="2"/>
  <c r="AJ18" i="2"/>
  <c r="AK18" i="2"/>
  <c r="AJ17" i="2"/>
  <c r="AK17" i="2"/>
  <c r="AN18" i="2"/>
  <c r="AO18" i="2"/>
  <c r="AN17" i="2"/>
  <c r="AO17" i="2"/>
  <c r="AJ16" i="2"/>
  <c r="AK16" i="2"/>
  <c r="AN16" i="2"/>
  <c r="AO16" i="2"/>
  <c r="AJ15" i="2"/>
  <c r="AK15" i="2"/>
  <c r="AN15" i="2"/>
  <c r="AO15" i="2"/>
  <c r="AJ11" i="2"/>
  <c r="AK11" i="2"/>
  <c r="AJ14" i="2"/>
  <c r="AK14" i="2"/>
  <c r="AN14" i="2"/>
  <c r="AO14" i="2"/>
  <c r="AN11" i="2"/>
  <c r="AO11" i="2"/>
  <c r="AJ13" i="2"/>
  <c r="AK13" i="2"/>
  <c r="AN13" i="2"/>
  <c r="AO13" i="2"/>
  <c r="AJ10" i="2"/>
  <c r="AK10" i="2"/>
  <c r="AJ12" i="2"/>
  <c r="AK12" i="2"/>
  <c r="AN12" i="2"/>
  <c r="AO12" i="2"/>
  <c r="AK8" i="2"/>
  <c r="AJ8" i="2"/>
  <c r="AJ9" i="2"/>
  <c r="AK9" i="2"/>
  <c r="AN9" i="2"/>
  <c r="AO9" i="2"/>
  <c r="AN8" i="2"/>
  <c r="AO8" i="2"/>
  <c r="AN5" i="2"/>
  <c r="AO5" i="2"/>
  <c r="AJ7" i="2"/>
  <c r="AK7" i="2"/>
  <c r="AN7" i="2"/>
  <c r="AO7" i="2"/>
  <c r="AJ5" i="2"/>
  <c r="AK5" i="2"/>
  <c r="AJ6" i="2"/>
  <c r="AK6" i="2"/>
  <c r="AN6" i="2"/>
  <c r="AO6" i="2"/>
  <c r="AJ4" i="2"/>
  <c r="AK4" i="2"/>
  <c r="AN4" i="2"/>
  <c r="AO4" i="2"/>
  <c r="AK3" i="2"/>
  <c r="AJ3" i="2"/>
  <c r="AO3" i="2"/>
  <c r="AN3" i="2"/>
  <c r="AJ2" i="2"/>
  <c r="AK2" i="2"/>
  <c r="AO2" i="2"/>
  <c r="AN2" i="2"/>
  <c r="AP2" i="2" l="1"/>
  <c r="P2" i="2"/>
  <c r="M4" i="1"/>
  <c r="M3" i="1"/>
  <c r="AM2" i="2" l="1"/>
  <c r="AL2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Tommaso Grossi</author>
  </authors>
  <commentList>
    <comment ref="C2" authorId="0" shapeId="0" xr:uid="{B6ADA895-921E-4E20-BC10-649D1D5C0224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" authorId="0" shapeId="0" xr:uid="{ACE73BAB-BECB-429C-823A-F73F8E36B3CC}">
      <text>
        <r>
          <rPr>
            <b/>
            <sz val="9"/>
            <color indexed="81"/>
            <rFont val="Tahoma"/>
            <charset val="1"/>
          </rPr>
          <t>Berto et al. batch, kept apart from Meneghetti/Delahay Ti6Al4V (decision d055). FFEMS 38 (2015) 503-517.</t>
        </r>
      </text>
    </comment>
    <comment ref="E2" authorId="0" shapeId="0" xr:uid="{5574A89D-9A5D-4063-AAA4-A7383ED9A535}">
      <text>
        <r>
          <rPr>
            <b/>
            <sz val="9"/>
            <color indexed="81"/>
            <rFont val="Tahoma"/>
            <charset val="1"/>
          </rPr>
          <t>Berto 2015, text p. 9 (E = 110 GPa, nu = 0.3); previous workbook row: empty.</t>
        </r>
      </text>
    </comment>
    <comment ref="F2" authorId="0" shapeId="0" xr:uid="{97A14563-F249-4F1F-BC83-E468902FA9AD}">
      <text>
        <r>
          <rPr>
            <b/>
            <sz val="9"/>
            <color indexed="81"/>
            <rFont val="Tahoma"/>
            <charset val="1"/>
          </rPr>
          <t>Berto 2015, text p. 9; previous workbook row: empty.</t>
        </r>
      </text>
    </comment>
    <comment ref="G2" authorId="0" shapeId="0" xr:uid="{CD08F5B8-5777-49EC-99D6-315DB2E6E911}">
      <text>
        <r>
          <rPr>
            <b/>
            <sz val="9"/>
            <color indexed="81"/>
            <rFont val="Tahoma"/>
            <charset val="1"/>
          </rPr>
          <t>Berto 2015, Table 1 p. 3.</t>
        </r>
      </text>
    </comment>
    <comment ref="H2" authorId="0" shapeId="0" xr:uid="{C9F1C010-0AD4-4804-BDB0-BCA0610E2A34}">
      <text>
        <r>
          <rPr>
            <b/>
            <sz val="9"/>
            <color indexed="81"/>
            <rFont val="Tahoma"/>
            <charset val="1"/>
          </rPr>
          <t>Berto 2015, Table 1 p. 3.</t>
        </r>
      </text>
    </comment>
    <comment ref="I2" authorId="0" shapeId="0" xr:uid="{EA58D10B-A6DE-4057-B5F4-2B7051FABBDE}">
      <text>
        <r>
          <rPr>
            <b/>
            <sz val="9"/>
            <color indexed="81"/>
            <rFont val="Tahoma"/>
            <charset val="1"/>
          </rPr>
          <t>Berto 2015, Table 3 p. 5: tension R = -1, amplitude at 2e6 cycles.</t>
        </r>
      </text>
    </comment>
    <comment ref="J2" authorId="0" shapeId="0" xr:uid="{095ED816-5905-4215-A334-A49E17670894}">
      <text>
        <r>
          <rPr>
            <b/>
            <sz val="9"/>
            <color indexed="81"/>
            <rFont val="Tahoma"/>
            <charset val="1"/>
          </rPr>
          <t>Berto 2015, Table 3 p. 5: torsion R = -1, amplitude at 2e6 cycles.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  <author>Tommaso Grossi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  <comment ref="B2" authorId="2" shapeId="0" xr:uid="{6A5B0692-3118-42D1-960B-B23DF30DB738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" authorId="2" shapeId="0" xr:uid="{324CA46C-07CF-419A-81D6-C705F6A4495D}">
      <text>
        <r>
          <rPr>
            <b/>
            <sz val="9"/>
            <color indexed="81"/>
            <rFont val="Tahoma"/>
            <charset val="1"/>
          </rPr>
          <t>Copied from Ti6Al4V_andrea_(AXIAL).xlsx row 28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3" authorId="2" shapeId="0" xr:uid="{6902BF70-C266-4E51-9ECB-962F38A6C93B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" authorId="2" shapeId="0" xr:uid="{31A52249-A6E8-46CD-81FD-614F8D2551EC}">
      <text>
        <r>
          <rPr>
            <b/>
            <sz val="9"/>
            <color indexed="81"/>
            <rFont val="Tahoma"/>
            <charset val="1"/>
          </rPr>
          <t>Copied from Ti6Al4V_andrea_(AXIAL).xlsx row 29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4" authorId="2" shapeId="0" xr:uid="{FD6DB148-A93E-4875-B61A-2B031A4F98BF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" authorId="2" shapeId="0" xr:uid="{3336261A-4A7D-43F4-9DB9-78A791B30883}">
      <text>
        <r>
          <rPr>
            <b/>
            <sz val="9"/>
            <color indexed="81"/>
            <rFont val="Tahoma"/>
            <charset val="1"/>
          </rPr>
          <t>Copied from Ti6Al4V_andrea_(AXIAL).xlsx row 30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5" authorId="2" shapeId="0" xr:uid="{0DCA9C09-ACD8-4D4A-B5F2-56CBCB2791F2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5" authorId="2" shapeId="0" xr:uid="{913DA650-5688-45F3-A805-0F8F570E8F57}">
      <text>
        <r>
          <rPr>
            <b/>
            <sz val="9"/>
            <color indexed="81"/>
            <rFont val="Tahoma"/>
            <charset val="1"/>
          </rPr>
          <t>Copied from Ti6Al4V_andrea_(AXIAL).xlsx row 31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6" authorId="2" shapeId="0" xr:uid="{7FFFC6E9-D232-4AE6-95DF-1755D8879B80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6" authorId="2" shapeId="0" xr:uid="{3737885F-EB36-4ADA-8AE6-B287E3FFAC32}">
      <text>
        <r>
          <rPr>
            <b/>
            <sz val="9"/>
            <color indexed="81"/>
            <rFont val="Tahoma"/>
            <charset val="1"/>
          </rPr>
          <t>Copied from Ti6Al4V_andrea_(AXIAL).xlsx row 32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7" authorId="2" shapeId="0" xr:uid="{BE71A681-7894-4F30-B02A-04D08E5F025C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7" authorId="2" shapeId="0" xr:uid="{02BDDD23-52A1-40EE-A09E-BD30CBF5CDD5}">
      <text>
        <r>
          <rPr>
            <b/>
            <sz val="9"/>
            <color indexed="81"/>
            <rFont val="Tahoma"/>
            <charset val="1"/>
          </rPr>
          <t>Copied from Ti6Al4V_andrea_(AXIAL).xlsx row 33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8" authorId="2" shapeId="0" xr:uid="{F474FEEE-854A-4DE0-A4AA-EE88F7DFF119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8" authorId="2" shapeId="0" xr:uid="{4C184C1B-C2B5-4287-90C8-E28931486B49}">
      <text>
        <r>
          <rPr>
            <b/>
            <sz val="9"/>
            <color indexed="81"/>
            <rFont val="Tahoma"/>
            <charset val="1"/>
          </rPr>
          <t>Copied from Ti6Al4V_andrea_(AXIAL).xlsx row 34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9" authorId="2" shapeId="0" xr:uid="{C1C60250-6545-4613-9D8B-3136ACAC761B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9" authorId="2" shapeId="0" xr:uid="{3BEA2BB5-B601-4021-ADB9-CBC19C16FD46}">
      <text>
        <r>
          <rPr>
            <b/>
            <sz val="9"/>
            <color indexed="81"/>
            <rFont val="Tahoma"/>
            <charset val="1"/>
          </rPr>
          <t>Copied from Ti6Al4V_andrea_(AXIAL).xlsx row 35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10" authorId="2" shapeId="0" xr:uid="{A0275BE3-EE8B-41E4-A1F2-8F47983DDDC4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0" authorId="2" shapeId="0" xr:uid="{4F59D2CB-4A11-481F-8EF8-16256A3172BA}">
      <text>
        <r>
          <rPr>
            <b/>
            <sz val="9"/>
            <color indexed="81"/>
            <rFont val="Tahoma"/>
            <charset val="1"/>
          </rPr>
          <t>Copied from Ti6Al4V_andrea_(AXIAL).xlsx row 36 (commit 23e1dfe). Legacy Null written as 0 (inactive component / in-phase): Phase radial load (°), Phase torsional load (°), Mean RADIAL stress  (MPa), Amplitute RADIAL stress  (MPa), Mean SHEAR stress  (MPa), Amplitute SHEAR stress  (MPa)</t>
        </r>
      </text>
    </comment>
    <comment ref="B11" authorId="2" shapeId="0" xr:uid="{0E5B2493-05C4-4C88-A7C0-BA0FFAB01D63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1" authorId="2" shapeId="0" xr:uid="{84FD4BBD-7580-45AD-B424-1B899F4DCF71}">
      <text>
        <r>
          <rPr>
            <b/>
            <sz val="9"/>
            <color indexed="81"/>
            <rFont val="Tahoma"/>
            <charset val="1"/>
          </rPr>
          <t>Copied from Ti6Al4V_andrea_(AXIAL).xlsx row 37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2" authorId="2" shapeId="0" xr:uid="{0EDEF009-CFD4-4456-A55D-09FE6D1CDE49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2" authorId="2" shapeId="0" xr:uid="{2B6DDA19-943D-4A2D-8A21-419C7AE46221}">
      <text>
        <r>
          <rPr>
            <b/>
            <sz val="9"/>
            <color indexed="81"/>
            <rFont val="Tahoma"/>
            <charset val="1"/>
          </rPr>
          <t>Copied from Ti6Al4V_andrea_(AXIAL).xlsx row 38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3" authorId="2" shapeId="0" xr:uid="{FB970CA0-CF23-4CAD-8FC4-01CF4DBEB58E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3" authorId="2" shapeId="0" xr:uid="{DEFD7C5C-D18F-40B0-B74E-85346B13B145}">
      <text>
        <r>
          <rPr>
            <b/>
            <sz val="9"/>
            <color indexed="81"/>
            <rFont val="Tahoma"/>
            <charset val="1"/>
          </rPr>
          <t>Copied from Ti6Al4V_andrea_(AXIAL).xlsx row 39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4" authorId="2" shapeId="0" xr:uid="{8FE20273-9113-44D5-A043-618A6B73BF9B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4" authorId="2" shapeId="0" xr:uid="{4CA28DCD-BE2C-4137-948C-24CE0EA81141}">
      <text>
        <r>
          <rPr>
            <b/>
            <sz val="9"/>
            <color indexed="81"/>
            <rFont val="Tahoma"/>
            <charset val="1"/>
          </rPr>
          <t>Copied from Ti6Al4V_andrea_(AXIAL).xlsx row 40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5" authorId="2" shapeId="0" xr:uid="{AB40297D-797D-46C4-9C28-51D0DDD0E96A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5" authorId="2" shapeId="0" xr:uid="{50B5CABF-C8BA-47A7-8567-2F8731C450F8}">
      <text>
        <r>
          <rPr>
            <b/>
            <sz val="9"/>
            <color indexed="81"/>
            <rFont val="Tahoma"/>
            <charset val="1"/>
          </rPr>
          <t>Copied from Ti6Al4V_andrea_(AXIAL).xlsx row 41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6" authorId="2" shapeId="0" xr:uid="{2964E98E-80EE-4F3A-A5F6-7FDC2C337D40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6" authorId="2" shapeId="0" xr:uid="{FF222938-F14F-4045-B01B-399AB0E5A3BF}">
      <text>
        <r>
          <rPr>
            <b/>
            <sz val="9"/>
            <color indexed="81"/>
            <rFont val="Tahoma"/>
            <charset val="1"/>
          </rPr>
          <t>Copied from Ti6Al4V_andrea_(AXIAL).xlsx row 42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7" authorId="2" shapeId="0" xr:uid="{9A541089-C5E3-47F3-8229-43923E8C7ADA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7" authorId="2" shapeId="0" xr:uid="{9AFDE057-876E-4354-8135-0A239B4CFD8D}">
      <text>
        <r>
          <rPr>
            <b/>
            <sz val="9"/>
            <color indexed="81"/>
            <rFont val="Tahoma"/>
            <charset val="1"/>
          </rPr>
          <t>Copied from Ti6Al4V_andrea_(AXIAL).xlsx row 43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8" authorId="2" shapeId="0" xr:uid="{E2D5D587-A26A-41CB-951D-BDEDEB49B130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8" authorId="2" shapeId="0" xr:uid="{5A02BF17-D9C8-45D7-AAD2-B35AFA3EBA71}">
      <text>
        <r>
          <rPr>
            <b/>
            <sz val="9"/>
            <color indexed="81"/>
            <rFont val="Tahoma"/>
            <charset val="1"/>
          </rPr>
          <t>Copied from Ti6Al4V_andrea_(AXIAL).xlsx row 44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19" authorId="2" shapeId="0" xr:uid="{609579ED-6192-4CAC-BDBE-59574E2D70D0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19" authorId="2" shapeId="0" xr:uid="{8B510677-D3E7-4265-B91A-6A922A35C9AA}">
      <text>
        <r>
          <rPr>
            <b/>
            <sz val="9"/>
            <color indexed="81"/>
            <rFont val="Tahoma"/>
            <charset val="1"/>
          </rPr>
          <t>Copied from Ti6Al4V_andrea_(AXIAL).xlsx row 45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0" authorId="2" shapeId="0" xr:uid="{1F368F1B-19AF-4B81-8569-197DD27E054D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0" authorId="2" shapeId="0" xr:uid="{B614108B-E2AA-4419-9CC4-9DD534A1873F}">
      <text>
        <r>
          <rPr>
            <b/>
            <sz val="9"/>
            <color indexed="81"/>
            <rFont val="Tahoma"/>
            <charset val="1"/>
          </rPr>
          <t>Copied from Ti6Al4V_andrea_(AXIAL).xlsx row 46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1" authorId="2" shapeId="0" xr:uid="{B13A170B-2F21-4C51-8117-8F5276BA9062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1" authorId="2" shapeId="0" xr:uid="{DC8C6F29-FE80-4A66-9182-AD55F9608DBE}">
      <text>
        <r>
          <rPr>
            <b/>
            <sz val="9"/>
            <color indexed="81"/>
            <rFont val="Tahoma"/>
            <charset val="1"/>
          </rPr>
          <t>Copied from Ti6Al4V_andrea_(AXIAL).xlsx row 47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2" authorId="2" shapeId="0" xr:uid="{C24B3A3B-4168-4E92-AAB6-E4393A4BF455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2" authorId="2" shapeId="0" xr:uid="{F64C5EF7-2DD9-44A5-9F43-3D725783B49A}">
      <text>
        <r>
          <rPr>
            <b/>
            <sz val="9"/>
            <color indexed="81"/>
            <rFont val="Tahoma"/>
            <charset val="1"/>
          </rPr>
          <t>Copied from Ti6Al4V_andrea_(AXIAL).xlsx row 48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3" authorId="2" shapeId="0" xr:uid="{9B0CB090-E5A1-4EE5-8A54-06C8CD06F629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3" authorId="2" shapeId="0" xr:uid="{4049E02A-D7B0-4DE2-B300-CD20A22B3411}">
      <text>
        <r>
          <rPr>
            <b/>
            <sz val="9"/>
            <color indexed="81"/>
            <rFont val="Tahoma"/>
            <charset val="1"/>
          </rPr>
          <t>Copied from Ti6Al4V_andrea_(AXIAL).xlsx row 49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4" authorId="2" shapeId="0" xr:uid="{1F098ED7-9F47-4831-A11F-B43DC33FE367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4" authorId="2" shapeId="0" xr:uid="{12AB4624-2E2D-475C-8EAF-017731A3206A}">
      <text>
        <r>
          <rPr>
            <b/>
            <sz val="9"/>
            <color indexed="81"/>
            <rFont val="Tahoma"/>
            <charset val="1"/>
          </rPr>
          <t>Copied from Ti6Al4V_andrea_(AXIAL).xlsx row 50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5" authorId="2" shapeId="0" xr:uid="{298B8E53-F433-40DA-828C-4578AFD0ADC3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5" authorId="2" shapeId="0" xr:uid="{12B5F121-9728-4B00-A9A8-88346A7FED76}">
      <text>
        <r>
          <rPr>
            <b/>
            <sz val="9"/>
            <color indexed="81"/>
            <rFont val="Tahoma"/>
            <charset val="1"/>
          </rPr>
          <t>Copied from Ti6Al4V_andrea_(AXIAL).xlsx row 51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6" authorId="2" shapeId="0" xr:uid="{67A73C5A-042F-49FF-B797-76F614D77C01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6" authorId="2" shapeId="0" xr:uid="{1E3F1F6A-93ED-4E31-AE88-282F4F0BDFDA}">
      <text>
        <r>
          <rPr>
            <b/>
            <sz val="9"/>
            <color indexed="81"/>
            <rFont val="Tahoma"/>
            <charset val="1"/>
          </rPr>
          <t>Copied from Ti6Al4V_andrea_(AXIAL).xlsx row 52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7" authorId="2" shapeId="0" xr:uid="{2136AAEB-D981-404E-BEF3-FF5F3BFAE06D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7" authorId="2" shapeId="0" xr:uid="{E207E039-6FE1-4E2A-B399-9CBDD49F18D4}">
      <text>
        <r>
          <rPr>
            <b/>
            <sz val="9"/>
            <color indexed="81"/>
            <rFont val="Tahoma"/>
            <charset val="1"/>
          </rPr>
          <t>Copied from Ti6Al4V_andrea_(AXIAL).xlsx row 53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8" authorId="2" shapeId="0" xr:uid="{EBCA6257-308E-48D6-85C5-221FBA88A93F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8" authorId="2" shapeId="0" xr:uid="{308F8059-9DA1-47CD-AC4E-2593ABE11112}">
      <text>
        <r>
          <rPr>
            <b/>
            <sz val="9"/>
            <color indexed="81"/>
            <rFont val="Tahoma"/>
            <charset val="1"/>
          </rPr>
          <t>Copied from Ti6Al4V_andrea_(AXIAL).xlsx row 54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29" authorId="2" shapeId="0" xr:uid="{F47F4855-39C3-4391-BD8B-0C30EFB2CD86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29" authorId="2" shapeId="0" xr:uid="{78F98F24-C4FB-4545-A161-FD25D5CBD364}">
      <text>
        <r>
          <rPr>
            <b/>
            <sz val="9"/>
            <color indexed="81"/>
            <rFont val="Tahoma"/>
            <charset val="1"/>
          </rPr>
          <t>Copied from Ti6Al4V_andrea_(AXIAL).xlsx row 55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0" authorId="2" shapeId="0" xr:uid="{18A97252-297E-4295-B41C-F28E61DC63BC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0" authorId="2" shapeId="0" xr:uid="{224E3907-4050-4D6F-8C6D-E3B973C0B9AE}">
      <text>
        <r>
          <rPr>
            <b/>
            <sz val="9"/>
            <color indexed="81"/>
            <rFont val="Tahoma"/>
            <charset val="1"/>
          </rPr>
          <t>Copied from Ti6Al4V_andrea_(AXIAL).xlsx row 56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1" authorId="2" shapeId="0" xr:uid="{B96F3F74-2E55-424C-A39B-E667F615B2A2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1" authorId="2" shapeId="0" xr:uid="{6DEB876E-AA42-4549-B6BB-CA38CBEDB4F2}">
      <text>
        <r>
          <rPr>
            <b/>
            <sz val="9"/>
            <color indexed="81"/>
            <rFont val="Tahoma"/>
            <charset val="1"/>
          </rPr>
          <t>Copied from Ti6Al4V_andrea_(AXIAL).xlsx row 57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2" authorId="2" shapeId="0" xr:uid="{FF48E767-5FC8-4DC1-AB34-080BD0B1597F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2" authorId="2" shapeId="0" xr:uid="{6F87B2BA-2C34-4671-979A-A449C1524E6E}">
      <text>
        <r>
          <rPr>
            <b/>
            <sz val="9"/>
            <color indexed="81"/>
            <rFont val="Tahoma"/>
            <charset val="1"/>
          </rPr>
          <t>Copied from Ti6Al4V_andrea_(AXIAL).xlsx row 58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3" authorId="2" shapeId="0" xr:uid="{386BD2DC-EA72-4526-80A3-06B745CE09DA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3" authorId="2" shapeId="0" xr:uid="{3E0F94E8-B971-4161-8981-AD779A9EDE18}">
      <text>
        <r>
          <rPr>
            <b/>
            <sz val="9"/>
            <color indexed="81"/>
            <rFont val="Tahoma"/>
            <charset val="1"/>
          </rPr>
          <t>Copied from Ti6Al4V_andrea_(AXIAL).xlsx row 59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4" authorId="2" shapeId="0" xr:uid="{5C62FACD-B7F2-4B96-9691-E6006C4F2FF1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4" authorId="2" shapeId="0" xr:uid="{D3AE5510-CC42-4325-AAAC-6290F514D94F}">
      <text>
        <r>
          <rPr>
            <b/>
            <sz val="9"/>
            <color indexed="81"/>
            <rFont val="Tahoma"/>
            <charset val="1"/>
          </rPr>
          <t>Copied from Ti6Al4V_andrea_(AXIAL).xlsx row 60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5" authorId="2" shapeId="0" xr:uid="{B517EA82-95B7-4202-A8D3-C23100C40D3B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5" authorId="2" shapeId="0" xr:uid="{0847CBFC-2C6A-4822-99D3-814AB28714DB}">
      <text>
        <r>
          <rPr>
            <b/>
            <sz val="9"/>
            <color indexed="81"/>
            <rFont val="Tahoma"/>
            <charset val="1"/>
          </rPr>
          <t>Copied from Ti6Al4V_andrea_(AXIAL).xlsx row 61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6" authorId="2" shapeId="0" xr:uid="{21FCC558-A27E-4851-A6F1-10FC89539B2F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6" authorId="2" shapeId="0" xr:uid="{086ED644-DC28-4EF9-940C-4EE1DEB15B35}">
      <text>
        <r>
          <rPr>
            <b/>
            <sz val="9"/>
            <color indexed="81"/>
            <rFont val="Tahoma"/>
            <charset val="1"/>
          </rPr>
          <t>Copied from Ti6Al4V_andrea_(AXIAL).xlsx row 62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7" authorId="2" shapeId="0" xr:uid="{962151E7-7771-44E3-8F3E-2E41389278CB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7" authorId="2" shapeId="0" xr:uid="{5F0E198A-BFDB-4EDC-BF3F-E6D216A55894}">
      <text>
        <r>
          <rPr>
            <b/>
            <sz val="9"/>
            <color indexed="81"/>
            <rFont val="Tahoma"/>
            <charset val="1"/>
          </rPr>
          <t>Copied from Ti6Al4V_andrea_(AXIAL).xlsx row 63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8" authorId="2" shapeId="0" xr:uid="{0A1E462C-4FD4-4111-A744-D9953940EE58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8" authorId="2" shapeId="0" xr:uid="{11B4EB45-B218-44EA-AAB8-8301E30C78DA}">
      <text>
        <r>
          <rPr>
            <b/>
            <sz val="9"/>
            <color indexed="81"/>
            <rFont val="Tahoma"/>
            <charset val="1"/>
          </rPr>
          <t>Copied from Ti6Al4V_andrea_(AXIAL).xlsx row 64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39" authorId="2" shapeId="0" xr:uid="{74FEB2F4-0605-4A43-9059-2497C5D10D71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39" authorId="2" shapeId="0" xr:uid="{81E7368E-6974-4B9F-946A-6D5C1B91F86D}">
      <text>
        <r>
          <rPr>
            <b/>
            <sz val="9"/>
            <color indexed="81"/>
            <rFont val="Tahoma"/>
            <charset val="1"/>
          </rPr>
          <t>Copied from Ti6Al4V_andrea_(AXIAL).xlsx row 65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0" authorId="2" shapeId="0" xr:uid="{DFF4B040-824A-4B5B-B7C6-A06762A10169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0" authorId="2" shapeId="0" xr:uid="{B87E2CC4-15E3-48DA-8D42-7FD15335B0FF}">
      <text>
        <r>
          <rPr>
            <b/>
            <sz val="9"/>
            <color indexed="81"/>
            <rFont val="Tahoma"/>
            <charset val="1"/>
          </rPr>
          <t>Copied from Ti6Al4V_andrea_(AXIAL).xlsx row 66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1" authorId="2" shapeId="0" xr:uid="{A98972C2-998A-4028-B8B6-4467808B2B72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1" authorId="2" shapeId="0" xr:uid="{21734BBD-9ADD-4813-9689-B4AA1BC9B14C}">
      <text>
        <r>
          <rPr>
            <b/>
            <sz val="9"/>
            <color indexed="81"/>
            <rFont val="Tahoma"/>
            <charset val="1"/>
          </rPr>
          <t>Copied from Ti6Al4V_andrea_(AXIAL).xlsx row 67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2" authorId="2" shapeId="0" xr:uid="{069C2E6B-6390-4C35-A572-3BE275D9CD95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2" authorId="2" shapeId="0" xr:uid="{1B365DB8-C958-4FBF-9087-2393D742ED4C}">
      <text>
        <r>
          <rPr>
            <b/>
            <sz val="9"/>
            <color indexed="81"/>
            <rFont val="Tahoma"/>
            <charset val="1"/>
          </rPr>
          <t>Copied from Ti6Al4V_andrea_(AXIAL).xlsx row 68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3" authorId="2" shapeId="0" xr:uid="{2290EA6E-49CD-4CA7-8D24-6B4339B918A8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3" authorId="2" shapeId="0" xr:uid="{5AF495BC-E3ED-428C-B778-A965CC14FA11}">
      <text>
        <r>
          <rPr>
            <b/>
            <sz val="9"/>
            <color indexed="81"/>
            <rFont val="Tahoma"/>
            <charset val="1"/>
          </rPr>
          <t>Copied from Ti6Al4V_andrea_(AXIAL).xlsx row 69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4" authorId="2" shapeId="0" xr:uid="{1963D92E-EEBB-4A45-8A80-13B4DD30C4EC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4" authorId="2" shapeId="0" xr:uid="{27EBB331-DB78-432C-8C8F-AD8AE9C08658}">
      <text>
        <r>
          <rPr>
            <b/>
            <sz val="9"/>
            <color indexed="81"/>
            <rFont val="Tahoma"/>
            <charset val="1"/>
          </rPr>
          <t>Copied from Ti6Al4V_andrea_(AXIAL).xlsx row 70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5" authorId="2" shapeId="0" xr:uid="{B0147BB8-46E1-4106-8C8C-B8173E6AC3FB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5" authorId="2" shapeId="0" xr:uid="{1C086942-C678-41AD-A253-CABD088E33E8}">
      <text>
        <r>
          <rPr>
            <b/>
            <sz val="9"/>
            <color indexed="81"/>
            <rFont val="Tahoma"/>
            <charset val="1"/>
          </rPr>
          <t>Copied from Ti6Al4V_andrea_(AXIAL).xlsx row 71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6" authorId="2" shapeId="0" xr:uid="{8B224FBA-AA6A-4025-8DB4-CBADCDBD0804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6" authorId="2" shapeId="0" xr:uid="{E02D662B-D4FA-4242-80AD-CB69167071C8}">
      <text>
        <r>
          <rPr>
            <b/>
            <sz val="9"/>
            <color indexed="81"/>
            <rFont val="Tahoma"/>
            <charset val="1"/>
          </rPr>
          <t>Copied from Ti6Al4V_andrea_(AXIAL).xlsx row 72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7" authorId="2" shapeId="0" xr:uid="{B5CB9D97-1DDC-4C7A-B418-9BA595FB66C2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7" authorId="2" shapeId="0" xr:uid="{77351541-3E01-4AF8-8201-A6DAF79689BD}">
      <text>
        <r>
          <rPr>
            <b/>
            <sz val="9"/>
            <color indexed="81"/>
            <rFont val="Tahoma"/>
            <charset val="1"/>
          </rPr>
          <t>Copied from Ti6Al4V_andrea_(AXIAL).xlsx row 73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8" authorId="2" shapeId="0" xr:uid="{723D0C5A-AAED-4F6B-9702-8376F82218F2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8" authorId="2" shapeId="0" xr:uid="{729CA948-94EB-4E25-B84C-B8F0EE0CEFCE}">
      <text>
        <r>
          <rPr>
            <b/>
            <sz val="9"/>
            <color indexed="81"/>
            <rFont val="Tahoma"/>
            <charset val="1"/>
          </rPr>
          <t>Copied from Ti6Al4V_andrea_(AXIAL).xlsx row 74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  <comment ref="B49" authorId="2" shapeId="0" xr:uid="{FA81481F-F3A2-47FB-9DFC-0B4E97E82D0F}">
      <text>
        <r>
          <rPr>
            <b/>
            <sz val="9"/>
            <color indexed="81"/>
            <rFont val="Tahoma"/>
            <charset val="1"/>
          </rPr>
          <t>Year set to 2015: the print year (vol. 38, issue 5), the convention of workbook 14. The online date is 2014-12-19. See PROVENANCE.md.</t>
        </r>
      </text>
    </comment>
    <comment ref="D49" authorId="2" shapeId="0" xr:uid="{641D0A52-EC41-48CD-ADC8-C58A25B44F6B}">
      <text>
        <r>
          <rPr>
            <b/>
            <sz val="9"/>
            <color indexed="81"/>
            <rFont val="Tahoma"/>
            <charset val="1"/>
          </rPr>
          <t>Copied from Ti6Al4V_andrea_(AXIAL).xlsx row 75 (commit 23e1dfe). Legacy Null written as 0 (inactive component / in-phase): Phase radial load (°), Phase torsional load (°), Mean RADIAL stress  (MPa), Amplitute RADIAL stress  (MPa), Mean AXIAL stress  (MPa), Amplitute AXIAL stress  (MPa)</t>
        </r>
      </text>
    </comment>
  </commentList>
</comments>
</file>

<file path=xl/sharedStrings.xml><?xml version="1.0" encoding="utf-8"?>
<sst xmlns="http://schemas.openxmlformats.org/spreadsheetml/2006/main" count="737" uniqueCount="115">
  <si>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</si>
  <si>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</si>
  <si>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</si>
  <si>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</si>
  <si>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</si>
  <si>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</si>
  <si>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</si>
  <si>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</si>
  <si>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</si>
  <si>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</si>
  <si>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</si>
  <si>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</si>
  <si>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</si>
  <si>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</si>
  <si>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</si>
  <si>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</si>
  <si>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</si>
  <si>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</si>
  <si>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</si>
  <si>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</si>
  <si>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</si>
  <si>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</si>
  <si>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</si>
  <si>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</si>
  <si>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</si>
  <si>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</si>
  <si>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</si>
  <si>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</si>
  <si>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</si>
  <si>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</si>
  <si>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</si>
  <si>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</si>
  <si>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</si>
  <si>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</si>
  <si>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</si>
  <si>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</si>
  <si>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</si>
  <si>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</si>
  <si>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</si>
  <si>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</si>
  <si>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</si>
  <si>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</si>
  <si>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</si>
  <si>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</si>
  <si>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</si>
  <si>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</si>
  <si>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</si>
  <si>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</si>
  <si>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</si>
  <si>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</si>
  <si>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</si>
  <si>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</si>
  <si>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</si>
  <si>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</si>
  <si>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</si>
  <si>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</si>
  <si>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</si>
  <si>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</si>
  <si>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</si>
  <si>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</si>
  <si>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</si>
  <si>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</si>
  <si>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</si>
  <si>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Berto et al.</t>
  </si>
  <si>
    <t>10.1111/ffe.12272</t>
  </si>
  <si>
    <t>Axial_Plain_1</t>
  </si>
  <si>
    <t>complete rupture</t>
  </si>
  <si>
    <t>Axial_Plain_2</t>
  </si>
  <si>
    <t>Axial_Plain_3</t>
  </si>
  <si>
    <t>Axial_Plain_4</t>
  </si>
  <si>
    <t>Axial_Plain_5</t>
  </si>
  <si>
    <t>Axial_Plain_6</t>
  </si>
  <si>
    <t>Axial_Plain_7</t>
  </si>
  <si>
    <t>Axial_Plain_8</t>
  </si>
  <si>
    <t>Axial_Plain_9</t>
  </si>
  <si>
    <t>Torsion_Plain_1</t>
  </si>
  <si>
    <t>Torsion_Plain_2</t>
  </si>
  <si>
    <t>Torsion_Plain_3</t>
  </si>
  <si>
    <t>Torsion_Plain_4</t>
  </si>
  <si>
    <t>Torsion_Plain_5</t>
  </si>
  <si>
    <t>Torsion_Plain_6</t>
  </si>
  <si>
    <t>Torsion_Plain_7</t>
  </si>
  <si>
    <t>Torsion_Plain_8</t>
  </si>
  <si>
    <t>Torsion_Plain_9</t>
  </si>
  <si>
    <t>Torsion_Plain_10</t>
  </si>
  <si>
    <t>Torsion_Plain_11</t>
  </si>
  <si>
    <t>Torsion_Plain_12</t>
  </si>
  <si>
    <t>Torsion_Plain_13</t>
  </si>
  <si>
    <t>Torsion_Plain_14</t>
  </si>
  <si>
    <t>Torsion_Plain_15</t>
  </si>
  <si>
    <t>Torsion_Plain_16</t>
  </si>
  <si>
    <t>Torsion_Plain_17</t>
  </si>
  <si>
    <t>Torsion_Plain_18</t>
  </si>
  <si>
    <t>Torsion_Plain_19</t>
  </si>
  <si>
    <t>Torsion_Plain_20</t>
  </si>
  <si>
    <t>Torsion_Plain_21</t>
  </si>
  <si>
    <t>Torsion_Plain_22</t>
  </si>
  <si>
    <t>Torsion_Plain_23</t>
  </si>
  <si>
    <t>Torsion_Plain_24</t>
  </si>
  <si>
    <t>Torsion_Plain_25</t>
  </si>
  <si>
    <t>Torsion_Plain_26</t>
  </si>
  <si>
    <t>Torsion_Plain_27</t>
  </si>
  <si>
    <t>Torsion_Plain_28</t>
  </si>
  <si>
    <t>Torsion_Plain_29</t>
  </si>
  <si>
    <t>Torsion_Plain_30</t>
  </si>
  <si>
    <t>Torsion_Plain_31</t>
  </si>
  <si>
    <t>Torsion_Plain_32</t>
  </si>
  <si>
    <t>Torsion_Plain_33</t>
  </si>
  <si>
    <t>Torsion_Plain_34</t>
  </si>
  <si>
    <t>Torsion_Plain_35</t>
  </si>
  <si>
    <t>Torsion_Plain_36</t>
  </si>
  <si>
    <t>Torsion_Plain_37</t>
  </si>
  <si>
    <t>Torsion_Plain_38</t>
  </si>
  <si>
    <t>Torsion_Plain_39</t>
  </si>
  <si>
    <t>Ti6Al4V_Berto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</si>
</sst>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60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Dataset!$E$2:$E$49</c:f>
              <c:numCache>
                <c:formatCode>0.00</c:formatCode>
                <c:ptCount val="48"/>
                <c:pt idx="0">
                  <c:v>11031.3528048772</c:v>
                </c:pt>
                <c:pt idx="1">
                  <c:v>40006.581089423104</c:v>
                </c:pt>
                <c:pt idx="2">
                  <c:v>57103.239405355103</c:v>
                </c:pt>
                <c:pt idx="3">
                  <c:v>138140.084016818</c:v>
                </c:pt>
                <c:pt idx="4">
                  <c:v>158100.87759316701</c:v>
                </c:pt>
                <c:pt idx="5">
                  <c:v>314293.71874558198</c:v>
                </c:pt>
                <c:pt idx="6">
                  <c:v>382466.36690465</c:v>
                </c:pt>
                <c:pt idx="7">
                  <c:v>602214.67193229997</c:v>
                </c:pt>
                <c:pt idx="8">
                  <c:v>808421.12834591803</c:v>
                </c:pt>
                <c:pt idx="9">
                  <c:v>10927.591542570101</c:v>
                </c:pt>
                <c:pt idx="10">
                  <c:v>13971.5482038106</c:v>
                </c:pt>
                <c:pt idx="11">
                  <c:v>131752.735043461</c:v>
                </c:pt>
                <c:pt idx="12">
                  <c:v>161706.10743453199</c:v>
                </c:pt>
                <c:pt idx="13">
                  <c:v>411409.90689811303</c:v>
                </c:pt>
                <c:pt idx="14">
                  <c:v>513238.00899761001</c:v>
                </c:pt>
                <c:pt idx="15">
                  <c:v>18904.920800785902</c:v>
                </c:pt>
                <c:pt idx="16">
                  <c:v>81166.608468437204</c:v>
                </c:pt>
                <c:pt idx="17">
                  <c:v>110822.244159229</c:v>
                </c:pt>
                <c:pt idx="18">
                  <c:v>188738.48182717201</c:v>
                </c:pt>
                <c:pt idx="19">
                  <c:v>995429.13727224199</c:v>
                </c:pt>
                <c:pt idx="20">
                  <c:v>12500.8268982468</c:v>
                </c:pt>
                <c:pt idx="21">
                  <c:v>58294.615572508897</c:v>
                </c:pt>
                <c:pt idx="22">
                  <c:v>75771.507113144995</c:v>
                </c:pt>
                <c:pt idx="23">
                  <c:v>223321.25601113099</c:v>
                </c:pt>
                <c:pt idx="24">
                  <c:v>302427.25765884802</c:v>
                </c:pt>
                <c:pt idx="25">
                  <c:v>1226968.03853277</c:v>
                </c:pt>
                <c:pt idx="26">
                  <c:v>11380.226162565599</c:v>
                </c:pt>
                <c:pt idx="27">
                  <c:v>13078.808642472501</c:v>
                </c:pt>
                <c:pt idx="28">
                  <c:v>48503.751439244297</c:v>
                </c:pt>
                <c:pt idx="29">
                  <c:v>123379.649445894</c:v>
                </c:pt>
                <c:pt idx="30">
                  <c:v>200080.673694881</c:v>
                </c:pt>
                <c:pt idx="31">
                  <c:v>249476.06004055601</c:v>
                </c:pt>
                <c:pt idx="32">
                  <c:v>381820.68799460598</c:v>
                </c:pt>
                <c:pt idx="33">
                  <c:v>492241.547490831</c:v>
                </c:pt>
                <c:pt idx="34">
                  <c:v>11669.047497183201</c:v>
                </c:pt>
                <c:pt idx="35">
                  <c:v>13467.3319698207</c:v>
                </c:pt>
                <c:pt idx="36">
                  <c:v>78734.883960782594</c:v>
                </c:pt>
                <c:pt idx="37">
                  <c:v>89941.922208904798</c:v>
                </c:pt>
                <c:pt idx="38">
                  <c:v>145753.37057922801</c:v>
                </c:pt>
                <c:pt idx="39">
                  <c:v>447780.94446418202</c:v>
                </c:pt>
                <c:pt idx="40">
                  <c:v>537611.49770624202</c:v>
                </c:pt>
                <c:pt idx="41">
                  <c:v>471769.681367882</c:v>
                </c:pt>
                <c:pt idx="42">
                  <c:v>10798.308093961599</c:v>
                </c:pt>
                <c:pt idx="43">
                  <c:v>11163.6954245863</c:v>
                </c:pt>
                <c:pt idx="44">
                  <c:v>38760.331119493298</c:v>
                </c:pt>
                <c:pt idx="45">
                  <c:v>53170.3976128586</c:v>
                </c:pt>
                <c:pt idx="46">
                  <c:v>97055.929419642402</c:v>
                </c:pt>
                <c:pt idx="47">
                  <c:v>515230.73904002301</c:v>
                </c:pt>
              </c:numCache>
            </c:numRef>
          </c:xVal>
          <c:yVal>
            <c:numRef>
              <c:f>Dataset!$AQ$2:$AQ$49</c:f>
              <c:numCache>
                <c:formatCode>0.00</c:formatCode>
                <c:ptCount val="48"/>
                <c:pt idx="0">
                  <c:v>822.46866977259401</c:v>
                </c:pt>
                <c:pt idx="1">
                  <c:v>701.70382867038199</c:v>
                </c:pt>
                <c:pt idx="2">
                  <c:v>701.70382867038199</c:v>
                </c:pt>
                <c:pt idx="3">
                  <c:v>613.477174240674</c:v>
                </c:pt>
                <c:pt idx="4">
                  <c:v>606.02894692048301</c:v>
                </c:pt>
                <c:pt idx="5">
                  <c:v>563.200627451012</c:v>
                </c:pt>
                <c:pt idx="6">
                  <c:v>577.12941454086604</c:v>
                </c:pt>
                <c:pt idx="7">
                  <c:v>510.76697810379699</c:v>
                </c:pt>
                <c:pt idx="8">
                  <c:v>517.04441514685504</c:v>
                </c:pt>
                <c:pt idx="9">
                  <c:v>901.07086666360203</c:v>
                </c:pt>
                <c:pt idx="10">
                  <c:v>893.04454006237199</c:v>
                </c:pt>
                <c:pt idx="11">
                  <c:v>789.08062680535966</c:v>
                </c:pt>
                <c:pt idx="12">
                  <c:v>788.87846884223302</c:v>
                </c:pt>
                <c:pt idx="13">
                  <c:v>764.48618582253175</c:v>
                </c:pt>
                <c:pt idx="14">
                  <c:v>757.69978983501017</c:v>
                </c:pt>
                <c:pt idx="15">
                  <c:v>829.49528105709487</c:v>
                </c:pt>
                <c:pt idx="16">
                  <c:v>721.08240472708803</c:v>
                </c:pt>
                <c:pt idx="17">
                  <c:v>723.9222138503909</c:v>
                </c:pt>
                <c:pt idx="18">
                  <c:v>711.04647907429012</c:v>
                </c:pt>
                <c:pt idx="19">
                  <c:v>670.81767095145972</c:v>
                </c:pt>
                <c:pt idx="20">
                  <c:v>574.86243959154933</c:v>
                </c:pt>
                <c:pt idx="21">
                  <c:v>533.12937738512767</c:v>
                </c:pt>
                <c:pt idx="22">
                  <c:v>532.95455522662121</c:v>
                </c:pt>
                <c:pt idx="23">
                  <c:v>496.68868861696166</c:v>
                </c:pt>
                <c:pt idx="24">
                  <c:v>498.64988789290948</c:v>
                </c:pt>
                <c:pt idx="25">
                  <c:v>464.53262760063717</c:v>
                </c:pt>
                <c:pt idx="26">
                  <c:v>403.43056313945903</c:v>
                </c:pt>
                <c:pt idx="27">
                  <c:v>396.45010496948578</c:v>
                </c:pt>
                <c:pt idx="28">
                  <c:v>380.70714693084716</c:v>
                </c:pt>
                <c:pt idx="29">
                  <c:v>362.61517839357555</c:v>
                </c:pt>
                <c:pt idx="30">
                  <c:v>362.39597272004454</c:v>
                </c:pt>
                <c:pt idx="31">
                  <c:v>342.51000669847832</c:v>
                </c:pt>
                <c:pt idx="32">
                  <c:v>326.44061161088752</c:v>
                </c:pt>
                <c:pt idx="33">
                  <c:v>326.33691083936105</c:v>
                </c:pt>
                <c:pt idx="34">
                  <c:v>864.22640873245075</c:v>
                </c:pt>
                <c:pt idx="35">
                  <c:v>808.99765259956121</c:v>
                </c:pt>
                <c:pt idx="36">
                  <c:v>796.44671790386258</c:v>
                </c:pt>
                <c:pt idx="37">
                  <c:v>796.55361836965199</c:v>
                </c:pt>
                <c:pt idx="38">
                  <c:v>764.31600633940639</c:v>
                </c:pt>
                <c:pt idx="39">
                  <c:v>694.07496773575849</c:v>
                </c:pt>
                <c:pt idx="40">
                  <c:v>728.89597192109136</c:v>
                </c:pt>
                <c:pt idx="41">
                  <c:v>795.11167193993356</c:v>
                </c:pt>
                <c:pt idx="42">
                  <c:v>723.50439280413821</c:v>
                </c:pt>
                <c:pt idx="43">
                  <c:v>649.47014875342461</c:v>
                </c:pt>
                <c:pt idx="44">
                  <c:v>619.33453225766357</c:v>
                </c:pt>
                <c:pt idx="45">
                  <c:v>655.0409056840889</c:v>
                </c:pt>
                <c:pt idx="46">
                  <c:v>586.30373009627147</c:v>
                </c:pt>
                <c:pt idx="47">
                  <c:v>583.21439591948911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14" dataDxfId="13">
  <autoFilter ref="A1:M5" xr:uid="{7EB9CA7B-F9F7-4B65-BAF9-0554C4DD3A3C}"/>
  <tableColumns count="13">
    <tableColumn id="1" xr3:uid="{8E3D1E9D-FBEE-441F-8710-5037CD4F23F4}" name="Article DOI / Reference" dataDxfId="12"/>
    <tableColumn id="11" xr3:uid="{DB748F3A-E0FD-40A7-AD76-C03A14000D6D}" name="Authors" dataDxfId="11"/>
    <tableColumn id="8" xr3:uid="{5AA73CAD-51B7-41DD-94EB-F60F774B9687}" name="Article year" dataDxfId="10"/>
    <tableColumn id="2" xr3:uid="{06FA6682-59D0-409F-9A0C-E6CD1808F355}" name="Material name" dataDxfId="9"/>
    <tableColumn id="3" xr3:uid="{576FC30A-97BD-425F-92F2-9A2823474F7C}" name="Young's modulus (MPa)" dataDxfId="8"/>
    <tableColumn id="4" xr3:uid="{63CF6BC0-ABE3-408E-84A9-EDA0B421D7E2}" name="Poisson's ratio (-)" dataDxfId="7"/>
    <tableColumn id="5" xr3:uid="{BF08D467-4D62-4CAB-A94F-0030F94E8A2E}" name="Tensile strength (MPa)" dataDxfId="6"/>
    <tableColumn id="6" xr3:uid="{CDCD2563-ECD7-4843-B859-5F7762FE830B}" name="Yield strength (MPa)" dataDxfId="5"/>
    <tableColumn id="7" xr3:uid="{7991DD6F-6040-4C6F-AEB4-2211698F999C}" name="Tensile fatigue limit (MPa)" dataDxfId="4"/>
    <tableColumn id="9" xr3:uid="{C339353B-B530-41A6-97D0-BD9E3EFB3E1B}" name="Torsional fatigue limit (MPa)" dataDxfId="3">
      <calculatedColumnFormula>845/2</calculatedColumnFormula>
    </tableColumn>
    <tableColumn id="13" xr3:uid="{61EEDB63-8EB1-4E68-8C73-6F3D35C9EEF7}" name="Number of Cycles (cycles)" dataDxfId="2"/>
    <tableColumn id="12" xr3:uid="{5EB3D6EA-60A8-471D-AB0E-73C0B9E22DD2}" name="Stress ratio R" dataDxfId="1"/>
    <tableColumn id="10" xr3:uid="{EC242BA9-DE01-42A2-8C6C-75459CDE529E}" name="K" dataDxfId="0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49" totalsRowShown="0" headerRowDxfId="59" dataDxfId="58">
  <autoFilter ref="A1:AQ49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56"/>
    <tableColumn id="1" xr3:uid="{D75788C8-C867-4D50-A818-DADFA5044830}" name="Article DOI / Reference" dataDxfId="55"/>
    <tableColumn id="30" xr3:uid="{FA5CACDD-A594-4207-9BA7-C7F165153D5B}" name="Specimen name" dataDxfId="54"/>
    <tableColumn id="2" xr3:uid="{19DD8629-B305-4804-A689-1057FBADF71C}" name="Number of cycles to failure" dataDxfId="53"/>
    <tableColumn id="4" xr3:uid="{27575528-FAA3-4B4C-8860-7A7CFCB79DBE}" name="Run out (Yes/No)" dataDxfId="52"/>
    <tableColumn id="3" xr3:uid="{0CF78E1F-0EC3-474A-B3FD-519C01702157}" name="Failure type (complete rupture/stiffness decrease)" dataDxfId="51"/>
    <tableColumn id="26" xr3:uid="{05D9D755-9B11-40C9-8DCB-B9E39E20FA04}" name="Geometry picture" dataDxfId="50"/>
    <tableColumn id="33" xr3:uid="{936299CD-E030-4427-B1AB-D5CB204A04BE}" name="Geometry type (flat/cylindrical/hollow cylinder)" dataDxfId="49"/>
    <tableColumn id="34" xr3:uid="{09266E8F-9B14-40D4-88AB-80CC92F93BA2}" name="Notched" dataDxfId="48"/>
    <tableColumn id="39" xr3:uid="{108E1228-D670-44CE-87DA-2A1B0D22E417}" name="A (mm)" dataDxfId="47"/>
    <tableColumn id="38" xr3:uid="{D6414C63-3F42-4BCA-BB3F-506FCA7B7866}" name="B (mm)" dataDxfId="46"/>
    <tableColumn id="37" xr3:uid="{8138AA3A-CE2D-441D-907D-E35AD875EC90}" name="Hole diameter (mm)" dataDxfId="45"/>
    <tableColumn id="27" xr3:uid="{D5A8CCC0-542A-450B-8F88-B47472F29E40}" name="Diameter (mm)" dataDxfId="44"/>
    <tableColumn id="28" xr3:uid="{36725B61-E4CB-4B7E-AF40-7F3BC6BE6CB3}" name="Area (mm^2)" dataDxfId="43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2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1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0"/>
    <tableColumn id="40" xr3:uid="{FF54B50E-D6C4-4EF8-BED6-8558889E32B3}" name="Phase AXIAL load (°)" dataDxfId="39"/>
    <tableColumn id="22" xr3:uid="{9A8358C3-645B-4F7B-A800-BF2013564F31}" name="Phase TORSIONAL load (°)" dataDxfId="38"/>
    <tableColumn id="43" xr3:uid="{32E76D00-2B52-4D17-881F-6CB825346CD9}" name="Freq RADIAL load [Hz]" dataDxfId="37"/>
    <tableColumn id="42" xr3:uid="{A0DFAB77-F821-4A7F-A0A1-75075998D45D}" name="Freq AXIAL load[Hz]" dataDxfId="36"/>
    <tableColumn id="41" xr3:uid="{DEC77E42-D985-463A-B500-A8E16CF67856}" name="Freq TORSIONAL load [Hz]" dataDxfId="35"/>
    <tableColumn id="23" xr3:uid="{9724DA05-688A-43E5-9AAC-5035994CD3C7}" name="Load ratio (RADIAL)" dataDxfId="34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33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32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1"/>
    <tableColumn id="6" xr3:uid="{CFA41242-20EF-4D5D-9025-FC3F232CBE04}" name="Amplitute RADIAL stress  (MPa)" dataDxfId="30"/>
    <tableColumn id="16" xr3:uid="{F37D511D-F078-4171-84FD-3AE13D4078DC}" name="Mean AXIAL stress  (MPa)" dataDxfId="29"/>
    <tableColumn id="8" xr3:uid="{933ACC34-FA80-47BE-87CF-5D7D742564A2}" name="Amplitute AXIAL stress  (MPa)" dataDxfId="28"/>
    <tableColumn id="44" xr3:uid="{460C3648-EA91-4BC9-8C0D-58B3E19E1ED3}" name="derived from (AXIAL/BENDING) load" dataDxfId="27"/>
    <tableColumn id="19" xr3:uid="{06584471-CEAD-405D-A12E-5A2E79E8CA33}" name="Mean SHEAR stress  (MPa)" dataDxfId="26"/>
    <tableColumn id="10" xr3:uid="{2FCDB52E-3BD8-4D04-8689-303C003D64AE}" name="Amplitute SHEAR stress  (MPa)" dataDxfId="25"/>
    <tableColumn id="36" xr3:uid="{EF2440ED-01F8-493F-BD7F-BDBCFC67F43F}" name="Mean internal PRESSURE  (MPa)" dataDxfId="24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3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2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1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0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19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18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17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6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15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A3" sqref="A3"/>
    </sheetView>
  </sheetViews>
  <sheetFormatPr defaultRowHeight="14.4" x14ac:dyDescent="0.3"/>
  <cols>
    <col min="1" max="1" width="29.109375" bestFit="1" customWidth="1"/>
    <col min="2" max="2" width="68.44140625" customWidth="1"/>
    <col min="3" max="3" width="42.33203125" bestFit="1" customWidth="1"/>
    <col min="4" max="4" width="31.6640625" customWidth="1"/>
    <col min="5" max="5" width="41.88671875" customWidth="1"/>
    <col min="6" max="6" width="31.109375" customWidth="1"/>
    <col min="7" max="7" width="35" customWidth="1"/>
    <col min="8" max="8" width="33.109375" customWidth="1"/>
    <col min="9" max="9" width="38" customWidth="1"/>
    <col min="10" max="10" width="40.88671875" customWidth="1"/>
    <col min="11" max="11" width="41.109375" customWidth="1"/>
    <col min="12" max="12" width="30.6640625" customWidth="1"/>
    <col min="13" max="13" width="9.5546875" bestFit="1" customWidth="1"/>
  </cols>
  <sheetData>
    <row r="1" spans="1:13" ht="20.100000000000001" customHeight="1" x14ac:dyDescent="0.3">
      <c r="A1" s="2" t="s">
        <v>60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38</v>
      </c>
      <c r="J1" s="2" t="s">
        <v>39</v>
      </c>
      <c r="K1" s="2" t="s">
        <v>36</v>
      </c>
      <c r="L1" s="2" t="s">
        <v>37</v>
      </c>
      <c r="M1" s="1" t="s">
        <v>4</v>
      </c>
    </row>
    <row r="2" spans="1:13" ht="20.100000000000001" customHeight="1" x14ac:dyDescent="0.3">
      <c r="A2" s="1" t="s">
        <v>64</v>
      </c>
      <c r="B2" s="1" t="s">
        <v>63</v>
      </c>
      <c r="C2" s="1">
        <v>2015</v>
      </c>
      <c r="D2" s="1" t="s">
        <v>114</v>
      </c>
      <c r="E2" s="1">
        <v>110000</v>
      </c>
      <c r="F2" s="1">
        <v>0.3</v>
      </c>
      <c r="G2" s="1">
        <v>978</v>
      </c>
      <c r="H2" s="1">
        <v>894</v>
      </c>
      <c r="I2" s="1">
        <v>475.74</v>
      </c>
      <c r="J2" s="1">
        <v>388.25</v>
      </c>
      <c r="K2" s="10">
        <v>2000000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1.2253444945267224</v>
      </c>
    </row>
    <row r="3" spans="1:13" ht="20.100000000000001" customHeight="1" x14ac:dyDescent="0.3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4" spans="1:13" ht="20.100000000000001" customHeight="1" x14ac:dyDescent="0.3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3">
      <c r="A6" s="53" t="s">
        <v>24</v>
      </c>
      <c r="B6" s="54"/>
      <c r="C6" s="54"/>
      <c r="D6" s="55"/>
      <c r="E6" s="3">
        <f>IF(COUNT(Tabella1[Young''s modulus (MPa)])=0, "Null", AVERAGE(Tabella1[Young''s modulus (MPa)]))</f>
        <v>110000</v>
      </c>
      <c r="F6" s="3">
        <f>IF(COUNT(Tabella1[Poisson''s ratio (-)])=0, "Null", AVERAGE(Tabella1[Poisson''s ratio (-)]))</f>
        <v>0.3</v>
      </c>
      <c r="G6" s="3">
        <f>IF(COUNT(Tabella1[Tensile strength (MPa)])=0, "Null", AVERAGE(Tabella1[Tensile strength (MPa)]))</f>
        <v>978</v>
      </c>
      <c r="H6" s="3">
        <f>IF(COUNT(Tabella1[Yield strength (MPa)])=0, "Null", AVERAGE(Tabella1[Yield strength (MPa)]))</f>
        <v>894</v>
      </c>
      <c r="I6" s="3">
        <f>IF(COUNT(Tabella1[Tensile fatigue limit (MPa)])=0, "Null", AVERAGE(Tabella1[Tensile fatigue limit (MPa)]))</f>
        <v>475.74</v>
      </c>
      <c r="J6" s="3">
        <f>IF(COUNT(Tabella1[Torsional fatigue limit (MPa)])=0, "Null", AVERAGE(Tabella1[Torsional fatigue limit (MPa)]))</f>
        <v>388.25</v>
      </c>
      <c r="K6" s="11"/>
      <c r="L6" s="9"/>
      <c r="M6" s="15">
        <f>IF(COUNT(Tabella1[K])=0, "Null", AVERAGE(Tabella1[K]))</f>
        <v>1.2253444945267224</v>
      </c>
    </row>
    <row r="7" spans="1:13" ht="20.100000000000001" customHeight="1" thickBot="1" x14ac:dyDescent="0.35">
      <c r="A7" s="56" t="s">
        <v>23</v>
      </c>
      <c r="B7" s="57"/>
      <c r="C7" s="57"/>
      <c r="D7" s="58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3"/>
    <row r="9" spans="1:13" ht="20.100000000000001" customHeight="1" x14ac:dyDescent="0.3"/>
    <row r="10" spans="1:13" ht="20.100000000000001" customHeight="1" x14ac:dyDescent="0.3"/>
    <row r="11" spans="1:13" ht="20.100000000000001" customHeight="1" x14ac:dyDescent="0.3"/>
    <row r="12" spans="1:13" ht="20.100000000000001" customHeight="1" thickBot="1" x14ac:dyDescent="0.35"/>
    <row r="13" spans="1:13" ht="20.100000000000001" customHeight="1" x14ac:dyDescent="0.3">
      <c r="A13" s="59" t="s">
        <v>29</v>
      </c>
      <c r="B13" s="5" t="s">
        <v>30</v>
      </c>
    </row>
    <row r="14" spans="1:13" ht="20.100000000000001" customHeight="1" thickBot="1" x14ac:dyDescent="0.35">
      <c r="A14" s="60"/>
      <c r="B14" s="6" t="s">
        <v>31</v>
      </c>
    </row>
    <row r="27" spans="4:4" x14ac:dyDescent="0.3">
      <c r="D27" s="7" t="s">
        <v>33</v>
      </c>
    </row>
    <row r="28" spans="4:4" x14ac:dyDescent="0.3">
      <c r="D28" s="8">
        <f>COUNTA(Tabella2[Authors])</f>
        <v>48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80"/>
  <sheetViews>
    <sheetView tabSelected="1" zoomScale="70" zoomScaleNormal="70" workbookViewId="0">
      <pane ySplit="1" topLeftCell="A25" activePane="bottomLeft" state="frozen"/>
      <selection activeCell="B1" sqref="B1"/>
      <selection pane="bottomLeft" activeCell="AQ3" sqref="AQ3"/>
    </sheetView>
  </sheetViews>
  <sheetFormatPr defaultColWidth="52.6640625" defaultRowHeight="14.4" x14ac:dyDescent="0.3"/>
  <cols>
    <col min="1" max="1" width="32.44140625" style="1" customWidth="1"/>
    <col min="2" max="2" width="25.5546875" style="1" customWidth="1"/>
    <col min="3" max="3" width="40.44140625" style="1" customWidth="1"/>
    <col min="4" max="4" width="54" style="1" customWidth="1"/>
    <col min="5" max="5" width="32.88671875" style="14" customWidth="1"/>
    <col min="6" max="6" width="24.5546875" style="1" customWidth="1"/>
    <col min="7" max="7" width="49.109375" style="19" customWidth="1"/>
    <col min="8" max="8" width="28.6640625" style="1" customWidth="1"/>
    <col min="9" max="9" width="63.5546875" style="1" customWidth="1"/>
    <col min="10" max="10" width="31.33203125" style="1" customWidth="1"/>
    <col min="11" max="11" width="26.5546875" style="1" customWidth="1"/>
    <col min="12" max="12" width="28" style="1" customWidth="1"/>
    <col min="13" max="13" width="35" style="1" customWidth="1"/>
    <col min="14" max="14" width="31.88671875" style="1" customWidth="1"/>
    <col min="15" max="15" width="35" style="1" customWidth="1"/>
    <col min="16" max="16" width="49.44140625" style="1" customWidth="1"/>
    <col min="17" max="17" width="53.109375" style="19" customWidth="1"/>
    <col min="18" max="18" width="42.109375" style="1" customWidth="1"/>
    <col min="19" max="19" width="33.5546875" style="1" customWidth="1"/>
    <col min="20" max="20" width="38.44140625" style="1" customWidth="1"/>
    <col min="21" max="21" width="37.109375" style="25" customWidth="1"/>
    <col min="22" max="22" width="40.6640625" style="30" customWidth="1"/>
    <col min="23" max="23" width="40" style="30" customWidth="1"/>
    <col min="24" max="24" width="35.109375" style="1" customWidth="1"/>
    <col min="25" max="25" width="34.33203125" style="1" customWidth="1"/>
    <col min="26" max="26" width="41.44140625" style="1" customWidth="1"/>
    <col min="27" max="27" width="28.6640625" style="47" customWidth="1"/>
    <col min="28" max="28" width="29.5546875" style="26" customWidth="1"/>
    <col min="29" max="29" width="27.44140625" style="26" customWidth="1"/>
    <col min="30" max="30" width="30.109375" style="26" customWidth="1"/>
    <col min="31" max="31" width="30.88671875" style="30" customWidth="1"/>
    <col min="32" max="32" width="25" style="26" customWidth="1"/>
    <col min="33" max="33" width="30.33203125" style="19" customWidth="1"/>
    <col min="34" max="34" width="28.5546875" style="26" customWidth="1"/>
    <col min="35" max="35" width="29.33203125" style="26" customWidth="1"/>
    <col min="36" max="36" width="20.109375" style="26" customWidth="1"/>
    <col min="37" max="37" width="23.109375" style="26" customWidth="1"/>
    <col min="38" max="38" width="23.33203125" style="26" customWidth="1"/>
    <col min="39" max="39" width="25.88671875" style="26" customWidth="1"/>
    <col min="40" max="40" width="23.88671875" style="26" customWidth="1"/>
    <col min="41" max="41" width="24" style="20" customWidth="1"/>
    <col min="42" max="42" width="34" style="39" customWidth="1"/>
    <col min="43" max="43" width="52.6640625" style="14"/>
    <col min="44" max="16384" width="52.6640625" style="1"/>
  </cols>
  <sheetData>
    <row r="1" spans="1:43" s="24" customFormat="1" ht="44.25" customHeight="1" x14ac:dyDescent="0.3">
      <c r="A1" s="23" t="s">
        <v>26</v>
      </c>
      <c r="B1" s="23" t="s">
        <v>25</v>
      </c>
      <c r="C1" s="23" t="s">
        <v>60</v>
      </c>
      <c r="D1" s="23" t="s">
        <v>19</v>
      </c>
      <c r="E1" s="41" t="s">
        <v>5</v>
      </c>
      <c r="F1" s="23" t="s">
        <v>6</v>
      </c>
      <c r="G1" s="22" t="s">
        <v>18</v>
      </c>
      <c r="H1" s="29" t="s">
        <v>16</v>
      </c>
      <c r="I1" s="29" t="s">
        <v>43</v>
      </c>
      <c r="J1" s="29" t="s">
        <v>28</v>
      </c>
      <c r="K1" s="33" t="s">
        <v>40</v>
      </c>
      <c r="L1" s="33" t="s">
        <v>41</v>
      </c>
      <c r="M1" s="33" t="s">
        <v>42</v>
      </c>
      <c r="N1" s="29" t="s">
        <v>17</v>
      </c>
      <c r="O1" s="34" t="s">
        <v>32</v>
      </c>
      <c r="P1" s="34" t="s">
        <v>57</v>
      </c>
      <c r="Q1" s="28" t="s">
        <v>56</v>
      </c>
      <c r="R1" s="27" t="s">
        <v>44</v>
      </c>
      <c r="S1" s="27" t="s">
        <v>45</v>
      </c>
      <c r="T1" s="27" t="s">
        <v>46</v>
      </c>
      <c r="U1" s="48" t="s">
        <v>47</v>
      </c>
      <c r="V1" s="35" t="s">
        <v>48</v>
      </c>
      <c r="W1" s="35" t="s">
        <v>49</v>
      </c>
      <c r="X1" s="31" t="s">
        <v>14</v>
      </c>
      <c r="Y1" s="31" t="s">
        <v>50</v>
      </c>
      <c r="Z1" s="31" t="s">
        <v>15</v>
      </c>
      <c r="AA1" s="50" t="s">
        <v>7</v>
      </c>
      <c r="AB1" s="40" t="s">
        <v>8</v>
      </c>
      <c r="AC1" s="40" t="s">
        <v>51</v>
      </c>
      <c r="AD1" s="40" t="s">
        <v>52</v>
      </c>
      <c r="AE1" s="44" t="s">
        <v>55</v>
      </c>
      <c r="AF1" s="43" t="s">
        <v>9</v>
      </c>
      <c r="AG1" s="36" t="s">
        <v>10</v>
      </c>
      <c r="AH1" s="45" t="s">
        <v>53</v>
      </c>
      <c r="AI1" s="46" t="s">
        <v>54</v>
      </c>
      <c r="AJ1" s="45" t="s">
        <v>58</v>
      </c>
      <c r="AK1" s="46" t="s">
        <v>62</v>
      </c>
      <c r="AL1" s="45" t="s">
        <v>34</v>
      </c>
      <c r="AM1" s="46" t="s">
        <v>35</v>
      </c>
      <c r="AN1" s="45" t="s">
        <v>12</v>
      </c>
      <c r="AO1" s="49" t="s">
        <v>11</v>
      </c>
      <c r="AP1" s="37" t="s">
        <v>13</v>
      </c>
      <c r="AQ1" s="51" t="s">
        <v>61</v>
      </c>
    </row>
    <row r="2" spans="1:43" ht="20.100000000000001" customHeight="1" x14ac:dyDescent="0.3">
      <c r="A2" s="1" t="s">
        <v>63</v>
      </c>
      <c r="B2" s="1">
        <v>2015</v>
      </c>
      <c r="C2" s="1" t="s">
        <v>64</v>
      </c>
      <c r="D2" s="1" t="s">
        <v>65</v>
      </c>
      <c r="E2" s="14">
        <v>11031.3528048772</v>
      </c>
      <c r="F2" s="1" t="s">
        <v>20</v>
      </c>
      <c r="G2" s="19" t="s">
        <v>66</v>
      </c>
      <c r="H2" s="1" t="s">
        <v>21</v>
      </c>
      <c r="I2" s="1" t="s">
        <v>27</v>
      </c>
      <c r="J2" s="1" t="s">
        <v>20</v>
      </c>
      <c r="K2" s="1" t="s">
        <v>21</v>
      </c>
      <c r="L2" s="1" t="s">
        <v>21</v>
      </c>
      <c r="M2" s="1">
        <v>0</v>
      </c>
      <c r="N2" s="1">
        <v>12</v>
      </c>
      <c r="O2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" s="1">
        <v>0</v>
      </c>
      <c r="S2" s="1">
        <v>0</v>
      </c>
      <c r="T2" s="1">
        <v>0</v>
      </c>
      <c r="U2" s="25" t="s">
        <v>21</v>
      </c>
      <c r="V2" s="30" t="s">
        <v>21</v>
      </c>
      <c r="W2" s="30" t="s">
        <v>21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47">
        <v>0</v>
      </c>
      <c r="AB2" s="26">
        <v>0</v>
      </c>
      <c r="AC2" s="26">
        <v>0</v>
      </c>
      <c r="AD2" s="26">
        <v>822.46866977259401</v>
      </c>
      <c r="AE2" s="30" t="s">
        <v>59</v>
      </c>
      <c r="AF2" s="26">
        <v>0</v>
      </c>
      <c r="AG2" s="20">
        <v>0</v>
      </c>
      <c r="AH2" s="26">
        <f>IF(ISNUMBER(Tabella2[[#This Row],[Mean RADIAL stress  (MPa)]]), Tabella2[[#This Row],[Mean RADIAL stress  (MPa)]],"")</f>
        <v>0</v>
      </c>
      <c r="AI2" s="26">
        <f>IF(ISNUMBER(Tabella2[[#This Row],[Amplitute RADIAL stress  (MPa)]]), Tabella2[[#This Row],[Amplitute RADIAL stress  (MPa)]],"")</f>
        <v>0</v>
      </c>
      <c r="AJ2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6">
        <f>IF(ISNUMBER(Tabella2[[#This Row],[Amplitute AXIAL stress  (MPa)]]),    IF(Tabella2[[#This Row],[derived from (AXIAL/BENDING) load]]="AXIAL",Tabella2[[#This Row],[Amplitute AXIAL stress  (MPa)]]*Tabella2[[#This Row],[Area (mm^2)]],"Null"), "")</f>
        <v>93019.015107552637</v>
      </c>
      <c r="AL2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3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822.46866977259401</v>
      </c>
    </row>
    <row r="3" spans="1:43" ht="20.100000000000001" customHeight="1" thickBot="1" x14ac:dyDescent="0.35">
      <c r="A3" s="1" t="s">
        <v>63</v>
      </c>
      <c r="B3" s="1">
        <v>2015</v>
      </c>
      <c r="C3" s="17" t="s">
        <v>64</v>
      </c>
      <c r="D3" s="1" t="s">
        <v>67</v>
      </c>
      <c r="E3" s="14">
        <v>40006.581089423104</v>
      </c>
      <c r="F3" s="1" t="s">
        <v>20</v>
      </c>
      <c r="G3" s="19" t="s">
        <v>66</v>
      </c>
      <c r="H3" s="1" t="s">
        <v>21</v>
      </c>
      <c r="I3" s="1" t="s">
        <v>27</v>
      </c>
      <c r="J3" s="1" t="s">
        <v>20</v>
      </c>
      <c r="K3" s="1" t="s">
        <v>21</v>
      </c>
      <c r="L3" s="1" t="s">
        <v>21</v>
      </c>
      <c r="M3" s="1">
        <v>0</v>
      </c>
      <c r="N3" s="1">
        <v>12</v>
      </c>
      <c r="O3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" s="1">
        <v>0</v>
      </c>
      <c r="S3" s="1">
        <v>0</v>
      </c>
      <c r="T3" s="1">
        <v>0</v>
      </c>
      <c r="U3" s="25" t="s">
        <v>21</v>
      </c>
      <c r="V3" s="30" t="s">
        <v>21</v>
      </c>
      <c r="W3" s="30" t="s">
        <v>21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47">
        <v>0</v>
      </c>
      <c r="AB3" s="26">
        <v>0</v>
      </c>
      <c r="AC3" s="18">
        <v>0</v>
      </c>
      <c r="AD3" s="26">
        <v>701.70382867038199</v>
      </c>
      <c r="AE3" s="30" t="s">
        <v>59</v>
      </c>
      <c r="AF3" s="18">
        <v>0</v>
      </c>
      <c r="AG3" s="20">
        <v>0</v>
      </c>
      <c r="AH3" s="47">
        <f>IF(ISNUMBER(Tabella2[[#This Row],[Mean RADIAL stress  (MPa)]]), Tabella2[[#This Row],[Mean RADIAL stress  (MPa)]],"")</f>
        <v>0</v>
      </c>
      <c r="AI3" s="26">
        <f>IF(ISNUMBER(Tabella2[[#This Row],[Amplitute RADIAL stress  (MPa)]]), Tabella2[[#This Row],[Amplitute RADIAL stress  (MPa)]],"")</f>
        <v>0</v>
      </c>
      <c r="AJ3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26">
        <f>IF(ISNUMBER(Tabella2[[#This Row],[Amplitute AXIAL stress  (MPa)]]),    IF(Tabella2[[#This Row],[derived from (AXIAL/BENDING) load]]="AXIAL",Tabella2[[#This Row],[Amplitute AXIAL stress  (MPa)]]*Tabella2[[#This Row],[Area (mm^2)]],"Null"), "")</f>
        <v>79360.833353281312</v>
      </c>
      <c r="AL3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701.70382867038199</v>
      </c>
    </row>
    <row r="4" spans="1:43" ht="20.100000000000001" customHeight="1" thickBot="1" x14ac:dyDescent="0.35">
      <c r="A4" s="1" t="s">
        <v>63</v>
      </c>
      <c r="B4" s="1">
        <v>2015</v>
      </c>
      <c r="C4" s="17" t="s">
        <v>64</v>
      </c>
      <c r="D4" s="1" t="s">
        <v>68</v>
      </c>
      <c r="E4" s="14">
        <v>57103.239405355103</v>
      </c>
      <c r="F4" s="1" t="s">
        <v>20</v>
      </c>
      <c r="G4" s="19" t="s">
        <v>66</v>
      </c>
      <c r="H4" s="1" t="s">
        <v>21</v>
      </c>
      <c r="I4" s="1" t="s">
        <v>27</v>
      </c>
      <c r="J4" s="1" t="s">
        <v>20</v>
      </c>
      <c r="K4" s="1" t="s">
        <v>21</v>
      </c>
      <c r="L4" s="1" t="s">
        <v>21</v>
      </c>
      <c r="M4" s="1">
        <v>0</v>
      </c>
      <c r="N4" s="1">
        <v>12</v>
      </c>
      <c r="O4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" s="1">
        <v>0</v>
      </c>
      <c r="S4" s="1">
        <v>0</v>
      </c>
      <c r="T4" s="1">
        <v>0</v>
      </c>
      <c r="U4" s="25" t="s">
        <v>21</v>
      </c>
      <c r="V4" s="30" t="s">
        <v>21</v>
      </c>
      <c r="W4" s="30" t="s">
        <v>21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47">
        <v>0</v>
      </c>
      <c r="AB4" s="26">
        <v>0</v>
      </c>
      <c r="AC4" s="18">
        <v>0</v>
      </c>
      <c r="AD4" s="26">
        <v>701.70382867038199</v>
      </c>
      <c r="AE4" s="30" t="s">
        <v>59</v>
      </c>
      <c r="AF4" s="18">
        <v>0</v>
      </c>
      <c r="AG4" s="20">
        <v>0</v>
      </c>
      <c r="AH4" s="47">
        <f>IF(ISNUMBER(Tabella2[[#This Row],[Mean RADIAL stress  (MPa)]]), Tabella2[[#This Row],[Mean RADIAL stress  (MPa)]],"")</f>
        <v>0</v>
      </c>
      <c r="AI4" s="26">
        <f>IF(ISNUMBER(Tabella2[[#This Row],[Amplitute RADIAL stress  (MPa)]]), Tabella2[[#This Row],[Amplitute RADIAL stress  (MPa)]],"")</f>
        <v>0</v>
      </c>
      <c r="AJ4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6">
        <f>IF(ISNUMBER(Tabella2[[#This Row],[Amplitute AXIAL stress  (MPa)]]),    IF(Tabella2[[#This Row],[derived from (AXIAL/BENDING) load]]="AXIAL",Tabella2[[#This Row],[Amplitute AXIAL stress  (MPa)]]*Tabella2[[#This Row],[Area (mm^2)]],"Null"), "")</f>
        <v>79360.833353281312</v>
      </c>
      <c r="AL4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701.70382867038199</v>
      </c>
    </row>
    <row r="5" spans="1:43" ht="20.100000000000001" customHeight="1" thickBot="1" x14ac:dyDescent="0.35">
      <c r="A5" s="1" t="s">
        <v>63</v>
      </c>
      <c r="B5" s="1">
        <v>2015</v>
      </c>
      <c r="C5" s="17" t="s">
        <v>64</v>
      </c>
      <c r="D5" s="1" t="s">
        <v>69</v>
      </c>
      <c r="E5" s="14">
        <v>138140.084016818</v>
      </c>
      <c r="F5" s="1" t="s">
        <v>20</v>
      </c>
      <c r="G5" s="19" t="s">
        <v>66</v>
      </c>
      <c r="H5" s="1" t="s">
        <v>21</v>
      </c>
      <c r="I5" s="1" t="s">
        <v>27</v>
      </c>
      <c r="J5" s="1" t="s">
        <v>20</v>
      </c>
      <c r="K5" s="1" t="s">
        <v>21</v>
      </c>
      <c r="L5" s="1" t="s">
        <v>21</v>
      </c>
      <c r="M5" s="1">
        <v>0</v>
      </c>
      <c r="N5" s="1">
        <v>12</v>
      </c>
      <c r="O5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" s="1">
        <v>0</v>
      </c>
      <c r="S5" s="1">
        <v>0</v>
      </c>
      <c r="T5" s="1">
        <v>0</v>
      </c>
      <c r="U5" s="25" t="s">
        <v>21</v>
      </c>
      <c r="V5" s="30" t="s">
        <v>21</v>
      </c>
      <c r="W5" s="30" t="s">
        <v>21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47">
        <v>0</v>
      </c>
      <c r="AB5" s="26">
        <v>0</v>
      </c>
      <c r="AC5" s="18">
        <v>0</v>
      </c>
      <c r="AD5" s="26">
        <v>613.477174240674</v>
      </c>
      <c r="AE5" s="30" t="s">
        <v>59</v>
      </c>
      <c r="AF5" s="18">
        <v>0</v>
      </c>
      <c r="AG5" s="20">
        <v>0</v>
      </c>
      <c r="AH5" s="47">
        <f>IF(ISNUMBER(Tabella2[[#This Row],[Mean RADIAL stress  (MPa)]]), Tabella2[[#This Row],[Mean RADIAL stress  (MPa)]],"")</f>
        <v>0</v>
      </c>
      <c r="AI5" s="26">
        <f>IF(ISNUMBER(Tabella2[[#This Row],[Amplitute RADIAL stress  (MPa)]]), Tabella2[[#This Row],[Amplitute RADIAL stress  (MPa)]],"")</f>
        <v>0</v>
      </c>
      <c r="AJ5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6">
        <f>IF(ISNUMBER(Tabella2[[#This Row],[Amplitute AXIAL stress  (MPa)]]),    IF(Tabella2[[#This Row],[derived from (AXIAL/BENDING) load]]="AXIAL",Tabella2[[#This Row],[Amplitute AXIAL stress  (MPa)]]*Tabella2[[#This Row],[Area (mm^2)]],"Null"), "")</f>
        <v>69382.633814622968</v>
      </c>
      <c r="AL5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613.477174240674</v>
      </c>
    </row>
    <row r="6" spans="1:43" ht="20.100000000000001" customHeight="1" thickBot="1" x14ac:dyDescent="0.35">
      <c r="A6" s="1" t="s">
        <v>63</v>
      </c>
      <c r="B6" s="1">
        <v>2015</v>
      </c>
      <c r="C6" s="17" t="s">
        <v>64</v>
      </c>
      <c r="D6" s="1" t="s">
        <v>70</v>
      </c>
      <c r="E6" s="14">
        <v>158100.87759316701</v>
      </c>
      <c r="F6" s="1" t="s">
        <v>20</v>
      </c>
      <c r="G6" s="19" t="s">
        <v>66</v>
      </c>
      <c r="H6" s="1" t="s">
        <v>21</v>
      </c>
      <c r="I6" s="1" t="s">
        <v>27</v>
      </c>
      <c r="J6" s="1" t="s">
        <v>20</v>
      </c>
      <c r="K6" s="1" t="s">
        <v>21</v>
      </c>
      <c r="L6" s="1" t="s">
        <v>21</v>
      </c>
      <c r="M6" s="1">
        <v>0</v>
      </c>
      <c r="N6" s="1">
        <v>12</v>
      </c>
      <c r="O6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6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6" s="1">
        <v>0</v>
      </c>
      <c r="S6" s="1">
        <v>0</v>
      </c>
      <c r="T6" s="1">
        <v>0</v>
      </c>
      <c r="U6" s="25" t="s">
        <v>21</v>
      </c>
      <c r="V6" s="30" t="s">
        <v>21</v>
      </c>
      <c r="W6" s="30" t="s">
        <v>21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47">
        <v>0</v>
      </c>
      <c r="AB6" s="26">
        <v>0</v>
      </c>
      <c r="AC6" s="18">
        <v>0</v>
      </c>
      <c r="AD6" s="26">
        <v>606.02894692048301</v>
      </c>
      <c r="AE6" s="30" t="s">
        <v>59</v>
      </c>
      <c r="AF6" s="18">
        <v>0</v>
      </c>
      <c r="AG6" s="20">
        <v>0</v>
      </c>
      <c r="AH6" s="47">
        <f>IF(ISNUMBER(Tabella2[[#This Row],[Mean RADIAL stress  (MPa)]]), Tabella2[[#This Row],[Mean RADIAL stress  (MPa)]],"")</f>
        <v>0</v>
      </c>
      <c r="AI6" s="26">
        <f>IF(ISNUMBER(Tabella2[[#This Row],[Amplitute RADIAL stress  (MPa)]]), Tabella2[[#This Row],[Amplitute RADIAL stress  (MPa)]],"")</f>
        <v>0</v>
      </c>
      <c r="AJ6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26">
        <f>IF(ISNUMBER(Tabella2[[#This Row],[Amplitute AXIAL stress  (MPa)]]),    IF(Tabella2[[#This Row],[derived from (AXIAL/BENDING) load]]="AXIAL",Tabella2[[#This Row],[Amplitute AXIAL stress  (MPa)]]*Tabella2[[#This Row],[Area (mm^2)]],"Null"), "")</f>
        <v>68540.259150293336</v>
      </c>
      <c r="AL6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606.02894692048301</v>
      </c>
    </row>
    <row r="7" spans="1:43" ht="20.100000000000001" customHeight="1" thickBot="1" x14ac:dyDescent="0.35">
      <c r="A7" s="1" t="s">
        <v>63</v>
      </c>
      <c r="B7" s="1">
        <v>2015</v>
      </c>
      <c r="C7" s="17" t="s">
        <v>64</v>
      </c>
      <c r="D7" s="1" t="s">
        <v>71</v>
      </c>
      <c r="E7" s="14">
        <v>314293.71874558198</v>
      </c>
      <c r="F7" s="1" t="s">
        <v>20</v>
      </c>
      <c r="G7" s="19" t="s">
        <v>66</v>
      </c>
      <c r="H7" s="1" t="s">
        <v>21</v>
      </c>
      <c r="I7" s="1" t="s">
        <v>27</v>
      </c>
      <c r="J7" s="1" t="s">
        <v>20</v>
      </c>
      <c r="K7" s="1" t="s">
        <v>21</v>
      </c>
      <c r="L7" s="1" t="s">
        <v>21</v>
      </c>
      <c r="M7" s="1">
        <v>0</v>
      </c>
      <c r="N7" s="1">
        <v>12</v>
      </c>
      <c r="O7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7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7" s="1">
        <v>0</v>
      </c>
      <c r="S7" s="1">
        <v>0</v>
      </c>
      <c r="T7" s="1">
        <v>0</v>
      </c>
      <c r="U7" s="25" t="s">
        <v>21</v>
      </c>
      <c r="V7" s="30" t="s">
        <v>21</v>
      </c>
      <c r="W7" s="30" t="s">
        <v>21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" s="47">
        <v>0</v>
      </c>
      <c r="AB7" s="26">
        <v>0</v>
      </c>
      <c r="AC7" s="18">
        <v>0</v>
      </c>
      <c r="AD7" s="26">
        <v>563.200627451012</v>
      </c>
      <c r="AE7" s="30" t="s">
        <v>59</v>
      </c>
      <c r="AF7" s="18">
        <v>0</v>
      </c>
      <c r="AG7" s="20">
        <v>0</v>
      </c>
      <c r="AH7" s="47">
        <f>IF(ISNUMBER(Tabella2[[#This Row],[Mean RADIAL stress  (MPa)]]), Tabella2[[#This Row],[Mean RADIAL stress  (MPa)]],"")</f>
        <v>0</v>
      </c>
      <c r="AI7" s="26">
        <f>IF(ISNUMBER(Tabella2[[#This Row],[Amplitute RADIAL stress  (MPa)]]), Tabella2[[#This Row],[Amplitute RADIAL stress  (MPa)]],"")</f>
        <v>0</v>
      </c>
      <c r="AJ7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26">
        <f>IF(ISNUMBER(Tabella2[[#This Row],[Amplitute AXIAL stress  (MPa)]]),    IF(Tabella2[[#This Row],[derived from (AXIAL/BENDING) load]]="AXIAL",Tabella2[[#This Row],[Amplitute AXIAL stress  (MPa)]]*Tabella2[[#This Row],[Area (mm^2)]],"Null"), "")</f>
        <v>63696.490333101407</v>
      </c>
      <c r="AL7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563.200627451012</v>
      </c>
    </row>
    <row r="8" spans="1:43" ht="20.100000000000001" customHeight="1" thickBot="1" x14ac:dyDescent="0.35">
      <c r="A8" s="1" t="s">
        <v>63</v>
      </c>
      <c r="B8" s="1">
        <v>2015</v>
      </c>
      <c r="C8" s="17" t="s">
        <v>64</v>
      </c>
      <c r="D8" s="1" t="s">
        <v>72</v>
      </c>
      <c r="E8" s="14">
        <v>382466.36690465</v>
      </c>
      <c r="F8" s="1" t="s">
        <v>20</v>
      </c>
      <c r="G8" s="19" t="s">
        <v>66</v>
      </c>
      <c r="H8" s="1" t="s">
        <v>21</v>
      </c>
      <c r="I8" s="1" t="s">
        <v>27</v>
      </c>
      <c r="J8" s="1" t="s">
        <v>20</v>
      </c>
      <c r="K8" s="1" t="s">
        <v>21</v>
      </c>
      <c r="L8" s="1" t="s">
        <v>21</v>
      </c>
      <c r="M8" s="1">
        <v>0</v>
      </c>
      <c r="N8" s="1">
        <v>12</v>
      </c>
      <c r="O8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8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8" s="1">
        <v>0</v>
      </c>
      <c r="S8" s="1">
        <v>0</v>
      </c>
      <c r="T8" s="1">
        <v>0</v>
      </c>
      <c r="U8" s="25" t="s">
        <v>21</v>
      </c>
      <c r="V8" s="30" t="s">
        <v>21</v>
      </c>
      <c r="W8" s="30" t="s">
        <v>21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" s="47">
        <v>0</v>
      </c>
      <c r="AB8" s="26">
        <v>0</v>
      </c>
      <c r="AC8" s="18">
        <v>0</v>
      </c>
      <c r="AD8" s="26">
        <v>577.12941454086604</v>
      </c>
      <c r="AE8" s="30" t="s">
        <v>59</v>
      </c>
      <c r="AF8" s="18">
        <v>0</v>
      </c>
      <c r="AG8" s="20">
        <v>0</v>
      </c>
      <c r="AH8" s="47">
        <f>IF(ISNUMBER(Tabella2[[#This Row],[Mean RADIAL stress  (MPa)]]), Tabella2[[#This Row],[Mean RADIAL stress  (MPa)]],"")</f>
        <v>0</v>
      </c>
      <c r="AI8" s="26">
        <f>IF(ISNUMBER(Tabella2[[#This Row],[Amplitute RADIAL stress  (MPa)]]), Tabella2[[#This Row],[Amplitute RADIAL stress  (MPa)]],"")</f>
        <v>0</v>
      </c>
      <c r="AJ8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26">
        <f>IF(ISNUMBER(Tabella2[[#This Row],[Amplitute AXIAL stress  (MPa)]]),    IF(Tabella2[[#This Row],[derived from (AXIAL/BENDING) load]]="AXIAL",Tabella2[[#This Row],[Amplitute AXIAL stress  (MPa)]]*Tabella2[[#This Row],[Area (mm^2)]],"Null"), "")</f>
        <v>65271.799040117869</v>
      </c>
      <c r="AL8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577.12941454086604</v>
      </c>
    </row>
    <row r="9" spans="1:43" ht="20.100000000000001" customHeight="1" thickBot="1" x14ac:dyDescent="0.35">
      <c r="A9" s="1" t="s">
        <v>63</v>
      </c>
      <c r="B9" s="1">
        <v>2015</v>
      </c>
      <c r="C9" s="17" t="s">
        <v>64</v>
      </c>
      <c r="D9" s="1" t="s">
        <v>73</v>
      </c>
      <c r="E9" s="14">
        <v>602214.67193229997</v>
      </c>
      <c r="F9" s="1" t="s">
        <v>20</v>
      </c>
      <c r="G9" s="19" t="s">
        <v>66</v>
      </c>
      <c r="H9" s="1" t="s">
        <v>21</v>
      </c>
      <c r="I9" s="1" t="s">
        <v>27</v>
      </c>
      <c r="J9" s="1" t="s">
        <v>20</v>
      </c>
      <c r="K9" s="1" t="s">
        <v>21</v>
      </c>
      <c r="L9" s="1" t="s">
        <v>21</v>
      </c>
      <c r="M9" s="1">
        <v>0</v>
      </c>
      <c r="N9" s="1">
        <v>12</v>
      </c>
      <c r="O9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9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9" s="1">
        <v>0</v>
      </c>
      <c r="S9" s="1">
        <v>0</v>
      </c>
      <c r="T9" s="1">
        <v>0</v>
      </c>
      <c r="U9" s="25" t="s">
        <v>21</v>
      </c>
      <c r="V9" s="30" t="s">
        <v>21</v>
      </c>
      <c r="W9" s="30" t="s">
        <v>21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9" s="47">
        <v>0</v>
      </c>
      <c r="AB9" s="26">
        <v>0</v>
      </c>
      <c r="AC9" s="18">
        <v>0</v>
      </c>
      <c r="AD9" s="26">
        <v>510.76697810379699</v>
      </c>
      <c r="AE9" s="30" t="s">
        <v>59</v>
      </c>
      <c r="AF9" s="18">
        <v>0</v>
      </c>
      <c r="AG9" s="20">
        <v>0</v>
      </c>
      <c r="AH9" s="47">
        <f>IF(ISNUMBER(Tabella2[[#This Row],[Mean RADIAL stress  (MPa)]]), Tabella2[[#This Row],[Mean RADIAL stress  (MPa)]],"")</f>
        <v>0</v>
      </c>
      <c r="AI9" s="26">
        <f>IF(ISNUMBER(Tabella2[[#This Row],[Amplitute RADIAL stress  (MPa)]]), Tabella2[[#This Row],[Amplitute RADIAL stress  (MPa)]],"")</f>
        <v>0</v>
      </c>
      <c r="AJ9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26">
        <f>IF(ISNUMBER(Tabella2[[#This Row],[Amplitute AXIAL stress  (MPa)]]),    IF(Tabella2[[#This Row],[derived from (AXIAL/BENDING) load]]="AXIAL",Tabella2[[#This Row],[Amplitute AXIAL stress  (MPa)]]*Tabella2[[#This Row],[Area (mm^2)]],"Null"), "")</f>
        <v>57766.384299857302</v>
      </c>
      <c r="AL9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510.76697810379699</v>
      </c>
    </row>
    <row r="10" spans="1:43" ht="20.100000000000001" customHeight="1" thickBot="1" x14ac:dyDescent="0.35">
      <c r="A10" s="1" t="s">
        <v>63</v>
      </c>
      <c r="B10" s="1">
        <v>2015</v>
      </c>
      <c r="C10" s="17" t="s">
        <v>64</v>
      </c>
      <c r="D10" s="1" t="s">
        <v>74</v>
      </c>
      <c r="E10" s="14">
        <v>808421.12834591803</v>
      </c>
      <c r="F10" s="1" t="s">
        <v>20</v>
      </c>
      <c r="G10" s="19" t="s">
        <v>66</v>
      </c>
      <c r="H10" s="1" t="s">
        <v>21</v>
      </c>
      <c r="I10" s="1" t="s">
        <v>27</v>
      </c>
      <c r="J10" s="1" t="s">
        <v>20</v>
      </c>
      <c r="K10" s="1" t="s">
        <v>21</v>
      </c>
      <c r="L10" s="1" t="s">
        <v>21</v>
      </c>
      <c r="M10" s="1">
        <v>0</v>
      </c>
      <c r="N10" s="1">
        <v>12</v>
      </c>
      <c r="O10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0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0" s="1">
        <v>0</v>
      </c>
      <c r="S10" s="1">
        <v>0</v>
      </c>
      <c r="T10" s="1">
        <v>0</v>
      </c>
      <c r="U10" s="25" t="s">
        <v>21</v>
      </c>
      <c r="V10" s="30" t="s">
        <v>21</v>
      </c>
      <c r="W10" s="30" t="s">
        <v>21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0" s="47">
        <v>0</v>
      </c>
      <c r="AB10" s="26">
        <v>0</v>
      </c>
      <c r="AC10" s="18">
        <v>0</v>
      </c>
      <c r="AD10" s="26">
        <v>517.04441514685504</v>
      </c>
      <c r="AE10" s="30" t="s">
        <v>59</v>
      </c>
      <c r="AF10" s="18">
        <v>0</v>
      </c>
      <c r="AG10" s="20">
        <v>0</v>
      </c>
      <c r="AH10" s="47">
        <f>IF(ISNUMBER(Tabella2[[#This Row],[Mean RADIAL stress  (MPa)]]), Tabella2[[#This Row],[Mean RADIAL stress  (MPa)]],"")</f>
        <v>0</v>
      </c>
      <c r="AI10" s="26">
        <f>IF(ISNUMBER(Tabella2[[#This Row],[Amplitute RADIAL stress  (MPa)]]), Tabella2[[#This Row],[Amplitute RADIAL stress  (MPa)]],"")</f>
        <v>0</v>
      </c>
      <c r="AJ10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26">
        <f>IF(ISNUMBER(Tabella2[[#This Row],[Amplitute AXIAL stress  (MPa)]]),    IF(Tabella2[[#This Row],[derived from (AXIAL/BENDING) load]]="AXIAL",Tabella2[[#This Row],[Amplitute AXIAL stress  (MPa)]]*Tabella2[[#This Row],[Area (mm^2)]],"Null"), "")</f>
        <v>58476.345703379673</v>
      </c>
      <c r="AL10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517.04441514685504</v>
      </c>
    </row>
    <row r="11" spans="1:43" ht="20.100000000000001" customHeight="1" thickBot="1" x14ac:dyDescent="0.35">
      <c r="A11" s="1" t="s">
        <v>63</v>
      </c>
      <c r="B11" s="1">
        <v>2015</v>
      </c>
      <c r="C11" s="17" t="s">
        <v>64</v>
      </c>
      <c r="D11" s="1" t="s">
        <v>75</v>
      </c>
      <c r="E11" s="14">
        <v>10927.591542570101</v>
      </c>
      <c r="F11" s="1" t="s">
        <v>20</v>
      </c>
      <c r="G11" s="19" t="s">
        <v>66</v>
      </c>
      <c r="H11" s="1" t="s">
        <v>21</v>
      </c>
      <c r="I11" s="1" t="s">
        <v>27</v>
      </c>
      <c r="J11" s="1" t="s">
        <v>20</v>
      </c>
      <c r="K11" s="1" t="s">
        <v>21</v>
      </c>
      <c r="L11" s="1" t="s">
        <v>21</v>
      </c>
      <c r="M11" s="1">
        <v>0</v>
      </c>
      <c r="N11" s="1">
        <v>12</v>
      </c>
      <c r="O11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1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1" s="1">
        <v>0</v>
      </c>
      <c r="S11" s="1">
        <v>0</v>
      </c>
      <c r="T11" s="1">
        <v>0</v>
      </c>
      <c r="U11" s="25" t="s">
        <v>21</v>
      </c>
      <c r="V11" s="30" t="s">
        <v>21</v>
      </c>
      <c r="W11" s="30" t="s">
        <v>21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-2.0000000000000004</v>
      </c>
      <c r="AA11" s="47">
        <v>0</v>
      </c>
      <c r="AB11" s="26">
        <v>0</v>
      </c>
      <c r="AC11" s="18">
        <v>0</v>
      </c>
      <c r="AD11" s="26">
        <v>0</v>
      </c>
      <c r="AE11" s="30" t="s">
        <v>59</v>
      </c>
      <c r="AF11" s="18">
        <v>-173.41116914238668</v>
      </c>
      <c r="AG11" s="20">
        <v>520.23350742716002</v>
      </c>
      <c r="AH11" s="47">
        <f>IF(ISNUMBER(Tabella2[[#This Row],[Mean RADIAL stress  (MPa)]]), Tabella2[[#This Row],[Mean RADIAL stress  (MPa)]],"")</f>
        <v>0</v>
      </c>
      <c r="AI11" s="26">
        <f>IF(ISNUMBER(Tabella2[[#This Row],[Amplitute RADIAL stress  (MPa)]]), Tabella2[[#This Row],[Amplitute RADIAL stress  (MPa)]],"")</f>
        <v>0</v>
      </c>
      <c r="AJ11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-58837.023543039017</v>
      </c>
      <c r="AO1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176511.07062911705</v>
      </c>
      <c r="AP1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901.07086666360203</v>
      </c>
    </row>
    <row r="12" spans="1:43" ht="20.100000000000001" customHeight="1" thickBot="1" x14ac:dyDescent="0.35">
      <c r="A12" s="1" t="s">
        <v>63</v>
      </c>
      <c r="B12" s="1">
        <v>2015</v>
      </c>
      <c r="C12" s="17" t="s">
        <v>64</v>
      </c>
      <c r="D12" s="1" t="s">
        <v>76</v>
      </c>
      <c r="E12" s="14">
        <v>13971.5482038106</v>
      </c>
      <c r="F12" s="1" t="s">
        <v>20</v>
      </c>
      <c r="G12" s="19" t="s">
        <v>66</v>
      </c>
      <c r="H12" s="1" t="s">
        <v>21</v>
      </c>
      <c r="I12" s="1" t="s">
        <v>27</v>
      </c>
      <c r="J12" s="1" t="s">
        <v>20</v>
      </c>
      <c r="K12" s="1" t="s">
        <v>21</v>
      </c>
      <c r="L12" s="1" t="s">
        <v>21</v>
      </c>
      <c r="M12" s="1">
        <v>0</v>
      </c>
      <c r="N12" s="1">
        <v>12</v>
      </c>
      <c r="O12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2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2" s="1">
        <v>0</v>
      </c>
      <c r="S12" s="1">
        <v>0</v>
      </c>
      <c r="T12" s="1">
        <v>0</v>
      </c>
      <c r="U12" s="25" t="s">
        <v>21</v>
      </c>
      <c r="V12" s="30" t="s">
        <v>21</v>
      </c>
      <c r="W12" s="30" t="s">
        <v>21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-2</v>
      </c>
      <c r="AA12" s="47">
        <v>0</v>
      </c>
      <c r="AB12" s="26">
        <v>0</v>
      </c>
      <c r="AC12" s="18">
        <v>0</v>
      </c>
      <c r="AD12" s="26">
        <v>0</v>
      </c>
      <c r="AE12" s="30" t="s">
        <v>59</v>
      </c>
      <c r="AF12" s="18">
        <v>-171.86650186777865</v>
      </c>
      <c r="AG12" s="20">
        <v>515.59950560333596</v>
      </c>
      <c r="AH12" s="47">
        <f>IF(ISNUMBER(Tabella2[[#This Row],[Mean RADIAL stress  (MPa)]]), Tabella2[[#This Row],[Mean RADIAL stress  (MPa)]],"")</f>
        <v>0</v>
      </c>
      <c r="AI12" s="26">
        <f>IF(ISNUMBER(Tabella2[[#This Row],[Amplitute RADIAL stress  (MPa)]]), Tabella2[[#This Row],[Amplitute RADIAL stress  (MPa)]],"")</f>
        <v>0</v>
      </c>
      <c r="AJ12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2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-58312.9302839269</v>
      </c>
      <c r="AO1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174938.79085178071</v>
      </c>
      <c r="AP1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893.04454006237199</v>
      </c>
    </row>
    <row r="13" spans="1:43" ht="20.100000000000001" customHeight="1" thickBot="1" x14ac:dyDescent="0.35">
      <c r="A13" s="1" t="s">
        <v>63</v>
      </c>
      <c r="B13" s="1">
        <v>2015</v>
      </c>
      <c r="C13" s="17" t="s">
        <v>64</v>
      </c>
      <c r="D13" s="1" t="s">
        <v>77</v>
      </c>
      <c r="E13" s="14">
        <v>131752.735043461</v>
      </c>
      <c r="F13" s="1" t="s">
        <v>20</v>
      </c>
      <c r="G13" s="19" t="s">
        <v>66</v>
      </c>
      <c r="H13" s="1" t="s">
        <v>21</v>
      </c>
      <c r="I13" s="1" t="s">
        <v>27</v>
      </c>
      <c r="J13" s="1" t="s">
        <v>20</v>
      </c>
      <c r="K13" s="1" t="s">
        <v>21</v>
      </c>
      <c r="L13" s="1" t="s">
        <v>21</v>
      </c>
      <c r="M13" s="1">
        <v>0</v>
      </c>
      <c r="N13" s="1">
        <v>12</v>
      </c>
      <c r="O13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3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3" s="1">
        <v>0</v>
      </c>
      <c r="S13" s="1">
        <v>0</v>
      </c>
      <c r="T13" s="1">
        <v>0</v>
      </c>
      <c r="U13" s="25" t="s">
        <v>21</v>
      </c>
      <c r="V13" s="30" t="s">
        <v>21</v>
      </c>
      <c r="W13" s="30" t="s">
        <v>21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-2.0000000000000004</v>
      </c>
      <c r="AA13" s="47">
        <v>0</v>
      </c>
      <c r="AB13" s="26">
        <v>0</v>
      </c>
      <c r="AC13" s="18">
        <v>0</v>
      </c>
      <c r="AD13" s="26">
        <v>0</v>
      </c>
      <c r="AE13" s="30" t="s">
        <v>59</v>
      </c>
      <c r="AF13" s="18">
        <v>-151.85863743279768</v>
      </c>
      <c r="AG13" s="20">
        <v>455.57591229839301</v>
      </c>
      <c r="AH13" s="47">
        <f>IF(ISNUMBER(Tabella2[[#This Row],[Mean RADIAL stress  (MPa)]]), Tabella2[[#This Row],[Mean RADIAL stress  (MPa)]],"")</f>
        <v>0</v>
      </c>
      <c r="AI13" s="26">
        <f>IF(ISNUMBER(Tabella2[[#This Row],[Amplitute RADIAL stress  (MPa)]]), Tabella2[[#This Row],[Amplitute RADIAL stress  (MPa)]],"")</f>
        <v>0</v>
      </c>
      <c r="AJ13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3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-51524.42181224758</v>
      </c>
      <c r="AO1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154573.26543674272</v>
      </c>
      <c r="AP1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789.08062680535966</v>
      </c>
    </row>
    <row r="14" spans="1:43" ht="20.100000000000001" customHeight="1" thickBot="1" x14ac:dyDescent="0.35">
      <c r="A14" s="1" t="s">
        <v>63</v>
      </c>
      <c r="B14" s="1">
        <v>2015</v>
      </c>
      <c r="C14" s="17" t="s">
        <v>64</v>
      </c>
      <c r="D14" s="1" t="s">
        <v>78</v>
      </c>
      <c r="E14" s="14">
        <v>161706.10743453199</v>
      </c>
      <c r="F14" s="1" t="s">
        <v>20</v>
      </c>
      <c r="G14" s="19" t="s">
        <v>66</v>
      </c>
      <c r="H14" s="1" t="s">
        <v>21</v>
      </c>
      <c r="I14" s="1" t="s">
        <v>27</v>
      </c>
      <c r="J14" s="1" t="s">
        <v>20</v>
      </c>
      <c r="K14" s="1" t="s">
        <v>21</v>
      </c>
      <c r="L14" s="1" t="s">
        <v>21</v>
      </c>
      <c r="M14" s="1">
        <v>0</v>
      </c>
      <c r="N14" s="1">
        <v>12</v>
      </c>
      <c r="O14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4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4" s="1">
        <v>0</v>
      </c>
      <c r="S14" s="1">
        <v>0</v>
      </c>
      <c r="T14" s="1">
        <v>0</v>
      </c>
      <c r="U14" s="25" t="s">
        <v>21</v>
      </c>
      <c r="V14" s="30" t="s">
        <v>21</v>
      </c>
      <c r="W14" s="30" t="s">
        <v>21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-1.9999999999999996</v>
      </c>
      <c r="AA14" s="47">
        <v>0</v>
      </c>
      <c r="AB14" s="26">
        <v>0</v>
      </c>
      <c r="AC14" s="18">
        <v>0</v>
      </c>
      <c r="AD14" s="26">
        <v>0</v>
      </c>
      <c r="AE14" s="30" t="s">
        <v>59</v>
      </c>
      <c r="AF14" s="18">
        <v>-151.81973211465433</v>
      </c>
      <c r="AG14" s="20">
        <v>455.45919634396301</v>
      </c>
      <c r="AH14" s="47">
        <f>IF(ISNUMBER(Tabella2[[#This Row],[Mean RADIAL stress  (MPa)]]), Tabella2[[#This Row],[Mean RADIAL stress  (MPa)]],"")</f>
        <v>0</v>
      </c>
      <c r="AI14" s="26">
        <f>IF(ISNUMBER(Tabella2[[#This Row],[Amplitute RADIAL stress  (MPa)]]), Tabella2[[#This Row],[Amplitute RADIAL stress  (MPa)]],"")</f>
        <v>0</v>
      </c>
      <c r="AJ14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4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-51511.221548787784</v>
      </c>
      <c r="AO1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154533.66464636338</v>
      </c>
      <c r="AP1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788.87846884223302</v>
      </c>
    </row>
    <row r="15" spans="1:43" ht="20.100000000000001" customHeight="1" thickBot="1" x14ac:dyDescent="0.35">
      <c r="A15" s="1" t="s">
        <v>63</v>
      </c>
      <c r="B15" s="1">
        <v>2015</v>
      </c>
      <c r="C15" s="17" t="s">
        <v>64</v>
      </c>
      <c r="D15" s="1" t="s">
        <v>79</v>
      </c>
      <c r="E15" s="14">
        <v>411409.90689811303</v>
      </c>
      <c r="F15" s="1" t="s">
        <v>20</v>
      </c>
      <c r="G15" s="19" t="s">
        <v>66</v>
      </c>
      <c r="H15" s="1" t="s">
        <v>21</v>
      </c>
      <c r="I15" s="1" t="s">
        <v>27</v>
      </c>
      <c r="J15" s="1" t="s">
        <v>20</v>
      </c>
      <c r="K15" s="1" t="s">
        <v>21</v>
      </c>
      <c r="L15" s="1" t="s">
        <v>21</v>
      </c>
      <c r="M15" s="1">
        <v>0</v>
      </c>
      <c r="N15" s="1">
        <v>12</v>
      </c>
      <c r="O15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5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5" s="1">
        <v>0</v>
      </c>
      <c r="S15" s="1">
        <v>0</v>
      </c>
      <c r="T15" s="1">
        <v>0</v>
      </c>
      <c r="U15" s="25" t="s">
        <v>21</v>
      </c>
      <c r="V15" s="30" t="s">
        <v>21</v>
      </c>
      <c r="W15" s="30" t="s">
        <v>21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-2.0000000000000004</v>
      </c>
      <c r="AA15" s="47">
        <v>0</v>
      </c>
      <c r="AB15" s="26">
        <v>0</v>
      </c>
      <c r="AC15" s="18">
        <v>0</v>
      </c>
      <c r="AD15" s="26">
        <v>0</v>
      </c>
      <c r="AE15" s="30" t="s">
        <v>59</v>
      </c>
      <c r="AF15" s="18">
        <v>-147.12543505879634</v>
      </c>
      <c r="AG15" s="20">
        <v>441.376305176389</v>
      </c>
      <c r="AH15" s="47">
        <f>IF(ISNUMBER(Tabella2[[#This Row],[Mean RADIAL stress  (MPa)]]), Tabella2[[#This Row],[Mean RADIAL stress  (MPa)]],"")</f>
        <v>0</v>
      </c>
      <c r="AI15" s="26">
        <f>IF(ISNUMBER(Tabella2[[#This Row],[Amplitute RADIAL stress  (MPa)]]), Tabella2[[#This Row],[Amplitute RADIAL stress  (MPa)]],"")</f>
        <v>0</v>
      </c>
      <c r="AJ15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5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-49918.484081187016</v>
      </c>
      <c r="AO1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149755.45224356101</v>
      </c>
      <c r="AP1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764.48618582253175</v>
      </c>
    </row>
    <row r="16" spans="1:43" ht="20.100000000000001" customHeight="1" thickBot="1" x14ac:dyDescent="0.35">
      <c r="A16" s="1" t="s">
        <v>63</v>
      </c>
      <c r="B16" s="1">
        <v>2015</v>
      </c>
      <c r="C16" s="17" t="s">
        <v>64</v>
      </c>
      <c r="D16" s="1" t="s">
        <v>80</v>
      </c>
      <c r="E16" s="14">
        <v>513238.00899761001</v>
      </c>
      <c r="F16" s="1" t="s">
        <v>20</v>
      </c>
      <c r="G16" s="19" t="s">
        <v>66</v>
      </c>
      <c r="H16" s="1" t="s">
        <v>21</v>
      </c>
      <c r="I16" s="1" t="s">
        <v>27</v>
      </c>
      <c r="J16" s="1" t="s">
        <v>20</v>
      </c>
      <c r="K16" s="1" t="s">
        <v>21</v>
      </c>
      <c r="L16" s="1" t="s">
        <v>21</v>
      </c>
      <c r="M16" s="1">
        <v>0</v>
      </c>
      <c r="N16" s="1">
        <v>12</v>
      </c>
      <c r="O16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6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6" s="1">
        <v>0</v>
      </c>
      <c r="S16" s="1">
        <v>0</v>
      </c>
      <c r="T16" s="1">
        <v>0</v>
      </c>
      <c r="U16" s="25" t="s">
        <v>21</v>
      </c>
      <c r="V16" s="30" t="s">
        <v>21</v>
      </c>
      <c r="W16" s="30" t="s">
        <v>21</v>
      </c>
      <c r="X1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-2.0000000000000004</v>
      </c>
      <c r="AA16" s="47">
        <v>0</v>
      </c>
      <c r="AB16" s="26">
        <v>0</v>
      </c>
      <c r="AC16" s="18">
        <v>0</v>
      </c>
      <c r="AD16" s="26">
        <v>0</v>
      </c>
      <c r="AE16" s="30" t="s">
        <v>59</v>
      </c>
      <c r="AF16" s="18">
        <v>-145.81939254205534</v>
      </c>
      <c r="AG16" s="20">
        <v>437.45817762616599</v>
      </c>
      <c r="AH16" s="47">
        <f>IF(ISNUMBER(Tabella2[[#This Row],[Mean RADIAL stress  (MPa)]]), Tabella2[[#This Row],[Mean RADIAL stress  (MPa)]],"")</f>
        <v>0</v>
      </c>
      <c r="AI16" s="26">
        <f>IF(ISNUMBER(Tabella2[[#This Row],[Amplitute RADIAL stress  (MPa)]]), Tabella2[[#This Row],[Amplitute RADIAL stress  (MPa)]],"")</f>
        <v>0</v>
      </c>
      <c r="AJ16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6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-49475.354294993107</v>
      </c>
      <c r="AO1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148426.06288497933</v>
      </c>
      <c r="AP1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757.69978983501017</v>
      </c>
    </row>
    <row r="17" spans="1:43" ht="20.100000000000001" customHeight="1" thickBot="1" x14ac:dyDescent="0.35">
      <c r="A17" s="1" t="s">
        <v>63</v>
      </c>
      <c r="B17" s="1">
        <v>2015</v>
      </c>
      <c r="C17" s="17" t="s">
        <v>64</v>
      </c>
      <c r="D17" s="1" t="s">
        <v>81</v>
      </c>
      <c r="E17" s="14">
        <v>18904.920800785902</v>
      </c>
      <c r="F17" s="1" t="s">
        <v>20</v>
      </c>
      <c r="G17" s="19" t="s">
        <v>66</v>
      </c>
      <c r="H17" s="1" t="s">
        <v>21</v>
      </c>
      <c r="I17" s="1" t="s">
        <v>27</v>
      </c>
      <c r="J17" s="1" t="s">
        <v>20</v>
      </c>
      <c r="K17" s="1" t="s">
        <v>21</v>
      </c>
      <c r="L17" s="1" t="s">
        <v>21</v>
      </c>
      <c r="M17" s="1">
        <v>0</v>
      </c>
      <c r="N17" s="1">
        <v>12</v>
      </c>
      <c r="O17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7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7" s="1">
        <v>0</v>
      </c>
      <c r="S17" s="1">
        <v>0</v>
      </c>
      <c r="T17" s="1">
        <v>0</v>
      </c>
      <c r="U17" s="25" t="s">
        <v>21</v>
      </c>
      <c r="V17" s="30" t="s">
        <v>21</v>
      </c>
      <c r="W17" s="30" t="s">
        <v>21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-3</v>
      </c>
      <c r="AA17" s="47">
        <v>0</v>
      </c>
      <c r="AB17" s="26">
        <v>0</v>
      </c>
      <c r="AC17" s="18">
        <v>0</v>
      </c>
      <c r="AD17" s="26">
        <v>0</v>
      </c>
      <c r="AE17" s="30" t="s">
        <v>59</v>
      </c>
      <c r="AF17" s="18">
        <v>-239.45466190491899</v>
      </c>
      <c r="AG17" s="20">
        <v>478.90932380983799</v>
      </c>
      <c r="AH17" s="47">
        <f>IF(ISNUMBER(Tabella2[[#This Row],[Mean RADIAL stress  (MPa)]]), Tabella2[[#This Row],[Mean RADIAL stress  (MPa)]],"")</f>
        <v>0</v>
      </c>
      <c r="AI17" s="26">
        <f>IF(ISNUMBER(Tabella2[[#This Row],[Amplitute RADIAL stress  (MPa)]]), Tabella2[[#This Row],[Amplitute RADIAL stress  (MPa)]],"")</f>
        <v>0</v>
      </c>
      <c r="AJ17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7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-81245.052724498688</v>
      </c>
      <c r="AO1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162490.10544899738</v>
      </c>
      <c r="AP1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829.49528105709487</v>
      </c>
    </row>
    <row r="18" spans="1:43" ht="20.100000000000001" customHeight="1" thickBot="1" x14ac:dyDescent="0.35">
      <c r="A18" s="1" t="s">
        <v>63</v>
      </c>
      <c r="B18" s="1">
        <v>2015</v>
      </c>
      <c r="C18" s="17" t="s">
        <v>64</v>
      </c>
      <c r="D18" s="1" t="s">
        <v>82</v>
      </c>
      <c r="E18" s="14">
        <v>81166.608468437204</v>
      </c>
      <c r="F18" s="1" t="s">
        <v>20</v>
      </c>
      <c r="G18" s="19" t="s">
        <v>66</v>
      </c>
      <c r="H18" s="1" t="s">
        <v>21</v>
      </c>
      <c r="I18" s="1" t="s">
        <v>27</v>
      </c>
      <c r="J18" s="1" t="s">
        <v>20</v>
      </c>
      <c r="K18" s="1" t="s">
        <v>21</v>
      </c>
      <c r="L18" s="1" t="s">
        <v>21</v>
      </c>
      <c r="M18" s="1">
        <v>0</v>
      </c>
      <c r="N18" s="1">
        <v>12</v>
      </c>
      <c r="O18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8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8" s="1">
        <v>0</v>
      </c>
      <c r="S18" s="1">
        <v>0</v>
      </c>
      <c r="T18" s="1">
        <v>0</v>
      </c>
      <c r="U18" s="25" t="s">
        <v>21</v>
      </c>
      <c r="V18" s="30" t="s">
        <v>21</v>
      </c>
      <c r="W18" s="30" t="s">
        <v>21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-3</v>
      </c>
      <c r="AA18" s="47">
        <v>0</v>
      </c>
      <c r="AB18" s="26">
        <v>0</v>
      </c>
      <c r="AC18" s="18">
        <v>0</v>
      </c>
      <c r="AD18" s="26">
        <v>0</v>
      </c>
      <c r="AE18" s="30" t="s">
        <v>59</v>
      </c>
      <c r="AF18" s="18">
        <v>-208.15856023854349</v>
      </c>
      <c r="AG18" s="20">
        <v>416.31712047708697</v>
      </c>
      <c r="AH18" s="47">
        <f>IF(ISNUMBER(Tabella2[[#This Row],[Mean RADIAL stress  (MPa)]]), Tabella2[[#This Row],[Mean RADIAL stress  (MPa)]],"")</f>
        <v>0</v>
      </c>
      <c r="AI18" s="26">
        <f>IF(ISNUMBER(Tabella2[[#This Row],[Amplitute RADIAL stress  (MPa)]]), Tabella2[[#This Row],[Amplitute RADIAL stress  (MPa)]],"")</f>
        <v>0</v>
      </c>
      <c r="AJ18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8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-70626.535591741544</v>
      </c>
      <c r="AO1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141253.07118348309</v>
      </c>
      <c r="AP1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721.08240472708803</v>
      </c>
    </row>
    <row r="19" spans="1:43" ht="20.100000000000001" customHeight="1" thickBot="1" x14ac:dyDescent="0.35">
      <c r="A19" s="1" t="s">
        <v>63</v>
      </c>
      <c r="B19" s="1">
        <v>2015</v>
      </c>
      <c r="C19" s="17" t="s">
        <v>64</v>
      </c>
      <c r="D19" s="1" t="s">
        <v>83</v>
      </c>
      <c r="E19" s="14">
        <v>110822.244159229</v>
      </c>
      <c r="F19" s="1" t="s">
        <v>20</v>
      </c>
      <c r="G19" s="19" t="s">
        <v>66</v>
      </c>
      <c r="H19" s="1" t="s">
        <v>21</v>
      </c>
      <c r="I19" s="1" t="s">
        <v>27</v>
      </c>
      <c r="J19" s="1" t="s">
        <v>20</v>
      </c>
      <c r="K19" s="1" t="s">
        <v>21</v>
      </c>
      <c r="L19" s="1" t="s">
        <v>21</v>
      </c>
      <c r="M19" s="1">
        <v>0</v>
      </c>
      <c r="N19" s="1">
        <v>12</v>
      </c>
      <c r="O19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9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9" s="1">
        <v>0</v>
      </c>
      <c r="S19" s="1">
        <v>0</v>
      </c>
      <c r="T19" s="1">
        <v>0</v>
      </c>
      <c r="U19" s="25" t="s">
        <v>21</v>
      </c>
      <c r="V19" s="30" t="s">
        <v>21</v>
      </c>
      <c r="W19" s="30" t="s">
        <v>21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-3</v>
      </c>
      <c r="AA19" s="47">
        <v>0</v>
      </c>
      <c r="AB19" s="26">
        <v>0</v>
      </c>
      <c r="AC19" s="18">
        <v>0</v>
      </c>
      <c r="AD19" s="26">
        <v>0</v>
      </c>
      <c r="AE19" s="30" t="s">
        <v>59</v>
      </c>
      <c r="AF19" s="18">
        <v>-208.9783425194365</v>
      </c>
      <c r="AG19" s="20">
        <v>417.95668503887299</v>
      </c>
      <c r="AH19" s="47">
        <f>IF(ISNUMBER(Tabella2[[#This Row],[Mean RADIAL stress  (MPa)]]), Tabella2[[#This Row],[Mean RADIAL stress  (MPa)]],"")</f>
        <v>0</v>
      </c>
      <c r="AI19" s="26">
        <f>IF(ISNUMBER(Tabella2[[#This Row],[Amplitute RADIAL stress  (MPa)]]), Tabella2[[#This Row],[Amplitute RADIAL stress  (MPa)]],"")</f>
        <v>0</v>
      </c>
      <c r="AJ19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9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-70904.68116679079</v>
      </c>
      <c r="AO1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141809.36233358158</v>
      </c>
      <c r="AP1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723.9222138503909</v>
      </c>
    </row>
    <row r="20" spans="1:43" ht="20.100000000000001" customHeight="1" thickBot="1" x14ac:dyDescent="0.35">
      <c r="A20" s="1" t="s">
        <v>63</v>
      </c>
      <c r="B20" s="1">
        <v>2015</v>
      </c>
      <c r="C20" s="17" t="s">
        <v>64</v>
      </c>
      <c r="D20" s="1" t="s">
        <v>84</v>
      </c>
      <c r="E20" s="14">
        <v>188738.48182717201</v>
      </c>
      <c r="F20" s="1" t="s">
        <v>20</v>
      </c>
      <c r="G20" s="19" t="s">
        <v>66</v>
      </c>
      <c r="H20" s="1" t="s">
        <v>21</v>
      </c>
      <c r="I20" s="1" t="s">
        <v>27</v>
      </c>
      <c r="J20" s="1" t="s">
        <v>20</v>
      </c>
      <c r="K20" s="1" t="s">
        <v>21</v>
      </c>
      <c r="L20" s="1" t="s">
        <v>21</v>
      </c>
      <c r="M20" s="1">
        <v>0</v>
      </c>
      <c r="N20" s="1">
        <v>12</v>
      </c>
      <c r="O20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0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0" s="1">
        <v>0</v>
      </c>
      <c r="S20" s="1">
        <v>0</v>
      </c>
      <c r="T20" s="1">
        <v>0</v>
      </c>
      <c r="U20" s="25" t="s">
        <v>21</v>
      </c>
      <c r="V20" s="30" t="s">
        <v>21</v>
      </c>
      <c r="W20" s="30" t="s">
        <v>21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-3</v>
      </c>
      <c r="AA20" s="47">
        <v>0</v>
      </c>
      <c r="AB20" s="26">
        <v>0</v>
      </c>
      <c r="AC20" s="18">
        <v>0</v>
      </c>
      <c r="AD20" s="26">
        <v>0</v>
      </c>
      <c r="AE20" s="30" t="s">
        <v>59</v>
      </c>
      <c r="AF20" s="18">
        <v>-205.2614380499385</v>
      </c>
      <c r="AG20" s="20">
        <v>410.52287609987701</v>
      </c>
      <c r="AH20" s="47">
        <f>IF(ISNUMBER(Tabella2[[#This Row],[Mean RADIAL stress  (MPa)]]), Tabella2[[#This Row],[Mean RADIAL stress  (MPa)]],"")</f>
        <v>0</v>
      </c>
      <c r="AI20" s="26">
        <f>IF(ISNUMBER(Tabella2[[#This Row],[Amplitute RADIAL stress  (MPa)]]), Tabella2[[#This Row],[Amplitute RADIAL stress  (MPa)]],"")</f>
        <v>0</v>
      </c>
      <c r="AJ20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0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-69643.565191040034</v>
      </c>
      <c r="AO2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139287.13038208007</v>
      </c>
      <c r="AP2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711.04647907429012</v>
      </c>
    </row>
    <row r="21" spans="1:43" ht="20.100000000000001" customHeight="1" thickBot="1" x14ac:dyDescent="0.35">
      <c r="A21" s="1" t="s">
        <v>63</v>
      </c>
      <c r="B21" s="1">
        <v>2015</v>
      </c>
      <c r="C21" s="17" t="s">
        <v>64</v>
      </c>
      <c r="D21" s="1" t="s">
        <v>85</v>
      </c>
      <c r="E21" s="14">
        <v>995429.13727224199</v>
      </c>
      <c r="F21" s="1" t="s">
        <v>20</v>
      </c>
      <c r="G21" s="19" t="s">
        <v>66</v>
      </c>
      <c r="H21" s="1" t="s">
        <v>21</v>
      </c>
      <c r="I21" s="1" t="s">
        <v>27</v>
      </c>
      <c r="J21" s="1" t="s">
        <v>20</v>
      </c>
      <c r="K21" s="1" t="s">
        <v>21</v>
      </c>
      <c r="L21" s="1" t="s">
        <v>21</v>
      </c>
      <c r="M21" s="1">
        <v>0</v>
      </c>
      <c r="N21" s="1">
        <v>12</v>
      </c>
      <c r="O21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1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1" s="1">
        <v>0</v>
      </c>
      <c r="S21" s="1">
        <v>0</v>
      </c>
      <c r="T21" s="1">
        <v>0</v>
      </c>
      <c r="U21" s="25" t="s">
        <v>21</v>
      </c>
      <c r="V21" s="30" t="s">
        <v>21</v>
      </c>
      <c r="W21" s="30" t="s">
        <v>21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-2.9999999999999996</v>
      </c>
      <c r="AA21" s="47">
        <v>0</v>
      </c>
      <c r="AB21" s="26">
        <v>0</v>
      </c>
      <c r="AC21" s="18">
        <v>0</v>
      </c>
      <c r="AD21" s="26">
        <v>0</v>
      </c>
      <c r="AE21" s="30" t="s">
        <v>59</v>
      </c>
      <c r="AF21" s="18">
        <v>-193.64838145049151</v>
      </c>
      <c r="AG21" s="20">
        <v>387.29676290098303</v>
      </c>
      <c r="AH21" s="47">
        <f>IF(ISNUMBER(Tabella2[[#This Row],[Mean RADIAL stress  (MPa)]]), Tabella2[[#This Row],[Mean RADIAL stress  (MPa)]],"")</f>
        <v>0</v>
      </c>
      <c r="AI21" s="26">
        <f>IF(ISNUMBER(Tabella2[[#This Row],[Amplitute RADIAL stress  (MPa)]]), Tabella2[[#This Row],[Amplitute RADIAL stress  (MPa)]],"")</f>
        <v>0</v>
      </c>
      <c r="AJ21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1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-65703.347914797152</v>
      </c>
      <c r="AO2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131406.6958295943</v>
      </c>
      <c r="AP2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670.81767095145972</v>
      </c>
    </row>
    <row r="22" spans="1:43" ht="20.100000000000001" customHeight="1" thickBot="1" x14ac:dyDescent="0.35">
      <c r="A22" s="1" t="s">
        <v>63</v>
      </c>
      <c r="B22" s="1">
        <v>2015</v>
      </c>
      <c r="C22" s="17" t="s">
        <v>64</v>
      </c>
      <c r="D22" s="1" t="s">
        <v>86</v>
      </c>
      <c r="E22" s="14">
        <v>12500.8268982468</v>
      </c>
      <c r="F22" s="1" t="s">
        <v>20</v>
      </c>
      <c r="G22" s="19" t="s">
        <v>66</v>
      </c>
      <c r="H22" s="1" t="s">
        <v>21</v>
      </c>
      <c r="I22" s="1" t="s">
        <v>27</v>
      </c>
      <c r="J22" s="1" t="s">
        <v>20</v>
      </c>
      <c r="K22" s="1" t="s">
        <v>21</v>
      </c>
      <c r="L22" s="1" t="s">
        <v>21</v>
      </c>
      <c r="M22" s="1">
        <v>0</v>
      </c>
      <c r="N22" s="1">
        <v>12</v>
      </c>
      <c r="O22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2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2" s="1">
        <v>0</v>
      </c>
      <c r="S22" s="1">
        <v>0</v>
      </c>
      <c r="T22" s="1">
        <v>0</v>
      </c>
      <c r="U22" s="25" t="s">
        <v>21</v>
      </c>
      <c r="V22" s="30" t="s">
        <v>21</v>
      </c>
      <c r="W22" s="30" t="s">
        <v>21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0.25000000000000006</v>
      </c>
      <c r="AA22" s="47">
        <v>0</v>
      </c>
      <c r="AB22" s="26">
        <v>0</v>
      </c>
      <c r="AC22" s="18">
        <v>0</v>
      </c>
      <c r="AD22" s="26">
        <v>0</v>
      </c>
      <c r="AE22" s="30" t="s">
        <v>59</v>
      </c>
      <c r="AF22" s="18">
        <v>553.16164040864339</v>
      </c>
      <c r="AG22" s="20">
        <v>331.89698424518599</v>
      </c>
      <c r="AH22" s="47">
        <f>IF(ISNUMBER(Tabella2[[#This Row],[Mean RADIAL stress  (MPa)]]), Tabella2[[#This Row],[Mean RADIAL stress  (MPa)]],"")</f>
        <v>0</v>
      </c>
      <c r="AI22" s="26">
        <f>IF(ISNUMBER(Tabella2[[#This Row],[Amplitute RADIAL stress  (MPa)]]), Tabella2[[#This Row],[Amplitute RADIAL stress  (MPa)]],"")</f>
        <v>0</v>
      </c>
      <c r="AJ22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2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187683.32294159106</v>
      </c>
      <c r="AO2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112609.99376495462</v>
      </c>
      <c r="AP2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574.86243959154933</v>
      </c>
    </row>
    <row r="23" spans="1:43" ht="20.100000000000001" customHeight="1" thickBot="1" x14ac:dyDescent="0.35">
      <c r="A23" s="1" t="s">
        <v>63</v>
      </c>
      <c r="B23" s="1">
        <v>2015</v>
      </c>
      <c r="C23" s="17" t="s">
        <v>64</v>
      </c>
      <c r="D23" s="1" t="s">
        <v>87</v>
      </c>
      <c r="E23" s="14">
        <v>58294.615572508897</v>
      </c>
      <c r="F23" s="1" t="s">
        <v>20</v>
      </c>
      <c r="G23" s="19" t="s">
        <v>66</v>
      </c>
      <c r="H23" s="1" t="s">
        <v>21</v>
      </c>
      <c r="I23" s="1" t="s">
        <v>27</v>
      </c>
      <c r="J23" s="1" t="s">
        <v>20</v>
      </c>
      <c r="K23" s="1" t="s">
        <v>21</v>
      </c>
      <c r="L23" s="1" t="s">
        <v>21</v>
      </c>
      <c r="M23" s="1">
        <v>0</v>
      </c>
      <c r="N23" s="1">
        <v>12</v>
      </c>
      <c r="O23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3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3" s="1">
        <v>0</v>
      </c>
      <c r="S23" s="1">
        <v>0</v>
      </c>
      <c r="T23" s="1">
        <v>0</v>
      </c>
      <c r="U23" s="25" t="s">
        <v>21</v>
      </c>
      <c r="V23" s="30" t="s">
        <v>21</v>
      </c>
      <c r="W23" s="30" t="s">
        <v>21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0.25</v>
      </c>
      <c r="AA23" s="47">
        <v>0</v>
      </c>
      <c r="AB23" s="26">
        <v>0</v>
      </c>
      <c r="AC23" s="18">
        <v>0</v>
      </c>
      <c r="AD23" s="26">
        <v>0</v>
      </c>
      <c r="AE23" s="30" t="s">
        <v>59</v>
      </c>
      <c r="AF23" s="18">
        <v>513.00398257700169</v>
      </c>
      <c r="AG23" s="20">
        <v>307.80238954620103</v>
      </c>
      <c r="AH23" s="47">
        <f>IF(ISNUMBER(Tabella2[[#This Row],[Mean RADIAL stress  (MPa)]]), Tabella2[[#This Row],[Mean RADIAL stress  (MPa)]],"")</f>
        <v>0</v>
      </c>
      <c r="AI23" s="26">
        <f>IF(ISNUMBER(Tabella2[[#This Row],[Amplitute RADIAL stress  (MPa)]]), Tabella2[[#This Row],[Amplitute RADIAL stress  (MPa)]],"")</f>
        <v>0</v>
      </c>
      <c r="AJ23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3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174058.15063603118</v>
      </c>
      <c r="AO2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104434.89038161871</v>
      </c>
      <c r="AP2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533.12937738512767</v>
      </c>
    </row>
    <row r="24" spans="1:43" ht="20.100000000000001" customHeight="1" thickBot="1" x14ac:dyDescent="0.35">
      <c r="A24" s="1" t="s">
        <v>63</v>
      </c>
      <c r="B24" s="1">
        <v>2015</v>
      </c>
      <c r="C24" s="17" t="s">
        <v>64</v>
      </c>
      <c r="D24" s="1" t="s">
        <v>88</v>
      </c>
      <c r="E24" s="14">
        <v>75771.507113144995</v>
      </c>
      <c r="F24" s="1" t="s">
        <v>20</v>
      </c>
      <c r="G24" s="19" t="s">
        <v>66</v>
      </c>
      <c r="H24" s="1" t="s">
        <v>21</v>
      </c>
      <c r="I24" s="1" t="s">
        <v>27</v>
      </c>
      <c r="J24" s="1" t="s">
        <v>20</v>
      </c>
      <c r="K24" s="1" t="s">
        <v>21</v>
      </c>
      <c r="L24" s="1" t="s">
        <v>21</v>
      </c>
      <c r="M24" s="1">
        <v>0</v>
      </c>
      <c r="N24" s="1">
        <v>12</v>
      </c>
      <c r="O24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4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4" s="1">
        <v>0</v>
      </c>
      <c r="S24" s="1">
        <v>0</v>
      </c>
      <c r="T24" s="1">
        <v>0</v>
      </c>
      <c r="U24" s="25" t="s">
        <v>21</v>
      </c>
      <c r="V24" s="30" t="s">
        <v>21</v>
      </c>
      <c r="W24" s="30" t="s">
        <v>21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0.25</v>
      </c>
      <c r="AA24" s="47">
        <v>0</v>
      </c>
      <c r="AB24" s="26">
        <v>0</v>
      </c>
      <c r="AC24" s="18">
        <v>0</v>
      </c>
      <c r="AD24" s="26">
        <v>0</v>
      </c>
      <c r="AE24" s="30" t="s">
        <v>59</v>
      </c>
      <c r="AF24" s="18">
        <v>512.83575987654501</v>
      </c>
      <c r="AG24" s="20">
        <v>307.70145592592701</v>
      </c>
      <c r="AH24" s="47">
        <f>IF(ISNUMBER(Tabella2[[#This Row],[Mean RADIAL stress  (MPa)]]), Tabella2[[#This Row],[Mean RADIAL stress  (MPa)]],"")</f>
        <v>0</v>
      </c>
      <c r="AI24" s="26">
        <f>IF(ISNUMBER(Tabella2[[#This Row],[Amplitute RADIAL stress  (MPa)]]), Tabella2[[#This Row],[Amplitute RADIAL stress  (MPa)]],"")</f>
        <v>0</v>
      </c>
      <c r="AJ24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4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174001.07401843963</v>
      </c>
      <c r="AO2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104400.64441106377</v>
      </c>
      <c r="AP2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532.95455522662121</v>
      </c>
    </row>
    <row r="25" spans="1:43" ht="20.100000000000001" customHeight="1" thickBot="1" x14ac:dyDescent="0.35">
      <c r="A25" s="1" t="s">
        <v>63</v>
      </c>
      <c r="B25" s="1">
        <v>2015</v>
      </c>
      <c r="C25" s="17" t="s">
        <v>64</v>
      </c>
      <c r="D25" s="1" t="s">
        <v>89</v>
      </c>
      <c r="E25" s="14">
        <v>223321.25601113099</v>
      </c>
      <c r="F25" s="1" t="s">
        <v>20</v>
      </c>
      <c r="G25" s="19" t="s">
        <v>66</v>
      </c>
      <c r="H25" s="1" t="s">
        <v>21</v>
      </c>
      <c r="I25" s="1" t="s">
        <v>27</v>
      </c>
      <c r="J25" s="1" t="s">
        <v>20</v>
      </c>
      <c r="K25" s="1" t="s">
        <v>21</v>
      </c>
      <c r="L25" s="1" t="s">
        <v>21</v>
      </c>
      <c r="M25" s="1">
        <v>0</v>
      </c>
      <c r="N25" s="1">
        <v>12</v>
      </c>
      <c r="O25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5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5" s="1">
        <v>0</v>
      </c>
      <c r="S25" s="1">
        <v>0</v>
      </c>
      <c r="T25" s="1">
        <v>0</v>
      </c>
      <c r="U25" s="25" t="s">
        <v>21</v>
      </c>
      <c r="V25" s="30" t="s">
        <v>21</v>
      </c>
      <c r="W25" s="30" t="s">
        <v>21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0.25000000000000006</v>
      </c>
      <c r="AA25" s="47">
        <v>0</v>
      </c>
      <c r="AB25" s="26">
        <v>0</v>
      </c>
      <c r="AC25" s="18">
        <v>0</v>
      </c>
      <c r="AD25" s="26">
        <v>0</v>
      </c>
      <c r="AE25" s="30" t="s">
        <v>59</v>
      </c>
      <c r="AF25" s="18">
        <v>477.93891346074179</v>
      </c>
      <c r="AG25" s="20">
        <v>286.76334807644503</v>
      </c>
      <c r="AH25" s="47">
        <f>IF(ISNUMBER(Tabella2[[#This Row],[Mean RADIAL stress  (MPa)]]), Tabella2[[#This Row],[Mean RADIAL stress  (MPa)]],"")</f>
        <v>0</v>
      </c>
      <c r="AI25" s="26">
        <f>IF(ISNUMBER(Tabella2[[#This Row],[Amplitute RADIAL stress  (MPa)]]), Tabella2[[#This Row],[Amplitute RADIAL stress  (MPa)]],"")</f>
        <v>0</v>
      </c>
      <c r="AJ25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5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162160.85297443907</v>
      </c>
      <c r="AO2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97296.511784663424</v>
      </c>
      <c r="AP2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496.68868861696166</v>
      </c>
    </row>
    <row r="26" spans="1:43" ht="20.100000000000001" customHeight="1" thickBot="1" x14ac:dyDescent="0.35">
      <c r="A26" s="1" t="s">
        <v>63</v>
      </c>
      <c r="B26" s="1">
        <v>2015</v>
      </c>
      <c r="C26" s="17" t="s">
        <v>64</v>
      </c>
      <c r="D26" s="1" t="s">
        <v>90</v>
      </c>
      <c r="E26" s="14">
        <v>302427.25765884802</v>
      </c>
      <c r="F26" s="1" t="s">
        <v>20</v>
      </c>
      <c r="G26" s="19" t="s">
        <v>66</v>
      </c>
      <c r="H26" s="1" t="s">
        <v>21</v>
      </c>
      <c r="I26" s="1" t="s">
        <v>27</v>
      </c>
      <c r="J26" s="1" t="s">
        <v>20</v>
      </c>
      <c r="K26" s="1" t="s">
        <v>21</v>
      </c>
      <c r="L26" s="1" t="s">
        <v>21</v>
      </c>
      <c r="M26" s="1">
        <v>0</v>
      </c>
      <c r="N26" s="1">
        <v>12</v>
      </c>
      <c r="O26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6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6" s="1">
        <v>0</v>
      </c>
      <c r="S26" s="1">
        <v>0</v>
      </c>
      <c r="T26" s="1">
        <v>0</v>
      </c>
      <c r="U26" s="25" t="s">
        <v>21</v>
      </c>
      <c r="V26" s="30" t="s">
        <v>21</v>
      </c>
      <c r="W26" s="30" t="s">
        <v>21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0.25000000000000006</v>
      </c>
      <c r="AA26" s="47">
        <v>0</v>
      </c>
      <c r="AB26" s="26">
        <v>0</v>
      </c>
      <c r="AC26" s="18">
        <v>0</v>
      </c>
      <c r="AD26" s="26">
        <v>0</v>
      </c>
      <c r="AE26" s="30" t="s">
        <v>59</v>
      </c>
      <c r="AF26" s="18">
        <v>479.82607834391337</v>
      </c>
      <c r="AG26" s="20">
        <v>287.89564700634799</v>
      </c>
      <c r="AH26" s="47">
        <f>IF(ISNUMBER(Tabella2[[#This Row],[Mean RADIAL stress  (MPa)]]), Tabella2[[#This Row],[Mean RADIAL stress  (MPa)]],"")</f>
        <v>0</v>
      </c>
      <c r="AI26" s="26">
        <f>IF(ISNUMBER(Tabella2[[#This Row],[Amplitute RADIAL stress  (MPa)]]), Tabella2[[#This Row],[Amplitute RADIAL stress  (MPa)]],"")</f>
        <v>0</v>
      </c>
      <c r="AJ26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6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162801.15293441218</v>
      </c>
      <c r="AO2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97680.6917606473</v>
      </c>
      <c r="AP2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498.64988789290948</v>
      </c>
    </row>
    <row r="27" spans="1:43" ht="20.100000000000001" customHeight="1" thickBot="1" x14ac:dyDescent="0.35">
      <c r="A27" s="1" t="s">
        <v>63</v>
      </c>
      <c r="B27" s="1">
        <v>2015</v>
      </c>
      <c r="C27" s="17" t="s">
        <v>64</v>
      </c>
      <c r="D27" s="1" t="s">
        <v>91</v>
      </c>
      <c r="E27" s="14">
        <v>1226968.03853277</v>
      </c>
      <c r="F27" s="1" t="s">
        <v>20</v>
      </c>
      <c r="G27" s="19" t="s">
        <v>66</v>
      </c>
      <c r="H27" s="1" t="s">
        <v>21</v>
      </c>
      <c r="I27" s="1" t="s">
        <v>27</v>
      </c>
      <c r="J27" s="1" t="s">
        <v>20</v>
      </c>
      <c r="K27" s="1" t="s">
        <v>21</v>
      </c>
      <c r="L27" s="1" t="s">
        <v>21</v>
      </c>
      <c r="M27" s="1">
        <v>0</v>
      </c>
      <c r="N27" s="1">
        <v>12</v>
      </c>
      <c r="O27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7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7" s="1">
        <v>0</v>
      </c>
      <c r="S27" s="1">
        <v>0</v>
      </c>
      <c r="T27" s="1">
        <v>0</v>
      </c>
      <c r="U27" s="25" t="s">
        <v>21</v>
      </c>
      <c r="V27" s="30" t="s">
        <v>21</v>
      </c>
      <c r="W27" s="30" t="s">
        <v>21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0.25000000000000006</v>
      </c>
      <c r="AA27" s="47">
        <v>0</v>
      </c>
      <c r="AB27" s="26">
        <v>0</v>
      </c>
      <c r="AC27" s="18">
        <v>0</v>
      </c>
      <c r="AD27" s="26">
        <v>0</v>
      </c>
      <c r="AE27" s="30" t="s">
        <v>59</v>
      </c>
      <c r="AF27" s="18">
        <v>446.99672932098673</v>
      </c>
      <c r="AG27" s="20">
        <v>268.19803759259202</v>
      </c>
      <c r="AH27" s="47">
        <f>IF(ISNUMBER(Tabella2[[#This Row],[Mean RADIAL stress  (MPa)]]), Tabella2[[#This Row],[Mean RADIAL stress  (MPa)]],"")</f>
        <v>0</v>
      </c>
      <c r="AI27" s="26">
        <f>IF(ISNUMBER(Tabella2[[#This Row],[Amplitute RADIAL stress  (MPa)]]), Tabella2[[#This Row],[Amplitute RADIAL stress  (MPa)]],"")</f>
        <v>0</v>
      </c>
      <c r="AJ27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7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151662.41722945552</v>
      </c>
      <c r="AO2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90997.450337673305</v>
      </c>
      <c r="AP2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464.53262760063717</v>
      </c>
    </row>
    <row r="28" spans="1:43" ht="20.100000000000001" customHeight="1" thickBot="1" x14ac:dyDescent="0.35">
      <c r="A28" s="1" t="s">
        <v>63</v>
      </c>
      <c r="B28" s="1">
        <v>2015</v>
      </c>
      <c r="C28" s="17" t="s">
        <v>64</v>
      </c>
      <c r="D28" s="1" t="s">
        <v>92</v>
      </c>
      <c r="E28" s="14">
        <v>11380.226162565599</v>
      </c>
      <c r="F28" s="1" t="s">
        <v>20</v>
      </c>
      <c r="G28" s="19" t="s">
        <v>66</v>
      </c>
      <c r="H28" s="1" t="s">
        <v>21</v>
      </c>
      <c r="I28" s="1" t="s">
        <v>27</v>
      </c>
      <c r="J28" s="1" t="s">
        <v>20</v>
      </c>
      <c r="K28" s="1" t="s">
        <v>21</v>
      </c>
      <c r="L28" s="1" t="s">
        <v>21</v>
      </c>
      <c r="M28" s="1">
        <v>0</v>
      </c>
      <c r="N28" s="1">
        <v>12</v>
      </c>
      <c r="O28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8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8" s="1">
        <v>0</v>
      </c>
      <c r="S28" s="1">
        <v>0</v>
      </c>
      <c r="T28" s="1">
        <v>0</v>
      </c>
      <c r="U28" s="25" t="s">
        <v>21</v>
      </c>
      <c r="V28" s="30" t="s">
        <v>21</v>
      </c>
      <c r="W28" s="30" t="s">
        <v>21</v>
      </c>
      <c r="X2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0.49999999999999994</v>
      </c>
      <c r="AA28" s="47">
        <v>0</v>
      </c>
      <c r="AB28" s="26">
        <v>0</v>
      </c>
      <c r="AC28" s="18">
        <v>0</v>
      </c>
      <c r="AD28" s="26">
        <v>0</v>
      </c>
      <c r="AE28" s="30" t="s">
        <v>59</v>
      </c>
      <c r="AF28" s="18">
        <v>698.76223268366698</v>
      </c>
      <c r="AG28" s="20">
        <v>232.920744227889</v>
      </c>
      <c r="AH28" s="47">
        <f>IF(ISNUMBER(Tabella2[[#This Row],[Mean RADIAL stress  (MPa)]]), Tabella2[[#This Row],[Mean RADIAL stress  (MPa)]],"")</f>
        <v>0</v>
      </c>
      <c r="AI28" s="26">
        <f>IF(ISNUMBER(Tabella2[[#This Row],[Amplitute RADIAL stress  (MPa)]]), Tabella2[[#This Row],[Amplitute RADIAL stress  (MPa)]],"")</f>
        <v>0</v>
      </c>
      <c r="AJ28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8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237084.44005494108</v>
      </c>
      <c r="AO2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79028.146684980355</v>
      </c>
      <c r="AP2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403.43056313945903</v>
      </c>
    </row>
    <row r="29" spans="1:43" ht="20.100000000000001" customHeight="1" thickBot="1" x14ac:dyDescent="0.35">
      <c r="A29" s="1" t="s">
        <v>63</v>
      </c>
      <c r="B29" s="1">
        <v>2015</v>
      </c>
      <c r="C29" s="17" t="s">
        <v>64</v>
      </c>
      <c r="D29" s="1" t="s">
        <v>93</v>
      </c>
      <c r="E29" s="14">
        <v>13078.808642472501</v>
      </c>
      <c r="F29" s="1" t="s">
        <v>20</v>
      </c>
      <c r="G29" s="19" t="s">
        <v>66</v>
      </c>
      <c r="H29" s="1" t="s">
        <v>21</v>
      </c>
      <c r="I29" s="1" t="s">
        <v>27</v>
      </c>
      <c r="J29" s="1" t="s">
        <v>20</v>
      </c>
      <c r="K29" s="1" t="s">
        <v>21</v>
      </c>
      <c r="L29" s="1" t="s">
        <v>21</v>
      </c>
      <c r="M29" s="1">
        <v>0</v>
      </c>
      <c r="N29" s="1">
        <v>12</v>
      </c>
      <c r="O29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9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9" s="1">
        <v>0</v>
      </c>
      <c r="S29" s="1">
        <v>0</v>
      </c>
      <c r="T29" s="1">
        <v>0</v>
      </c>
      <c r="U29" s="25" t="s">
        <v>21</v>
      </c>
      <c r="V29" s="30" t="s">
        <v>21</v>
      </c>
      <c r="W29" s="30" t="s">
        <v>21</v>
      </c>
      <c r="X2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0.49999999999999994</v>
      </c>
      <c r="AA29" s="47">
        <v>0</v>
      </c>
      <c r="AB29" s="26">
        <v>0</v>
      </c>
      <c r="AC29" s="18">
        <v>0</v>
      </c>
      <c r="AD29" s="26">
        <v>0</v>
      </c>
      <c r="AE29" s="30" t="s">
        <v>59</v>
      </c>
      <c r="AF29" s="18">
        <v>686.67172447316398</v>
      </c>
      <c r="AG29" s="20">
        <v>228.89057482438801</v>
      </c>
      <c r="AH29" s="47">
        <f>IF(ISNUMBER(Tabella2[[#This Row],[Mean RADIAL stress  (MPa)]]), Tabella2[[#This Row],[Mean RADIAL stress  (MPa)]],"")</f>
        <v>0</v>
      </c>
      <c r="AI29" s="26">
        <f>IF(ISNUMBER(Tabella2[[#This Row],[Amplitute RADIAL stress  (MPa)]]), Tabella2[[#This Row],[Amplitute RADIAL stress  (MPa)]],"")</f>
        <v>0</v>
      </c>
      <c r="AJ29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9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9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232982.22726353444</v>
      </c>
      <c r="AO2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77660.742421178162</v>
      </c>
      <c r="AP2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396.45010496948578</v>
      </c>
    </row>
    <row r="30" spans="1:43" ht="20.100000000000001" customHeight="1" thickBot="1" x14ac:dyDescent="0.35">
      <c r="A30" s="1" t="s">
        <v>63</v>
      </c>
      <c r="B30" s="1">
        <v>2015</v>
      </c>
      <c r="C30" s="17" t="s">
        <v>64</v>
      </c>
      <c r="D30" s="1" t="s">
        <v>94</v>
      </c>
      <c r="E30" s="14">
        <v>48503.751439244297</v>
      </c>
      <c r="F30" s="1" t="s">
        <v>20</v>
      </c>
      <c r="G30" s="19" t="s">
        <v>66</v>
      </c>
      <c r="H30" s="1" t="s">
        <v>21</v>
      </c>
      <c r="I30" s="1" t="s">
        <v>27</v>
      </c>
      <c r="J30" s="1" t="s">
        <v>20</v>
      </c>
      <c r="K30" s="1" t="s">
        <v>21</v>
      </c>
      <c r="L30" s="1" t="s">
        <v>21</v>
      </c>
      <c r="M30" s="1">
        <v>0</v>
      </c>
      <c r="N30" s="1">
        <v>12</v>
      </c>
      <c r="O30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0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0" s="1">
        <v>0</v>
      </c>
      <c r="S30" s="1">
        <v>0</v>
      </c>
      <c r="T30" s="1">
        <v>0</v>
      </c>
      <c r="U30" s="25" t="s">
        <v>21</v>
      </c>
      <c r="V30" s="30" t="s">
        <v>21</v>
      </c>
      <c r="W30" s="30" t="s">
        <v>21</v>
      </c>
      <c r="X3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0.50000000000000011</v>
      </c>
      <c r="AA30" s="47">
        <v>0</v>
      </c>
      <c r="AB30" s="26">
        <v>0</v>
      </c>
      <c r="AC30" s="18">
        <v>0</v>
      </c>
      <c r="AD30" s="26">
        <v>0</v>
      </c>
      <c r="AE30" s="30" t="s">
        <v>59</v>
      </c>
      <c r="AF30" s="18">
        <v>659.40412128881701</v>
      </c>
      <c r="AG30" s="20">
        <v>219.80137376293899</v>
      </c>
      <c r="AH30" s="47">
        <f>IF(ISNUMBER(Tabella2[[#This Row],[Mean RADIAL stress  (MPa)]]), Tabella2[[#This Row],[Mean RADIAL stress  (MPa)]],"")</f>
        <v>0</v>
      </c>
      <c r="AI30" s="26">
        <f>IF(ISNUMBER(Tabella2[[#This Row],[Amplitute RADIAL stress  (MPa)]]), Tabella2[[#This Row],[Amplitute RADIAL stress  (MPa)]],"")</f>
        <v>0</v>
      </c>
      <c r="AJ30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0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0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223730.54746428027</v>
      </c>
      <c r="AO3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74576.849154760086</v>
      </c>
      <c r="AP3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380.70714693084716</v>
      </c>
    </row>
    <row r="31" spans="1:43" s="32" customFormat="1" ht="20.100000000000001" customHeight="1" thickBot="1" x14ac:dyDescent="0.35">
      <c r="A31" s="1" t="s">
        <v>63</v>
      </c>
      <c r="B31" s="1">
        <v>2015</v>
      </c>
      <c r="C31" s="17" t="s">
        <v>64</v>
      </c>
      <c r="D31" s="1" t="s">
        <v>95</v>
      </c>
      <c r="E31" s="14">
        <v>123379.649445894</v>
      </c>
      <c r="F31" s="1" t="s">
        <v>20</v>
      </c>
      <c r="G31" s="19" t="s">
        <v>66</v>
      </c>
      <c r="H31" s="1" t="s">
        <v>21</v>
      </c>
      <c r="I31" s="1" t="s">
        <v>27</v>
      </c>
      <c r="J31" s="1" t="s">
        <v>20</v>
      </c>
      <c r="K31" s="1" t="s">
        <v>21</v>
      </c>
      <c r="L31" s="1" t="s">
        <v>21</v>
      </c>
      <c r="M31" s="1">
        <v>0</v>
      </c>
      <c r="N31" s="1">
        <v>12</v>
      </c>
      <c r="O31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1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1" s="1">
        <v>0</v>
      </c>
      <c r="S31" s="1">
        <v>0</v>
      </c>
      <c r="T31" s="1">
        <v>0</v>
      </c>
      <c r="U31" s="25" t="s">
        <v>21</v>
      </c>
      <c r="V31" s="30" t="s">
        <v>21</v>
      </c>
      <c r="W31" s="30" t="s">
        <v>21</v>
      </c>
      <c r="X3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0.5</v>
      </c>
      <c r="AA31" s="47">
        <v>0</v>
      </c>
      <c r="AB31" s="26">
        <v>0</v>
      </c>
      <c r="AC31" s="18">
        <v>0</v>
      </c>
      <c r="AD31" s="26">
        <v>0</v>
      </c>
      <c r="AE31" s="30" t="s">
        <v>59</v>
      </c>
      <c r="AF31" s="18">
        <v>628.06791257332497</v>
      </c>
      <c r="AG31" s="20">
        <v>209.35597085777499</v>
      </c>
      <c r="AH31" s="47">
        <f>IF(ISNUMBER(Tabella2[[#This Row],[Mean RADIAL stress  (MPa)]]), Tabella2[[#This Row],[Mean RADIAL stress  (MPa)]],"")</f>
        <v>0</v>
      </c>
      <c r="AI31" s="26">
        <f>IF(ISNUMBER(Tabella2[[#This Row],[Amplitute RADIAL stress  (MPa)]]), Tabella2[[#This Row],[Amplitute RADIAL stress  (MPa)]],"")</f>
        <v>0</v>
      </c>
      <c r="AJ31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1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1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213098.42233035006</v>
      </c>
      <c r="AO3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71032.80744345003</v>
      </c>
      <c r="AP3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362.61517839357555</v>
      </c>
    </row>
    <row r="32" spans="1:43" ht="20.100000000000001" customHeight="1" thickBot="1" x14ac:dyDescent="0.35">
      <c r="A32" s="1" t="s">
        <v>63</v>
      </c>
      <c r="B32" s="1">
        <v>2015</v>
      </c>
      <c r="C32" s="17" t="s">
        <v>64</v>
      </c>
      <c r="D32" s="1" t="s">
        <v>96</v>
      </c>
      <c r="E32" s="14">
        <v>200080.673694881</v>
      </c>
      <c r="F32" s="1" t="s">
        <v>20</v>
      </c>
      <c r="G32" s="19" t="s">
        <v>66</v>
      </c>
      <c r="H32" s="1" t="s">
        <v>21</v>
      </c>
      <c r="I32" s="1" t="s">
        <v>27</v>
      </c>
      <c r="J32" s="1" t="s">
        <v>20</v>
      </c>
      <c r="K32" s="1" t="s">
        <v>21</v>
      </c>
      <c r="L32" s="1" t="s">
        <v>21</v>
      </c>
      <c r="M32" s="1">
        <v>0</v>
      </c>
      <c r="N32" s="1">
        <v>12</v>
      </c>
      <c r="O32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2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2" s="1">
        <v>0</v>
      </c>
      <c r="S32" s="1">
        <v>0</v>
      </c>
      <c r="T32" s="1">
        <v>0</v>
      </c>
      <c r="U32" s="25" t="s">
        <v>21</v>
      </c>
      <c r="V32" s="30" t="s">
        <v>21</v>
      </c>
      <c r="W32" s="30" t="s">
        <v>21</v>
      </c>
      <c r="X3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0.49999999999999994</v>
      </c>
      <c r="AA32" s="47">
        <v>0</v>
      </c>
      <c r="AB32" s="26">
        <v>0</v>
      </c>
      <c r="AC32" s="18">
        <v>0</v>
      </c>
      <c r="AD32" s="26">
        <v>0</v>
      </c>
      <c r="AE32" s="30" t="s">
        <v>59</v>
      </c>
      <c r="AF32" s="18">
        <v>627.68823720946193</v>
      </c>
      <c r="AG32" s="20">
        <v>209.22941240315399</v>
      </c>
      <c r="AH32" s="47">
        <f>IF(ISNUMBER(Tabella2[[#This Row],[Mean RADIAL stress  (MPa)]]), Tabella2[[#This Row],[Mean RADIAL stress  (MPa)]],"")</f>
        <v>0</v>
      </c>
      <c r="AI32" s="26">
        <f>IF(ISNUMBER(Tabella2[[#This Row],[Amplitute RADIAL stress  (MPa)]]), Tabella2[[#This Row],[Amplitute RADIAL stress  (MPa)]],"")</f>
        <v>0</v>
      </c>
      <c r="AJ32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2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2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212969.60151429308</v>
      </c>
      <c r="AO3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70989.867171431033</v>
      </c>
      <c r="AP3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362.39597272004454</v>
      </c>
    </row>
    <row r="33" spans="1:43" ht="20.100000000000001" customHeight="1" thickBot="1" x14ac:dyDescent="0.35">
      <c r="A33" s="1" t="s">
        <v>63</v>
      </c>
      <c r="B33" s="1">
        <v>2015</v>
      </c>
      <c r="C33" s="17" t="s">
        <v>64</v>
      </c>
      <c r="D33" s="1" t="s">
        <v>97</v>
      </c>
      <c r="E33" s="14">
        <v>249476.06004055601</v>
      </c>
      <c r="F33" s="1" t="s">
        <v>20</v>
      </c>
      <c r="G33" s="19" t="s">
        <v>66</v>
      </c>
      <c r="H33" s="1" t="s">
        <v>21</v>
      </c>
      <c r="I33" s="1" t="s">
        <v>27</v>
      </c>
      <c r="J33" s="1" t="s">
        <v>20</v>
      </c>
      <c r="K33" s="1" t="s">
        <v>21</v>
      </c>
      <c r="L33" s="1" t="s">
        <v>21</v>
      </c>
      <c r="M33" s="1">
        <v>0</v>
      </c>
      <c r="N33" s="1">
        <v>12</v>
      </c>
      <c r="O33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3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3" s="1">
        <v>0</v>
      </c>
      <c r="S33" s="1">
        <v>0</v>
      </c>
      <c r="T33" s="1">
        <v>0</v>
      </c>
      <c r="U33" s="25" t="s">
        <v>21</v>
      </c>
      <c r="V33" s="30" t="s">
        <v>21</v>
      </c>
      <c r="W33" s="30" t="s">
        <v>21</v>
      </c>
      <c r="X3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0.50000000000000011</v>
      </c>
      <c r="AA33" s="47">
        <v>0</v>
      </c>
      <c r="AB33" s="26">
        <v>0</v>
      </c>
      <c r="AC33" s="18">
        <v>0</v>
      </c>
      <c r="AD33" s="26">
        <v>0</v>
      </c>
      <c r="AE33" s="30" t="s">
        <v>59</v>
      </c>
      <c r="AF33" s="18">
        <v>593.24473370252099</v>
      </c>
      <c r="AG33" s="20">
        <v>197.74824456750699</v>
      </c>
      <c r="AH33" s="47">
        <f>IF(ISNUMBER(Tabella2[[#This Row],[Mean RADIAL stress  (MPa)]]), Tabella2[[#This Row],[Mean RADIAL stress  (MPa)]],"")</f>
        <v>0</v>
      </c>
      <c r="AI33" s="26">
        <f>IF(ISNUMBER(Tabella2[[#This Row],[Amplitute RADIAL stress  (MPa)]]), Tabella2[[#This Row],[Amplitute RADIAL stress  (MPa)]],"")</f>
        <v>0</v>
      </c>
      <c r="AJ33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3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3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201283.19609551269</v>
      </c>
      <c r="AO3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67094.398698504228</v>
      </c>
      <c r="AP3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342.51000669847832</v>
      </c>
    </row>
    <row r="34" spans="1:43" ht="20.100000000000001" customHeight="1" thickBot="1" x14ac:dyDescent="0.35">
      <c r="A34" s="1" t="s">
        <v>63</v>
      </c>
      <c r="B34" s="1">
        <v>2015</v>
      </c>
      <c r="C34" s="17" t="s">
        <v>64</v>
      </c>
      <c r="D34" s="1" t="s">
        <v>98</v>
      </c>
      <c r="E34" s="14">
        <v>381820.68799460598</v>
      </c>
      <c r="F34" s="1" t="s">
        <v>20</v>
      </c>
      <c r="G34" s="19" t="s">
        <v>66</v>
      </c>
      <c r="H34" s="1" t="s">
        <v>21</v>
      </c>
      <c r="I34" s="1" t="s">
        <v>27</v>
      </c>
      <c r="J34" s="1" t="s">
        <v>20</v>
      </c>
      <c r="K34" s="1" t="s">
        <v>21</v>
      </c>
      <c r="L34" s="1" t="s">
        <v>21</v>
      </c>
      <c r="M34" s="1">
        <v>0</v>
      </c>
      <c r="N34" s="1">
        <v>12</v>
      </c>
      <c r="O34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4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4" s="1">
        <v>0</v>
      </c>
      <c r="S34" s="1">
        <v>0</v>
      </c>
      <c r="T34" s="1">
        <v>0</v>
      </c>
      <c r="U34" s="25" t="s">
        <v>21</v>
      </c>
      <c r="V34" s="30" t="s">
        <v>21</v>
      </c>
      <c r="W34" s="30" t="s">
        <v>21</v>
      </c>
      <c r="X3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0.5</v>
      </c>
      <c r="AA34" s="47">
        <v>0</v>
      </c>
      <c r="AB34" s="26">
        <v>0</v>
      </c>
      <c r="AC34" s="18">
        <v>0</v>
      </c>
      <c r="AD34" s="26">
        <v>0</v>
      </c>
      <c r="AE34" s="30" t="s">
        <v>59</v>
      </c>
      <c r="AF34" s="18">
        <v>565.41172496391596</v>
      </c>
      <c r="AG34" s="20">
        <v>188.47057498797199</v>
      </c>
      <c r="AH34" s="47">
        <f>IF(ISNUMBER(Tabella2[[#This Row],[Mean RADIAL stress  (MPa)]]), Tabella2[[#This Row],[Mean RADIAL stress  (MPa)]],"")</f>
        <v>0</v>
      </c>
      <c r="AI34" s="26">
        <f>IF(ISNUMBER(Tabella2[[#This Row],[Amplitute RADIAL stress  (MPa)]]), Tabella2[[#This Row],[Amplitute RADIAL stress  (MPa)]],"")</f>
        <v>0</v>
      </c>
      <c r="AJ34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4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4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191839.67871121844</v>
      </c>
      <c r="AO3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63946.559570406156</v>
      </c>
      <c r="AP3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326.44061161088752</v>
      </c>
    </row>
    <row r="35" spans="1:43" ht="20.100000000000001" customHeight="1" thickBot="1" x14ac:dyDescent="0.35">
      <c r="A35" s="1" t="s">
        <v>63</v>
      </c>
      <c r="B35" s="1">
        <v>2015</v>
      </c>
      <c r="C35" s="17" t="s">
        <v>64</v>
      </c>
      <c r="D35" s="1" t="s">
        <v>99</v>
      </c>
      <c r="E35" s="14">
        <v>492241.547490831</v>
      </c>
      <c r="F35" s="1" t="s">
        <v>20</v>
      </c>
      <c r="G35" s="19" t="s">
        <v>66</v>
      </c>
      <c r="H35" s="1" t="s">
        <v>21</v>
      </c>
      <c r="I35" s="1" t="s">
        <v>27</v>
      </c>
      <c r="J35" s="1" t="s">
        <v>20</v>
      </c>
      <c r="K35" s="1" t="s">
        <v>21</v>
      </c>
      <c r="L35" s="1" t="s">
        <v>21</v>
      </c>
      <c r="M35" s="1">
        <v>0</v>
      </c>
      <c r="N35" s="1">
        <v>12</v>
      </c>
      <c r="O35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5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5" s="1">
        <v>0</v>
      </c>
      <c r="S35" s="1">
        <v>0</v>
      </c>
      <c r="T35" s="1">
        <v>0</v>
      </c>
      <c r="U35" s="25" t="s">
        <v>21</v>
      </c>
      <c r="V35" s="30" t="s">
        <v>21</v>
      </c>
      <c r="W35" s="30" t="s">
        <v>21</v>
      </c>
      <c r="X3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0.5</v>
      </c>
      <c r="AA35" s="47">
        <v>0</v>
      </c>
      <c r="AB35" s="26">
        <v>0</v>
      </c>
      <c r="AC35" s="18">
        <v>0</v>
      </c>
      <c r="AD35" s="26">
        <v>0</v>
      </c>
      <c r="AE35" s="30" t="s">
        <v>59</v>
      </c>
      <c r="AF35" s="18">
        <v>565.23210995884801</v>
      </c>
      <c r="AG35" s="20">
        <v>188.410703319616</v>
      </c>
      <c r="AH35" s="47">
        <f>IF(ISNUMBER(Tabella2[[#This Row],[Mean RADIAL stress  (MPa)]]), Tabella2[[#This Row],[Mean RADIAL stress  (MPa)]],"")</f>
        <v>0</v>
      </c>
      <c r="AI35" s="26">
        <f>IF(ISNUMBER(Tabella2[[#This Row],[Amplitute RADIAL stress  (MPa)]]), Tabella2[[#This Row],[Amplitute RADIAL stress  (MPa)]],"")</f>
        <v>0</v>
      </c>
      <c r="AJ35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5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5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191778.73677573571</v>
      </c>
      <c r="AO3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63926.245591911895</v>
      </c>
      <c r="AP3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326.33691083936105</v>
      </c>
    </row>
    <row r="36" spans="1:43" ht="20.100000000000001" customHeight="1" thickBot="1" x14ac:dyDescent="0.35">
      <c r="A36" s="1" t="s">
        <v>63</v>
      </c>
      <c r="B36" s="1">
        <v>2015</v>
      </c>
      <c r="C36" s="17" t="s">
        <v>64</v>
      </c>
      <c r="D36" s="1" t="s">
        <v>100</v>
      </c>
      <c r="E36" s="14">
        <v>11669.047497183201</v>
      </c>
      <c r="F36" s="1" t="s">
        <v>20</v>
      </c>
      <c r="G36" s="19" t="s">
        <v>66</v>
      </c>
      <c r="H36" s="1" t="s">
        <v>21</v>
      </c>
      <c r="I36" s="1" t="s">
        <v>27</v>
      </c>
      <c r="J36" s="1" t="s">
        <v>20</v>
      </c>
      <c r="K36" s="1" t="s">
        <v>21</v>
      </c>
      <c r="L36" s="1" t="s">
        <v>21</v>
      </c>
      <c r="M36" s="1">
        <v>0</v>
      </c>
      <c r="N36" s="1">
        <v>12</v>
      </c>
      <c r="O36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6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6" s="1">
        <v>0</v>
      </c>
      <c r="S36" s="1">
        <v>0</v>
      </c>
      <c r="T36" s="1">
        <v>0</v>
      </c>
      <c r="U36" s="25" t="s">
        <v>21</v>
      </c>
      <c r="V36" s="30" t="s">
        <v>21</v>
      </c>
      <c r="W36" s="30" t="s">
        <v>21</v>
      </c>
      <c r="X3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6" s="47">
        <v>0</v>
      </c>
      <c r="AB36" s="26">
        <v>0</v>
      </c>
      <c r="AC36" s="18">
        <v>0</v>
      </c>
      <c r="AD36" s="26">
        <v>0</v>
      </c>
      <c r="AE36" s="30" t="s">
        <v>59</v>
      </c>
      <c r="AF36" s="18">
        <v>0</v>
      </c>
      <c r="AG36" s="20">
        <v>498.96134972246398</v>
      </c>
      <c r="AH36" s="47">
        <f>IF(ISNUMBER(Tabella2[[#This Row],[Mean RADIAL stress  (MPa)]]), Tabella2[[#This Row],[Mean RADIAL stress  (MPa)]],"")</f>
        <v>0</v>
      </c>
      <c r="AI36" s="26">
        <f>IF(ISNUMBER(Tabella2[[#This Row],[Amplitute RADIAL stress  (MPa)]]), Tabella2[[#This Row],[Amplitute RADIAL stress  (MPa)]],"")</f>
        <v>0</v>
      </c>
      <c r="AJ36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6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6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169293.59755704075</v>
      </c>
      <c r="AP3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864.22640873245075</v>
      </c>
    </row>
    <row r="37" spans="1:43" ht="20.100000000000001" customHeight="1" thickBot="1" x14ac:dyDescent="0.35">
      <c r="A37" s="1" t="s">
        <v>63</v>
      </c>
      <c r="B37" s="1">
        <v>2015</v>
      </c>
      <c r="C37" s="17" t="s">
        <v>64</v>
      </c>
      <c r="D37" s="1" t="s">
        <v>101</v>
      </c>
      <c r="E37" s="14">
        <v>13467.3319698207</v>
      </c>
      <c r="F37" s="1" t="s">
        <v>20</v>
      </c>
      <c r="G37" s="19" t="s">
        <v>66</v>
      </c>
      <c r="H37" s="1" t="s">
        <v>21</v>
      </c>
      <c r="I37" s="1" t="s">
        <v>27</v>
      </c>
      <c r="J37" s="1" t="s">
        <v>20</v>
      </c>
      <c r="K37" s="1" t="s">
        <v>21</v>
      </c>
      <c r="L37" s="1" t="s">
        <v>21</v>
      </c>
      <c r="M37" s="1">
        <v>0</v>
      </c>
      <c r="N37" s="1">
        <v>12</v>
      </c>
      <c r="O37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7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7" s="1">
        <v>0</v>
      </c>
      <c r="S37" s="1">
        <v>0</v>
      </c>
      <c r="T37" s="1">
        <v>0</v>
      </c>
      <c r="U37" s="25" t="s">
        <v>21</v>
      </c>
      <c r="V37" s="30" t="s">
        <v>21</v>
      </c>
      <c r="W37" s="30" t="s">
        <v>21</v>
      </c>
      <c r="X3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7" s="47">
        <v>0</v>
      </c>
      <c r="AB37" s="26">
        <v>0</v>
      </c>
      <c r="AC37" s="18">
        <v>0</v>
      </c>
      <c r="AD37" s="26">
        <v>0</v>
      </c>
      <c r="AE37" s="30" t="s">
        <v>59</v>
      </c>
      <c r="AF37" s="18">
        <v>0</v>
      </c>
      <c r="AG37" s="20">
        <v>467.07501250213198</v>
      </c>
      <c r="AH37" s="47">
        <f>IF(ISNUMBER(Tabella2[[#This Row],[Mean RADIAL stress  (MPa)]]), Tabella2[[#This Row],[Mean RADIAL stress  (MPa)]],"")</f>
        <v>0</v>
      </c>
      <c r="AI37" s="26">
        <f>IF(ISNUMBER(Tabella2[[#This Row],[Amplitute RADIAL stress  (MPa)]]), Tabella2[[#This Row],[Amplitute RADIAL stress  (MPa)]],"")</f>
        <v>0</v>
      </c>
      <c r="AJ37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7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7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158474.81821882233</v>
      </c>
      <c r="AP3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808.99765259956121</v>
      </c>
    </row>
    <row r="38" spans="1:43" ht="20.100000000000001" customHeight="1" thickBot="1" x14ac:dyDescent="0.35">
      <c r="A38" s="1" t="s">
        <v>63</v>
      </c>
      <c r="B38" s="1">
        <v>2015</v>
      </c>
      <c r="C38" s="17" t="s">
        <v>64</v>
      </c>
      <c r="D38" s="1" t="s">
        <v>102</v>
      </c>
      <c r="E38" s="14">
        <v>78734.883960782594</v>
      </c>
      <c r="F38" s="1" t="s">
        <v>20</v>
      </c>
      <c r="G38" s="19" t="s">
        <v>66</v>
      </c>
      <c r="H38" s="1" t="s">
        <v>21</v>
      </c>
      <c r="I38" s="1" t="s">
        <v>27</v>
      </c>
      <c r="J38" s="1" t="s">
        <v>20</v>
      </c>
      <c r="K38" s="1" t="s">
        <v>21</v>
      </c>
      <c r="L38" s="1" t="s">
        <v>21</v>
      </c>
      <c r="M38" s="1">
        <v>0</v>
      </c>
      <c r="N38" s="1">
        <v>12</v>
      </c>
      <c r="O38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8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8" s="1">
        <v>0</v>
      </c>
      <c r="S38" s="1">
        <v>0</v>
      </c>
      <c r="T38" s="1">
        <v>0</v>
      </c>
      <c r="U38" s="25" t="s">
        <v>21</v>
      </c>
      <c r="V38" s="30" t="s">
        <v>21</v>
      </c>
      <c r="W38" s="30" t="s">
        <v>21</v>
      </c>
      <c r="X3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8" s="47">
        <v>0</v>
      </c>
      <c r="AB38" s="26">
        <v>0</v>
      </c>
      <c r="AC38" s="18">
        <v>0</v>
      </c>
      <c r="AD38" s="26">
        <v>0</v>
      </c>
      <c r="AE38" s="30" t="s">
        <v>59</v>
      </c>
      <c r="AF38" s="18">
        <v>0</v>
      </c>
      <c r="AG38" s="20">
        <v>459.828726976989</v>
      </c>
      <c r="AH38" s="47">
        <f>IF(ISNUMBER(Tabella2[[#This Row],[Mean RADIAL stress  (MPa)]]), Tabella2[[#This Row],[Mean RADIAL stress  (MPa)]],"")</f>
        <v>0</v>
      </c>
      <c r="AI38" s="26">
        <f>IF(ISNUMBER(Tabella2[[#This Row],[Amplitute RADIAL stress  (MPa)]]), Tabella2[[#This Row],[Amplitute RADIAL stress  (MPa)]],"")</f>
        <v>0</v>
      </c>
      <c r="AJ38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8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8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156016.21146268919</v>
      </c>
      <c r="AP3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796.44671790386258</v>
      </c>
    </row>
    <row r="39" spans="1:43" ht="20.100000000000001" customHeight="1" thickBot="1" x14ac:dyDescent="0.35">
      <c r="A39" s="1" t="s">
        <v>63</v>
      </c>
      <c r="B39" s="1">
        <v>2015</v>
      </c>
      <c r="C39" s="17" t="s">
        <v>64</v>
      </c>
      <c r="D39" s="1" t="s">
        <v>103</v>
      </c>
      <c r="E39" s="14">
        <v>89941.922208904798</v>
      </c>
      <c r="F39" s="1" t="s">
        <v>20</v>
      </c>
      <c r="G39" s="19" t="s">
        <v>66</v>
      </c>
      <c r="H39" s="1" t="s">
        <v>21</v>
      </c>
      <c r="I39" s="1" t="s">
        <v>27</v>
      </c>
      <c r="J39" s="1" t="s">
        <v>20</v>
      </c>
      <c r="K39" s="1" t="s">
        <v>21</v>
      </c>
      <c r="L39" s="1" t="s">
        <v>21</v>
      </c>
      <c r="M39" s="1">
        <v>0</v>
      </c>
      <c r="N39" s="1">
        <v>12</v>
      </c>
      <c r="O39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9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9" s="1">
        <v>0</v>
      </c>
      <c r="S39" s="1">
        <v>0</v>
      </c>
      <c r="T39" s="1">
        <v>0</v>
      </c>
      <c r="U39" s="25" t="s">
        <v>21</v>
      </c>
      <c r="V39" s="30" t="s">
        <v>21</v>
      </c>
      <c r="W39" s="30" t="s">
        <v>21</v>
      </c>
      <c r="X3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9" s="47">
        <v>0</v>
      </c>
      <c r="AB39" s="26">
        <v>0</v>
      </c>
      <c r="AC39" s="18">
        <v>0</v>
      </c>
      <c r="AD39" s="26">
        <v>0</v>
      </c>
      <c r="AE39" s="30" t="s">
        <v>59</v>
      </c>
      <c r="AF39" s="18">
        <v>0</v>
      </c>
      <c r="AG39" s="20">
        <v>459.890445989689</v>
      </c>
      <c r="AH39" s="47">
        <f>IF(ISNUMBER(Tabella2[[#This Row],[Mean RADIAL stress  (MPa)]]), Tabella2[[#This Row],[Mean RADIAL stress  (MPa)]],"")</f>
        <v>0</v>
      </c>
      <c r="AI39" s="26">
        <f>IF(ISNUMBER(Tabella2[[#This Row],[Amplitute RADIAL stress  (MPa)]]), Tabella2[[#This Row],[Amplitute RADIAL stress  (MPa)]],"")</f>
        <v>0</v>
      </c>
      <c r="AJ39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9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9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156037.15223035277</v>
      </c>
      <c r="AP3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796.55361836965199</v>
      </c>
    </row>
    <row r="40" spans="1:43" ht="20.100000000000001" customHeight="1" thickBot="1" x14ac:dyDescent="0.35">
      <c r="A40" s="1" t="s">
        <v>63</v>
      </c>
      <c r="B40" s="1">
        <v>2015</v>
      </c>
      <c r="C40" s="17" t="s">
        <v>64</v>
      </c>
      <c r="D40" s="1" t="s">
        <v>104</v>
      </c>
      <c r="E40" s="14">
        <v>145753.37057922801</v>
      </c>
      <c r="F40" s="1" t="s">
        <v>20</v>
      </c>
      <c r="G40" s="19" t="s">
        <v>66</v>
      </c>
      <c r="H40" s="1" t="s">
        <v>21</v>
      </c>
      <c r="I40" s="1" t="s">
        <v>27</v>
      </c>
      <c r="J40" s="1" t="s">
        <v>20</v>
      </c>
      <c r="K40" s="1" t="s">
        <v>21</v>
      </c>
      <c r="L40" s="1" t="s">
        <v>21</v>
      </c>
      <c r="M40" s="1">
        <v>0</v>
      </c>
      <c r="N40" s="1">
        <v>12</v>
      </c>
      <c r="O40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0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0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0" s="1">
        <v>0</v>
      </c>
      <c r="S40" s="1">
        <v>0</v>
      </c>
      <c r="T40" s="1">
        <v>0</v>
      </c>
      <c r="U40" s="25" t="s">
        <v>21</v>
      </c>
      <c r="V40" s="30" t="s">
        <v>21</v>
      </c>
      <c r="W40" s="30" t="s">
        <v>21</v>
      </c>
      <c r="X4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0" s="47">
        <v>0</v>
      </c>
      <c r="AB40" s="26">
        <v>0</v>
      </c>
      <c r="AC40" s="18">
        <v>0</v>
      </c>
      <c r="AD40" s="26">
        <v>0</v>
      </c>
      <c r="AE40" s="30" t="s">
        <v>59</v>
      </c>
      <c r="AF40" s="18">
        <v>0</v>
      </c>
      <c r="AG40" s="20">
        <v>441.27805200599602</v>
      </c>
      <c r="AH40" s="47">
        <f>IF(ISNUMBER(Tabella2[[#This Row],[Mean RADIAL stress  (MPa)]]), Tabella2[[#This Row],[Mean RADIAL stress  (MPa)]],"")</f>
        <v>0</v>
      </c>
      <c r="AI40" s="26">
        <f>IF(ISNUMBER(Tabella2[[#This Row],[Amplitute RADIAL stress  (MPa)]]), Tabella2[[#This Row],[Amplitute RADIAL stress  (MPa)]],"")</f>
        <v>0</v>
      </c>
      <c r="AJ40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0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0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0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149722.11572822477</v>
      </c>
      <c r="AP4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764.31600633940639</v>
      </c>
    </row>
    <row r="41" spans="1:43" ht="20.100000000000001" customHeight="1" thickBot="1" x14ac:dyDescent="0.35">
      <c r="A41" s="1" t="s">
        <v>63</v>
      </c>
      <c r="B41" s="1">
        <v>2015</v>
      </c>
      <c r="C41" s="17" t="s">
        <v>64</v>
      </c>
      <c r="D41" s="1" t="s">
        <v>105</v>
      </c>
      <c r="E41" s="14">
        <v>447780.94446418202</v>
      </c>
      <c r="F41" s="1" t="s">
        <v>20</v>
      </c>
      <c r="G41" s="19" t="s">
        <v>66</v>
      </c>
      <c r="H41" s="1" t="s">
        <v>21</v>
      </c>
      <c r="I41" s="1" t="s">
        <v>27</v>
      </c>
      <c r="J41" s="1" t="s">
        <v>20</v>
      </c>
      <c r="K41" s="1" t="s">
        <v>21</v>
      </c>
      <c r="L41" s="1" t="s">
        <v>21</v>
      </c>
      <c r="M41" s="1">
        <v>0</v>
      </c>
      <c r="N41" s="1">
        <v>12</v>
      </c>
      <c r="O41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1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1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1" s="1">
        <v>0</v>
      </c>
      <c r="S41" s="1">
        <v>0</v>
      </c>
      <c r="T41" s="1">
        <v>0</v>
      </c>
      <c r="U41" s="25" t="s">
        <v>21</v>
      </c>
      <c r="V41" s="30" t="s">
        <v>21</v>
      </c>
      <c r="W41" s="30" t="s">
        <v>21</v>
      </c>
      <c r="X4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1" s="47">
        <v>0</v>
      </c>
      <c r="AB41" s="26">
        <v>0</v>
      </c>
      <c r="AC41" s="18">
        <v>0</v>
      </c>
      <c r="AD41" s="26">
        <v>0</v>
      </c>
      <c r="AE41" s="30" t="s">
        <v>59</v>
      </c>
      <c r="AF41" s="18">
        <v>0</v>
      </c>
      <c r="AG41" s="20">
        <v>400.72436946002102</v>
      </c>
      <c r="AH41" s="47">
        <f>IF(ISNUMBER(Tabella2[[#This Row],[Mean RADIAL stress  (MPa)]]), Tabella2[[#This Row],[Mean RADIAL stress  (MPa)]],"")</f>
        <v>0</v>
      </c>
      <c r="AI41" s="26">
        <f>IF(ISNUMBER(Tabella2[[#This Row],[Amplitute RADIAL stress  (MPa)]]), Tabella2[[#This Row],[Amplitute RADIAL stress  (MPa)]],"")</f>
        <v>0</v>
      </c>
      <c r="AJ41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1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1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1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135962.57540268044</v>
      </c>
      <c r="AP4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694.07496773575849</v>
      </c>
    </row>
    <row r="42" spans="1:43" ht="20.100000000000001" customHeight="1" thickBot="1" x14ac:dyDescent="0.35">
      <c r="A42" s="1" t="s">
        <v>63</v>
      </c>
      <c r="B42" s="1">
        <v>2015</v>
      </c>
      <c r="C42" s="17" t="s">
        <v>64</v>
      </c>
      <c r="D42" s="1" t="s">
        <v>106</v>
      </c>
      <c r="E42" s="14">
        <v>537611.49770624202</v>
      </c>
      <c r="F42" s="1" t="s">
        <v>20</v>
      </c>
      <c r="G42" s="19" t="s">
        <v>66</v>
      </c>
      <c r="H42" s="1" t="s">
        <v>21</v>
      </c>
      <c r="I42" s="1" t="s">
        <v>27</v>
      </c>
      <c r="J42" s="1" t="s">
        <v>20</v>
      </c>
      <c r="K42" s="1" t="s">
        <v>21</v>
      </c>
      <c r="L42" s="1" t="s">
        <v>21</v>
      </c>
      <c r="M42" s="1">
        <v>0</v>
      </c>
      <c r="N42" s="1">
        <v>12</v>
      </c>
      <c r="O42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2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2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2" s="1">
        <v>0</v>
      </c>
      <c r="S42" s="1">
        <v>0</v>
      </c>
      <c r="T42" s="1">
        <v>0</v>
      </c>
      <c r="U42" s="25" t="s">
        <v>21</v>
      </c>
      <c r="V42" s="30" t="s">
        <v>21</v>
      </c>
      <c r="W42" s="30" t="s">
        <v>21</v>
      </c>
      <c r="X4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2" s="47">
        <v>0</v>
      </c>
      <c r="AB42" s="26">
        <v>0</v>
      </c>
      <c r="AC42" s="18">
        <v>0</v>
      </c>
      <c r="AD42" s="26">
        <v>0</v>
      </c>
      <c r="AE42" s="30" t="s">
        <v>59</v>
      </c>
      <c r="AF42" s="18">
        <v>0</v>
      </c>
      <c r="AG42" s="20">
        <v>420.82828559987598</v>
      </c>
      <c r="AH42" s="47">
        <f>IF(ISNUMBER(Tabella2[[#This Row],[Mean RADIAL stress  (MPa)]]), Tabella2[[#This Row],[Mean RADIAL stress  (MPa)]],"")</f>
        <v>0</v>
      </c>
      <c r="AI42" s="26">
        <f>IF(ISNUMBER(Tabella2[[#This Row],[Amplitute RADIAL stress  (MPa)]]), Tabella2[[#This Row],[Amplitute RADIAL stress  (MPa)]],"")</f>
        <v>0</v>
      </c>
      <c r="AJ42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2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2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2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142783.67345004264</v>
      </c>
      <c r="AP4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728.89597192109136</v>
      </c>
    </row>
    <row r="43" spans="1:43" ht="20.100000000000001" customHeight="1" thickBot="1" x14ac:dyDescent="0.35">
      <c r="A43" s="1" t="s">
        <v>63</v>
      </c>
      <c r="B43" s="1">
        <v>2015</v>
      </c>
      <c r="C43" s="17" t="s">
        <v>64</v>
      </c>
      <c r="D43" s="1" t="s">
        <v>107</v>
      </c>
      <c r="E43" s="14">
        <v>471769.681367882</v>
      </c>
      <c r="F43" s="1" t="s">
        <v>20</v>
      </c>
      <c r="G43" s="19" t="s">
        <v>66</v>
      </c>
      <c r="H43" s="1" t="s">
        <v>21</v>
      </c>
      <c r="I43" s="1" t="s">
        <v>27</v>
      </c>
      <c r="J43" s="1" t="s">
        <v>20</v>
      </c>
      <c r="K43" s="1" t="s">
        <v>21</v>
      </c>
      <c r="L43" s="1" t="s">
        <v>21</v>
      </c>
      <c r="M43" s="1">
        <v>0</v>
      </c>
      <c r="N43" s="1">
        <v>12</v>
      </c>
      <c r="O43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3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3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3" s="1">
        <v>0</v>
      </c>
      <c r="S43" s="1">
        <v>0</v>
      </c>
      <c r="T43" s="1">
        <v>0</v>
      </c>
      <c r="U43" s="25" t="s">
        <v>21</v>
      </c>
      <c r="V43" s="30" t="s">
        <v>21</v>
      </c>
      <c r="W43" s="30" t="s">
        <v>21</v>
      </c>
      <c r="X4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3" s="47">
        <v>0</v>
      </c>
      <c r="AB43" s="26">
        <v>0</v>
      </c>
      <c r="AC43" s="18">
        <v>0</v>
      </c>
      <c r="AD43" s="26">
        <v>0</v>
      </c>
      <c r="AE43" s="30" t="s">
        <v>59</v>
      </c>
      <c r="AF43" s="18">
        <v>0</v>
      </c>
      <c r="AG43" s="20">
        <v>459.05793783033403</v>
      </c>
      <c r="AH43" s="47">
        <f>IF(ISNUMBER(Tabella2[[#This Row],[Mean RADIAL stress  (MPa)]]), Tabella2[[#This Row],[Mean RADIAL stress  (MPa)]],"")</f>
        <v>0</v>
      </c>
      <c r="AI43" s="26">
        <f>IF(ISNUMBER(Tabella2[[#This Row],[Amplitute RADIAL stress  (MPa)]]), Tabella2[[#This Row],[Amplitute RADIAL stress  (MPa)]],"")</f>
        <v>0</v>
      </c>
      <c r="AJ43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3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3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3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3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3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155754.6888664646</v>
      </c>
      <c r="AP4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795.11167193993356</v>
      </c>
    </row>
    <row r="44" spans="1:43" ht="20.100000000000001" customHeight="1" thickBot="1" x14ac:dyDescent="0.35">
      <c r="A44" s="1" t="s">
        <v>63</v>
      </c>
      <c r="B44" s="1">
        <v>2015</v>
      </c>
      <c r="C44" s="17" t="s">
        <v>64</v>
      </c>
      <c r="D44" s="1" t="s">
        <v>108</v>
      </c>
      <c r="E44" s="14">
        <v>10798.308093961599</v>
      </c>
      <c r="F44" s="1" t="s">
        <v>20</v>
      </c>
      <c r="G44" s="19" t="s">
        <v>66</v>
      </c>
      <c r="H44" s="1" t="s">
        <v>21</v>
      </c>
      <c r="I44" s="1" t="s">
        <v>27</v>
      </c>
      <c r="J44" s="1" t="s">
        <v>20</v>
      </c>
      <c r="K44" s="1" t="s">
        <v>21</v>
      </c>
      <c r="L44" s="1" t="s">
        <v>21</v>
      </c>
      <c r="M44" s="1">
        <v>0</v>
      </c>
      <c r="N44" s="1">
        <v>12</v>
      </c>
      <c r="O44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4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4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4" s="1">
        <v>0</v>
      </c>
      <c r="S44" s="1">
        <v>0</v>
      </c>
      <c r="T44" s="1">
        <v>0</v>
      </c>
      <c r="U44" s="25" t="s">
        <v>21</v>
      </c>
      <c r="V44" s="30" t="s">
        <v>21</v>
      </c>
      <c r="W44" s="30" t="s">
        <v>21</v>
      </c>
      <c r="X4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4" s="47">
        <v>0</v>
      </c>
      <c r="AB44" s="26">
        <v>0</v>
      </c>
      <c r="AC44" s="18">
        <v>0</v>
      </c>
      <c r="AD44" s="26">
        <v>0</v>
      </c>
      <c r="AE44" s="30" t="s">
        <v>59</v>
      </c>
      <c r="AF44" s="18">
        <v>417.71545594534598</v>
      </c>
      <c r="AG44" s="20">
        <v>417.71545594534598</v>
      </c>
      <c r="AH44" s="47">
        <f>IF(ISNUMBER(Tabella2[[#This Row],[Mean RADIAL stress  (MPa)]]), Tabella2[[#This Row],[Mean RADIAL stress  (MPa)]],"")</f>
        <v>0</v>
      </c>
      <c r="AI44" s="26">
        <f>IF(ISNUMBER(Tabella2[[#This Row],[Amplitute RADIAL stress  (MPa)]]), Tabella2[[#This Row],[Amplitute RADIAL stress  (MPa)]],"")</f>
        <v>0</v>
      </c>
      <c r="AJ44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4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4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4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4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141727.51523039144</v>
      </c>
      <c r="AO44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141727.51523039144</v>
      </c>
      <c r="AP4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723.50439280413821</v>
      </c>
    </row>
    <row r="45" spans="1:43" ht="20.100000000000001" customHeight="1" thickBot="1" x14ac:dyDescent="0.35">
      <c r="A45" s="1" t="s">
        <v>63</v>
      </c>
      <c r="B45" s="1">
        <v>2015</v>
      </c>
      <c r="C45" s="17" t="s">
        <v>64</v>
      </c>
      <c r="D45" s="1" t="s">
        <v>109</v>
      </c>
      <c r="E45" s="14">
        <v>11163.6954245863</v>
      </c>
      <c r="F45" s="1" t="s">
        <v>20</v>
      </c>
      <c r="G45" s="19" t="s">
        <v>66</v>
      </c>
      <c r="H45" s="1" t="s">
        <v>21</v>
      </c>
      <c r="I45" s="1" t="s">
        <v>27</v>
      </c>
      <c r="J45" s="1" t="s">
        <v>20</v>
      </c>
      <c r="K45" s="1" t="s">
        <v>21</v>
      </c>
      <c r="L45" s="1" t="s">
        <v>21</v>
      </c>
      <c r="M45" s="1">
        <v>0</v>
      </c>
      <c r="N45" s="1">
        <v>12</v>
      </c>
      <c r="O45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5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5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5" s="1">
        <v>0</v>
      </c>
      <c r="S45" s="1">
        <v>0</v>
      </c>
      <c r="T45" s="1">
        <v>0</v>
      </c>
      <c r="U45" s="25" t="s">
        <v>21</v>
      </c>
      <c r="V45" s="30" t="s">
        <v>21</v>
      </c>
      <c r="W45" s="30" t="s">
        <v>21</v>
      </c>
      <c r="X4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5" s="47">
        <v>0</v>
      </c>
      <c r="AB45" s="26">
        <v>0</v>
      </c>
      <c r="AC45" s="18">
        <v>0</v>
      </c>
      <c r="AD45" s="26">
        <v>0</v>
      </c>
      <c r="AE45" s="30" t="s">
        <v>59</v>
      </c>
      <c r="AF45" s="18">
        <v>374.97176521341601</v>
      </c>
      <c r="AG45" s="20">
        <v>374.97176521341601</v>
      </c>
      <c r="AH45" s="47">
        <f>IF(ISNUMBER(Tabella2[[#This Row],[Mean RADIAL stress  (MPa)]]), Tabella2[[#This Row],[Mean RADIAL stress  (MPa)]],"")</f>
        <v>0</v>
      </c>
      <c r="AI45" s="26">
        <f>IF(ISNUMBER(Tabella2[[#This Row],[Amplitute RADIAL stress  (MPa)]]), Tabella2[[#This Row],[Amplitute RADIAL stress  (MPa)]],"")</f>
        <v>0</v>
      </c>
      <c r="AJ45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5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5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5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5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127224.92263299094</v>
      </c>
      <c r="AO45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127224.92263299094</v>
      </c>
      <c r="AP4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649.47014875342461</v>
      </c>
    </row>
    <row r="46" spans="1:43" ht="20.100000000000001" customHeight="1" thickBot="1" x14ac:dyDescent="0.35">
      <c r="A46" s="1" t="s">
        <v>63</v>
      </c>
      <c r="B46" s="1">
        <v>2015</v>
      </c>
      <c r="C46" s="17" t="s">
        <v>64</v>
      </c>
      <c r="D46" s="1" t="s">
        <v>110</v>
      </c>
      <c r="E46" s="14">
        <v>38760.331119493298</v>
      </c>
      <c r="F46" s="1" t="s">
        <v>20</v>
      </c>
      <c r="G46" s="19" t="s">
        <v>66</v>
      </c>
      <c r="H46" s="1" t="s">
        <v>21</v>
      </c>
      <c r="I46" s="1" t="s">
        <v>27</v>
      </c>
      <c r="J46" s="1" t="s">
        <v>20</v>
      </c>
      <c r="K46" s="1" t="s">
        <v>21</v>
      </c>
      <c r="L46" s="1" t="s">
        <v>21</v>
      </c>
      <c r="M46" s="1">
        <v>0</v>
      </c>
      <c r="N46" s="1">
        <v>12</v>
      </c>
      <c r="O46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6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6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6" s="1">
        <v>0</v>
      </c>
      <c r="S46" s="1">
        <v>0</v>
      </c>
      <c r="T46" s="1">
        <v>0</v>
      </c>
      <c r="U46" s="25" t="s">
        <v>21</v>
      </c>
      <c r="V46" s="30" t="s">
        <v>21</v>
      </c>
      <c r="W46" s="30" t="s">
        <v>21</v>
      </c>
      <c r="X4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6" s="47">
        <v>0</v>
      </c>
      <c r="AB46" s="26">
        <v>0</v>
      </c>
      <c r="AC46" s="18">
        <v>0</v>
      </c>
      <c r="AD46" s="26">
        <v>0</v>
      </c>
      <c r="AE46" s="30" t="s">
        <v>59</v>
      </c>
      <c r="AF46" s="18">
        <v>357.57295891739301</v>
      </c>
      <c r="AG46" s="20">
        <v>357.57295891739301</v>
      </c>
      <c r="AH46" s="47">
        <f>IF(ISNUMBER(Tabella2[[#This Row],[Mean RADIAL stress  (MPa)]]), Tabella2[[#This Row],[Mean RADIAL stress  (MPa)]],"")</f>
        <v>0</v>
      </c>
      <c r="AI46" s="26">
        <f>IF(ISNUMBER(Tabella2[[#This Row],[Amplitute RADIAL stress  (MPa)]]), Tabella2[[#This Row],[Amplitute RADIAL stress  (MPa)]],"")</f>
        <v>0</v>
      </c>
      <c r="AJ46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6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6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6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6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121321.64673258265</v>
      </c>
      <c r="AO46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121321.64673258265</v>
      </c>
      <c r="AP4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619.33453225766357</v>
      </c>
    </row>
    <row r="47" spans="1:43" ht="20.100000000000001" customHeight="1" thickBot="1" x14ac:dyDescent="0.35">
      <c r="A47" s="1" t="s">
        <v>63</v>
      </c>
      <c r="B47" s="1">
        <v>2015</v>
      </c>
      <c r="C47" s="17" t="s">
        <v>64</v>
      </c>
      <c r="D47" s="1" t="s">
        <v>111</v>
      </c>
      <c r="E47" s="14">
        <v>53170.3976128586</v>
      </c>
      <c r="F47" s="1" t="s">
        <v>20</v>
      </c>
      <c r="G47" s="19" t="s">
        <v>66</v>
      </c>
      <c r="H47" s="1" t="s">
        <v>21</v>
      </c>
      <c r="I47" s="1" t="s">
        <v>27</v>
      </c>
      <c r="J47" s="1" t="s">
        <v>20</v>
      </c>
      <c r="K47" s="1" t="s">
        <v>21</v>
      </c>
      <c r="L47" s="1" t="s">
        <v>21</v>
      </c>
      <c r="M47" s="1">
        <v>0</v>
      </c>
      <c r="N47" s="1">
        <v>12</v>
      </c>
      <c r="O47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7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7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7" s="1">
        <v>0</v>
      </c>
      <c r="S47" s="1">
        <v>0</v>
      </c>
      <c r="T47" s="1">
        <v>0</v>
      </c>
      <c r="U47" s="25" t="s">
        <v>21</v>
      </c>
      <c r="V47" s="30" t="s">
        <v>21</v>
      </c>
      <c r="W47" s="30" t="s">
        <v>21</v>
      </c>
      <c r="X4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7" s="47">
        <v>0</v>
      </c>
      <c r="AB47" s="26">
        <v>0</v>
      </c>
      <c r="AC47" s="18">
        <v>0</v>
      </c>
      <c r="AD47" s="26">
        <v>0</v>
      </c>
      <c r="AE47" s="30" t="s">
        <v>59</v>
      </c>
      <c r="AF47" s="18">
        <v>378.188043226925</v>
      </c>
      <c r="AG47" s="20">
        <v>378.188043226925</v>
      </c>
      <c r="AH47" s="47">
        <f>IF(ISNUMBER(Tabella2[[#This Row],[Mean RADIAL stress  (MPa)]]), Tabella2[[#This Row],[Mean RADIAL stress  (MPa)]],"")</f>
        <v>0</v>
      </c>
      <c r="AI47" s="26">
        <f>IF(ISNUMBER(Tabella2[[#This Row],[Amplitute RADIAL stress  (MPa)]]), Tabella2[[#This Row],[Amplitute RADIAL stress  (MPa)]],"")</f>
        <v>0</v>
      </c>
      <c r="AJ47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7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7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7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7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128316.18005393831</v>
      </c>
      <c r="AO47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128316.18005393831</v>
      </c>
      <c r="AP4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655.0409056840889</v>
      </c>
    </row>
    <row r="48" spans="1:43" ht="20.100000000000001" customHeight="1" thickBot="1" x14ac:dyDescent="0.35">
      <c r="A48" s="1" t="s">
        <v>63</v>
      </c>
      <c r="B48" s="1">
        <v>2015</v>
      </c>
      <c r="C48" s="17" t="s">
        <v>64</v>
      </c>
      <c r="D48" s="1" t="s">
        <v>112</v>
      </c>
      <c r="E48" s="14">
        <v>97055.929419642402</v>
      </c>
      <c r="F48" s="1" t="s">
        <v>20</v>
      </c>
      <c r="G48" s="19" t="s">
        <v>66</v>
      </c>
      <c r="H48" s="1" t="s">
        <v>21</v>
      </c>
      <c r="I48" s="1" t="s">
        <v>27</v>
      </c>
      <c r="J48" s="1" t="s">
        <v>20</v>
      </c>
      <c r="K48" s="1" t="s">
        <v>21</v>
      </c>
      <c r="L48" s="1" t="s">
        <v>21</v>
      </c>
      <c r="M48" s="1">
        <v>0</v>
      </c>
      <c r="N48" s="1">
        <v>12</v>
      </c>
      <c r="O48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8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8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8" s="1">
        <v>0</v>
      </c>
      <c r="S48" s="1">
        <v>0</v>
      </c>
      <c r="T48" s="1">
        <v>0</v>
      </c>
      <c r="U48" s="25" t="s">
        <v>21</v>
      </c>
      <c r="V48" s="30" t="s">
        <v>21</v>
      </c>
      <c r="W48" s="30" t="s">
        <v>21</v>
      </c>
      <c r="X4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8" s="47">
        <v>0</v>
      </c>
      <c r="AB48" s="26">
        <v>0</v>
      </c>
      <c r="AC48" s="18">
        <v>0</v>
      </c>
      <c r="AD48" s="26">
        <v>0</v>
      </c>
      <c r="AE48" s="30" t="s">
        <v>59</v>
      </c>
      <c r="AF48" s="18">
        <v>338.502616397964</v>
      </c>
      <c r="AG48" s="20">
        <v>338.502616397964</v>
      </c>
      <c r="AH48" s="47">
        <f>IF(ISNUMBER(Tabella2[[#This Row],[Mean RADIAL stress  (MPa)]]), Tabella2[[#This Row],[Mean RADIAL stress  (MPa)]],"")</f>
        <v>0</v>
      </c>
      <c r="AI48" s="26">
        <f>IF(ISNUMBER(Tabella2[[#This Row],[Amplitute RADIAL stress  (MPa)]]), Tabella2[[#This Row],[Amplitute RADIAL stress  (MPa)]],"")</f>
        <v>0</v>
      </c>
      <c r="AJ48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8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8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8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8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114851.23195285088</v>
      </c>
      <c r="AO48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114851.23195285088</v>
      </c>
      <c r="AP4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586.30373009627147</v>
      </c>
    </row>
    <row r="49" spans="1:43" ht="20.100000000000001" customHeight="1" thickBot="1" x14ac:dyDescent="0.35">
      <c r="A49" s="1" t="s">
        <v>63</v>
      </c>
      <c r="B49" s="1">
        <v>2015</v>
      </c>
      <c r="C49" s="17" t="s">
        <v>64</v>
      </c>
      <c r="D49" s="1" t="s">
        <v>113</v>
      </c>
      <c r="E49" s="14">
        <v>515230.73904002301</v>
      </c>
      <c r="F49" s="1" t="s">
        <v>20</v>
      </c>
      <c r="G49" s="19" t="s">
        <v>66</v>
      </c>
      <c r="H49" s="1" t="s">
        <v>21</v>
      </c>
      <c r="I49" s="1" t="s">
        <v>27</v>
      </c>
      <c r="J49" s="1" t="s">
        <v>20</v>
      </c>
      <c r="K49" s="1" t="s">
        <v>21</v>
      </c>
      <c r="L49" s="1" t="s">
        <v>21</v>
      </c>
      <c r="M49" s="1">
        <v>0</v>
      </c>
      <c r="N49" s="1">
        <v>12</v>
      </c>
      <c r="O49" s="2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9" s="2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9" s="2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9" s="1">
        <v>0</v>
      </c>
      <c r="S49" s="1">
        <v>0</v>
      </c>
      <c r="T49" s="1">
        <v>0</v>
      </c>
      <c r="U49" s="25" t="s">
        <v>21</v>
      </c>
      <c r="V49" s="30" t="s">
        <v>21</v>
      </c>
      <c r="W49" s="30" t="s">
        <v>21</v>
      </c>
      <c r="X4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49" s="47">
        <v>0</v>
      </c>
      <c r="AB49" s="26">
        <v>0</v>
      </c>
      <c r="AC49" s="18">
        <v>0</v>
      </c>
      <c r="AD49" s="26">
        <v>0</v>
      </c>
      <c r="AE49" s="30" t="s">
        <v>59</v>
      </c>
      <c r="AF49" s="18">
        <v>336.71898847938201</v>
      </c>
      <c r="AG49" s="20">
        <v>336.71898847938201</v>
      </c>
      <c r="AH49" s="47">
        <f>IF(ISNUMBER(Tabella2[[#This Row],[Mean RADIAL stress  (MPa)]]), Tabella2[[#This Row],[Mean RADIAL stress  (MPa)]],"")</f>
        <v>0</v>
      </c>
      <c r="AI49" s="26">
        <f>IF(ISNUMBER(Tabella2[[#This Row],[Amplitute RADIAL stress  (MPa)]]), Tabella2[[#This Row],[Amplitute RADIAL stress  (MPa)]],"")</f>
        <v>0</v>
      </c>
      <c r="AJ49" s="2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9" s="2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9" s="2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9" s="2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9" s="2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114246.06125734937</v>
      </c>
      <c r="AO49" s="2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114246.06125734937</v>
      </c>
      <c r="AP4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583.21439591948911</v>
      </c>
    </row>
    <row r="50" spans="1:43" ht="20.100000000000001" customHeight="1" x14ac:dyDescent="0.3">
      <c r="O50" s="25"/>
      <c r="P50" s="25"/>
      <c r="Z50" s="26"/>
      <c r="AG50" s="21"/>
    </row>
    <row r="51" spans="1:43" ht="20.100000000000001" customHeight="1" x14ac:dyDescent="0.3">
      <c r="O51" s="25"/>
      <c r="P51" s="25"/>
      <c r="Z51" s="26"/>
      <c r="AG51" s="21"/>
    </row>
    <row r="52" spans="1:43" ht="20.100000000000001" customHeight="1" x14ac:dyDescent="0.3">
      <c r="O52" s="25"/>
      <c r="P52" s="25"/>
      <c r="Z52" s="26"/>
      <c r="AG52" s="21"/>
    </row>
    <row r="53" spans="1:43" ht="20.100000000000001" customHeight="1" x14ac:dyDescent="0.3">
      <c r="O53" s="25"/>
      <c r="P53" s="25"/>
      <c r="Z53" s="26"/>
      <c r="AG53" s="21"/>
    </row>
    <row r="54" spans="1:43" ht="20.100000000000001" customHeight="1" x14ac:dyDescent="0.3">
      <c r="O54" s="25"/>
      <c r="P54" s="25"/>
      <c r="Z54" s="26"/>
      <c r="AG54" s="21"/>
    </row>
    <row r="55" spans="1:43" ht="20.100000000000001" customHeight="1" x14ac:dyDescent="0.3">
      <c r="O55" s="25"/>
      <c r="P55" s="25"/>
      <c r="Z55" s="26"/>
      <c r="AG55" s="21"/>
    </row>
    <row r="56" spans="1:43" ht="19.5" customHeight="1" x14ac:dyDescent="0.3">
      <c r="O56" s="25"/>
      <c r="P56" s="25"/>
      <c r="Z56" s="26"/>
      <c r="AG56" s="21"/>
    </row>
    <row r="57" spans="1:43" s="17" customFormat="1" ht="20.100000000000001" customHeight="1" thickBot="1" x14ac:dyDescent="0.35">
      <c r="A57" s="1"/>
      <c r="B57" s="1"/>
      <c r="C57" s="1"/>
      <c r="D57" s="1"/>
      <c r="E57" s="14"/>
      <c r="F57" s="1"/>
      <c r="G57" s="19"/>
      <c r="H57" s="1"/>
      <c r="I57" s="1"/>
      <c r="J57" s="1"/>
      <c r="K57" s="1"/>
      <c r="L57" s="1"/>
      <c r="M57" s="1"/>
      <c r="N57" s="1"/>
      <c r="O57" s="25"/>
      <c r="P57" s="25"/>
      <c r="Q57" s="19"/>
      <c r="R57" s="1"/>
      <c r="S57" s="1"/>
      <c r="T57" s="1"/>
      <c r="U57" s="25"/>
      <c r="V57" s="30"/>
      <c r="W57" s="30"/>
      <c r="X57" s="1"/>
      <c r="Y57" s="1"/>
      <c r="Z57" s="26"/>
      <c r="AA57" s="47"/>
      <c r="AB57" s="26"/>
      <c r="AC57" s="26"/>
      <c r="AD57" s="26"/>
      <c r="AE57" s="30"/>
      <c r="AF57" s="26"/>
      <c r="AG57" s="21"/>
      <c r="AH57" s="26"/>
      <c r="AI57" s="26"/>
      <c r="AJ57" s="26"/>
      <c r="AK57" s="26"/>
      <c r="AL57" s="26"/>
      <c r="AM57" s="26"/>
      <c r="AN57" s="26"/>
      <c r="AO57" s="20"/>
      <c r="AP57" s="39"/>
      <c r="AQ57" s="14"/>
    </row>
    <row r="58" spans="1:43" ht="20.100000000000001" customHeight="1" x14ac:dyDescent="0.3">
      <c r="O58" s="25"/>
      <c r="P58" s="25"/>
      <c r="Z58" s="26"/>
      <c r="AG58" s="21"/>
    </row>
    <row r="59" spans="1:43" ht="20.100000000000001" customHeight="1" x14ac:dyDescent="0.3">
      <c r="O59" s="25"/>
      <c r="P59" s="25"/>
      <c r="Z59" s="26"/>
      <c r="AG59" s="21"/>
    </row>
    <row r="60" spans="1:43" ht="20.100000000000001" customHeight="1" x14ac:dyDescent="0.3">
      <c r="O60" s="25"/>
      <c r="P60" s="25"/>
      <c r="Z60" s="26"/>
      <c r="AG60" s="21"/>
    </row>
    <row r="61" spans="1:43" s="17" customFormat="1" ht="20.100000000000001" customHeight="1" thickBot="1" x14ac:dyDescent="0.35">
      <c r="A61" s="1"/>
      <c r="B61" s="1"/>
      <c r="C61" s="1"/>
      <c r="D61" s="1"/>
      <c r="E61" s="14"/>
      <c r="F61" s="1"/>
      <c r="G61" s="19"/>
      <c r="H61" s="1"/>
      <c r="I61" s="1"/>
      <c r="J61" s="1"/>
      <c r="K61" s="1"/>
      <c r="L61" s="1"/>
      <c r="M61" s="1"/>
      <c r="N61" s="1"/>
      <c r="O61" s="25"/>
      <c r="P61" s="25"/>
      <c r="Q61" s="19"/>
      <c r="R61" s="1"/>
      <c r="S61" s="1"/>
      <c r="T61" s="1"/>
      <c r="U61" s="25"/>
      <c r="V61" s="30"/>
      <c r="W61" s="30"/>
      <c r="X61" s="1"/>
      <c r="Y61" s="1"/>
      <c r="Z61" s="26"/>
      <c r="AA61" s="47"/>
      <c r="AB61" s="26"/>
      <c r="AC61" s="26"/>
      <c r="AD61" s="26"/>
      <c r="AE61" s="30"/>
      <c r="AF61" s="26"/>
      <c r="AG61" s="21"/>
      <c r="AH61" s="26"/>
      <c r="AI61" s="26"/>
      <c r="AJ61" s="26"/>
      <c r="AK61" s="26"/>
      <c r="AL61" s="26"/>
      <c r="AM61" s="26"/>
      <c r="AN61" s="26"/>
      <c r="AO61" s="20"/>
      <c r="AP61" s="39"/>
      <c r="AQ61" s="14"/>
    </row>
    <row r="62" spans="1:43" x14ac:dyDescent="0.3">
      <c r="O62" s="25"/>
      <c r="P62" s="25"/>
      <c r="Z62" s="26"/>
      <c r="AG62" s="21"/>
    </row>
    <row r="63" spans="1:43" x14ac:dyDescent="0.3">
      <c r="O63" s="25"/>
      <c r="P63" s="25"/>
      <c r="Z63" s="26"/>
      <c r="AG63" s="21"/>
    </row>
    <row r="64" spans="1:43" x14ac:dyDescent="0.3">
      <c r="O64" s="25"/>
      <c r="P64" s="25"/>
      <c r="Z64" s="26"/>
      <c r="AG64" s="21"/>
    </row>
    <row r="65" spans="15:33" x14ac:dyDescent="0.3">
      <c r="O65" s="25"/>
      <c r="P65" s="25"/>
      <c r="Z65" s="26"/>
      <c r="AG65" s="21"/>
    </row>
    <row r="66" spans="15:33" x14ac:dyDescent="0.3">
      <c r="O66" s="25"/>
      <c r="P66" s="25"/>
      <c r="Z66" s="26"/>
      <c r="AG66" s="21"/>
    </row>
    <row r="67" spans="15:33" x14ac:dyDescent="0.3">
      <c r="O67" s="25"/>
      <c r="P67" s="25"/>
      <c r="Z67" s="26"/>
      <c r="AG67" s="21"/>
    </row>
    <row r="68" spans="15:33" ht="13.5" customHeight="1" x14ac:dyDescent="0.3">
      <c r="O68" s="25"/>
      <c r="P68" s="25"/>
      <c r="Z68" s="26"/>
      <c r="AG68" s="21"/>
    </row>
    <row r="69" spans="15:33" x14ac:dyDescent="0.3">
      <c r="O69" s="25"/>
      <c r="P69" s="25"/>
      <c r="Z69" s="26"/>
      <c r="AG69" s="21"/>
    </row>
    <row r="70" spans="15:33" x14ac:dyDescent="0.3">
      <c r="O70" s="25"/>
      <c r="P70" s="25"/>
      <c r="Z70" s="26"/>
      <c r="AG70" s="21"/>
    </row>
    <row r="71" spans="15:33" x14ac:dyDescent="0.3">
      <c r="O71" s="25"/>
      <c r="P71" s="25"/>
      <c r="Z71" s="26"/>
      <c r="AG71" s="21"/>
    </row>
    <row r="72" spans="15:33" x14ac:dyDescent="0.3">
      <c r="O72" s="25"/>
      <c r="P72" s="25"/>
      <c r="Z72" s="26"/>
      <c r="AG72" s="21"/>
    </row>
    <row r="73" spans="15:33" x14ac:dyDescent="0.3">
      <c r="O73" s="25"/>
      <c r="P73" s="25"/>
      <c r="Z73" s="26"/>
      <c r="AG73" s="21"/>
    </row>
    <row r="74" spans="15:33" x14ac:dyDescent="0.3">
      <c r="O74" s="25"/>
      <c r="P74" s="25"/>
      <c r="Z74" s="26"/>
      <c r="AG74" s="21"/>
    </row>
    <row r="75" spans="15:33" x14ac:dyDescent="0.3">
      <c r="O75" s="25"/>
      <c r="P75" s="25"/>
      <c r="Z75" s="26"/>
      <c r="AG75" s="21"/>
    </row>
    <row r="76" spans="15:33" x14ac:dyDescent="0.3">
      <c r="O76" s="25"/>
      <c r="P76" s="25"/>
      <c r="Z76" s="26"/>
      <c r="AG76" s="21"/>
    </row>
    <row r="77" spans="15:33" x14ac:dyDescent="0.3">
      <c r="O77" s="25"/>
      <c r="P77" s="25"/>
      <c r="Z77" s="26"/>
      <c r="AG77" s="21"/>
    </row>
    <row r="78" spans="15:33" x14ac:dyDescent="0.3">
      <c r="O78" s="25"/>
      <c r="P78" s="25"/>
      <c r="Z78" s="26"/>
      <c r="AG78" s="21"/>
    </row>
    <row r="79" spans="15:33" x14ac:dyDescent="0.3">
      <c r="O79" s="25"/>
      <c r="P79" s="25"/>
      <c r="Z79" s="26"/>
      <c r="AG79" s="21"/>
    </row>
    <row r="80" spans="15:33" x14ac:dyDescent="0.3">
      <c r="O80" s="25"/>
      <c r="P80" s="25"/>
      <c r="Z80" s="26"/>
      <c r="AG80" s="21"/>
    </row>
    <row r="81" spans="15:33" x14ac:dyDescent="0.3">
      <c r="O81" s="25"/>
      <c r="P81" s="25"/>
      <c r="Z81" s="26"/>
      <c r="AG81" s="21"/>
    </row>
    <row r="82" spans="15:33" x14ac:dyDescent="0.3">
      <c r="O82" s="25"/>
      <c r="P82" s="25"/>
      <c r="Z82" s="26"/>
      <c r="AG82" s="21"/>
    </row>
    <row r="83" spans="15:33" x14ac:dyDescent="0.3">
      <c r="O83" s="25"/>
      <c r="P83" s="25"/>
      <c r="Z83" s="26"/>
      <c r="AG83" s="21"/>
    </row>
    <row r="84" spans="15:33" x14ac:dyDescent="0.3">
      <c r="O84" s="25"/>
      <c r="P84" s="25"/>
      <c r="Z84" s="26"/>
      <c r="AG84" s="21"/>
    </row>
    <row r="85" spans="15:33" x14ac:dyDescent="0.3">
      <c r="O85" s="25"/>
      <c r="P85" s="25"/>
      <c r="Z85" s="26"/>
      <c r="AG85" s="21"/>
    </row>
    <row r="86" spans="15:33" x14ac:dyDescent="0.3">
      <c r="O86" s="25"/>
      <c r="P86" s="25"/>
      <c r="Z86" s="26"/>
      <c r="AG86" s="21"/>
    </row>
    <row r="87" spans="15:33" ht="17.399999999999999" customHeight="1" x14ac:dyDescent="0.3">
      <c r="O87" s="25"/>
      <c r="P87" s="25"/>
      <c r="Z87" s="26"/>
      <c r="AG87" s="21"/>
    </row>
    <row r="88" spans="15:33" x14ac:dyDescent="0.3">
      <c r="O88" s="25"/>
      <c r="P88" s="25"/>
      <c r="Z88" s="26"/>
      <c r="AB88" s="42"/>
      <c r="AC88" s="42"/>
      <c r="AG88" s="21"/>
    </row>
    <row r="89" spans="15:33" x14ac:dyDescent="0.3">
      <c r="O89" s="25"/>
      <c r="P89" s="25"/>
      <c r="Z89" s="26"/>
      <c r="AB89" s="42"/>
      <c r="AC89" s="42"/>
      <c r="AG89" s="21"/>
    </row>
    <row r="90" spans="15:33" x14ac:dyDescent="0.3">
      <c r="O90" s="25"/>
      <c r="P90" s="25"/>
      <c r="Z90" s="26"/>
      <c r="AB90" s="42"/>
      <c r="AC90" s="42"/>
      <c r="AG90" s="21"/>
    </row>
    <row r="91" spans="15:33" x14ac:dyDescent="0.3">
      <c r="O91" s="25"/>
      <c r="P91" s="25"/>
      <c r="Z91" s="26"/>
      <c r="AB91" s="42"/>
      <c r="AC91" s="42"/>
      <c r="AG91" s="21"/>
    </row>
    <row r="92" spans="15:33" x14ac:dyDescent="0.3">
      <c r="O92" s="25"/>
      <c r="P92" s="25"/>
      <c r="Z92" s="26"/>
      <c r="AG92" s="21"/>
    </row>
    <row r="93" spans="15:33" x14ac:dyDescent="0.3">
      <c r="O93" s="25"/>
      <c r="P93" s="25"/>
      <c r="Z93" s="26"/>
      <c r="AG93" s="21"/>
    </row>
    <row r="94" spans="15:33" x14ac:dyDescent="0.3">
      <c r="O94" s="25"/>
      <c r="P94" s="25"/>
      <c r="Z94" s="26"/>
      <c r="AG94" s="21"/>
    </row>
    <row r="95" spans="15:33" x14ac:dyDescent="0.3">
      <c r="O95" s="25"/>
      <c r="P95" s="25"/>
      <c r="Z95" s="26"/>
      <c r="AG95" s="21"/>
    </row>
    <row r="96" spans="15:33" ht="17.399999999999999" customHeight="1" x14ac:dyDescent="0.3">
      <c r="O96" s="25"/>
      <c r="P96" s="25"/>
      <c r="Z96" s="26"/>
      <c r="AG96" s="21"/>
    </row>
    <row r="97" spans="15:33" x14ac:dyDescent="0.3">
      <c r="O97" s="25"/>
      <c r="P97" s="25"/>
      <c r="Z97" s="26"/>
      <c r="AG97" s="21"/>
    </row>
    <row r="98" spans="15:33" x14ac:dyDescent="0.3">
      <c r="O98" s="25"/>
      <c r="P98" s="25"/>
      <c r="Z98" s="26"/>
      <c r="AG98" s="21"/>
    </row>
    <row r="99" spans="15:33" x14ac:dyDescent="0.3">
      <c r="O99" s="25"/>
      <c r="P99" s="25"/>
      <c r="Z99" s="26"/>
      <c r="AG99" s="21"/>
    </row>
    <row r="100" spans="15:33" x14ac:dyDescent="0.3">
      <c r="O100" s="25"/>
      <c r="P100" s="25"/>
      <c r="AG100" s="21"/>
    </row>
    <row r="101" spans="15:33" x14ac:dyDescent="0.3">
      <c r="O101" s="25"/>
      <c r="P101" s="25"/>
      <c r="AG101" s="21"/>
    </row>
    <row r="102" spans="15:33" x14ac:dyDescent="0.3">
      <c r="O102" s="25"/>
      <c r="P102" s="25"/>
      <c r="AG102" s="21"/>
    </row>
    <row r="103" spans="15:33" x14ac:dyDescent="0.3">
      <c r="O103" s="25"/>
      <c r="P103" s="25"/>
      <c r="AG103" s="21"/>
    </row>
    <row r="104" spans="15:33" x14ac:dyDescent="0.3">
      <c r="O104" s="25"/>
      <c r="P104" s="25"/>
      <c r="AG104" s="21"/>
    </row>
    <row r="105" spans="15:33" x14ac:dyDescent="0.3">
      <c r="O105" s="25"/>
      <c r="P105" s="25"/>
      <c r="AG105" s="21"/>
    </row>
    <row r="106" spans="15:33" x14ac:dyDescent="0.3">
      <c r="O106" s="25"/>
      <c r="P106" s="25"/>
      <c r="AG106" s="21"/>
    </row>
    <row r="107" spans="15:33" x14ac:dyDescent="0.3">
      <c r="O107" s="25"/>
      <c r="P107" s="25"/>
      <c r="AG107" s="21"/>
    </row>
    <row r="108" spans="15:33" x14ac:dyDescent="0.3">
      <c r="O108" s="25"/>
      <c r="P108" s="25"/>
      <c r="AG108" s="21"/>
    </row>
    <row r="109" spans="15:33" x14ac:dyDescent="0.3">
      <c r="O109" s="25"/>
      <c r="P109" s="25"/>
      <c r="AG109" s="21"/>
    </row>
    <row r="110" spans="15:33" x14ac:dyDescent="0.3">
      <c r="O110" s="25"/>
      <c r="P110" s="25"/>
      <c r="AG110" s="21"/>
    </row>
    <row r="111" spans="15:33" x14ac:dyDescent="0.3">
      <c r="O111" s="25"/>
      <c r="P111" s="25"/>
      <c r="AG111" s="21"/>
    </row>
    <row r="112" spans="15:33" x14ac:dyDescent="0.3">
      <c r="O112" s="25"/>
      <c r="P112" s="25"/>
      <c r="AG112" s="21"/>
    </row>
    <row r="113" spans="15:33" x14ac:dyDescent="0.3">
      <c r="O113" s="25"/>
      <c r="P113" s="25"/>
      <c r="AG113" s="21"/>
    </row>
    <row r="114" spans="15:33" x14ac:dyDescent="0.3">
      <c r="O114" s="25"/>
      <c r="P114" s="25"/>
      <c r="AG114" s="21"/>
    </row>
    <row r="115" spans="15:33" x14ac:dyDescent="0.3">
      <c r="O115" s="25"/>
      <c r="P115" s="25"/>
      <c r="AG115" s="21"/>
    </row>
    <row r="116" spans="15:33" x14ac:dyDescent="0.3">
      <c r="O116" s="25"/>
      <c r="P116" s="25"/>
      <c r="AG116" s="21"/>
    </row>
    <row r="117" spans="15:33" x14ac:dyDescent="0.3">
      <c r="O117" s="25"/>
      <c r="P117" s="25"/>
      <c r="AG117" s="21"/>
    </row>
    <row r="118" spans="15:33" x14ac:dyDescent="0.3">
      <c r="O118" s="25"/>
      <c r="P118" s="25"/>
      <c r="AG118" s="21"/>
    </row>
    <row r="119" spans="15:33" x14ac:dyDescent="0.3">
      <c r="O119" s="25"/>
      <c r="P119" s="25"/>
      <c r="AG119" s="21"/>
    </row>
    <row r="120" spans="15:33" x14ac:dyDescent="0.3">
      <c r="O120" s="25"/>
      <c r="P120" s="25"/>
      <c r="AG120" s="21"/>
    </row>
    <row r="121" spans="15:33" x14ac:dyDescent="0.3">
      <c r="O121" s="25"/>
      <c r="P121" s="25"/>
      <c r="AG121" s="21"/>
    </row>
    <row r="122" spans="15:33" x14ac:dyDescent="0.3">
      <c r="O122" s="25"/>
      <c r="P122" s="25"/>
      <c r="AG122" s="21"/>
    </row>
    <row r="123" spans="15:33" x14ac:dyDescent="0.3">
      <c r="O123" s="25"/>
      <c r="P123" s="25"/>
      <c r="AG123" s="21"/>
    </row>
    <row r="124" spans="15:33" x14ac:dyDescent="0.3">
      <c r="O124" s="25"/>
      <c r="P124" s="25"/>
      <c r="AG124" s="21"/>
    </row>
    <row r="125" spans="15:33" x14ac:dyDescent="0.3">
      <c r="O125" s="25"/>
      <c r="P125" s="25"/>
      <c r="AG125" s="21"/>
    </row>
    <row r="126" spans="15:33" x14ac:dyDescent="0.3">
      <c r="O126" s="25"/>
      <c r="P126" s="25"/>
      <c r="AG126" s="21"/>
    </row>
    <row r="127" spans="15:33" x14ac:dyDescent="0.3">
      <c r="O127" s="25"/>
      <c r="P127" s="25"/>
      <c r="AG127" s="21"/>
    </row>
    <row r="128" spans="15:33" x14ac:dyDescent="0.3">
      <c r="O128" s="25"/>
      <c r="P128" s="25"/>
      <c r="AG128" s="21"/>
    </row>
    <row r="129" spans="15:33" x14ac:dyDescent="0.3">
      <c r="O129" s="25"/>
      <c r="P129" s="25"/>
      <c r="AG129" s="21"/>
    </row>
    <row r="130" spans="15:33" x14ac:dyDescent="0.3">
      <c r="O130" s="25"/>
      <c r="P130" s="25"/>
      <c r="AG130" s="21"/>
    </row>
    <row r="131" spans="15:33" x14ac:dyDescent="0.3">
      <c r="O131" s="25"/>
      <c r="P131" s="25"/>
      <c r="AG131" s="21"/>
    </row>
    <row r="132" spans="15:33" x14ac:dyDescent="0.3">
      <c r="O132" s="25"/>
      <c r="P132" s="25"/>
      <c r="AG132" s="21"/>
    </row>
    <row r="133" spans="15:33" x14ac:dyDescent="0.3">
      <c r="O133" s="25"/>
      <c r="P133" s="25"/>
      <c r="AG133" s="21"/>
    </row>
    <row r="134" spans="15:33" x14ac:dyDescent="0.3">
      <c r="O134" s="25"/>
      <c r="P134" s="25"/>
      <c r="AG134" s="21"/>
    </row>
    <row r="135" spans="15:33" x14ac:dyDescent="0.3">
      <c r="O135" s="25"/>
      <c r="P135" s="25"/>
      <c r="AG135" s="21"/>
    </row>
    <row r="136" spans="15:33" x14ac:dyDescent="0.3">
      <c r="O136" s="25"/>
      <c r="P136" s="25"/>
      <c r="AG136" s="21"/>
    </row>
    <row r="137" spans="15:33" x14ac:dyDescent="0.3">
      <c r="O137" s="25"/>
      <c r="P137" s="25"/>
      <c r="AG137" s="21"/>
    </row>
    <row r="138" spans="15:33" x14ac:dyDescent="0.3">
      <c r="O138" s="25"/>
      <c r="P138" s="25"/>
      <c r="AG138" s="21"/>
    </row>
    <row r="139" spans="15:33" x14ac:dyDescent="0.3">
      <c r="O139" s="25"/>
      <c r="P139" s="25"/>
      <c r="AG139" s="21"/>
    </row>
    <row r="140" spans="15:33" x14ac:dyDescent="0.3">
      <c r="O140" s="25"/>
      <c r="P140" s="25"/>
      <c r="AG140" s="21"/>
    </row>
    <row r="141" spans="15:33" x14ac:dyDescent="0.3">
      <c r="O141" s="25"/>
      <c r="P141" s="25"/>
      <c r="AG141" s="21"/>
    </row>
    <row r="142" spans="15:33" x14ac:dyDescent="0.3">
      <c r="O142" s="25"/>
      <c r="P142" s="25"/>
      <c r="AG142" s="21"/>
    </row>
    <row r="143" spans="15:33" x14ac:dyDescent="0.3">
      <c r="O143" s="25"/>
      <c r="P143" s="25"/>
      <c r="AG143" s="21"/>
    </row>
    <row r="144" spans="15:33" x14ac:dyDescent="0.3">
      <c r="O144" s="25"/>
      <c r="P144" s="25"/>
      <c r="AG144" s="21"/>
    </row>
    <row r="145" spans="15:33" x14ac:dyDescent="0.3">
      <c r="O145" s="25"/>
      <c r="P145" s="25"/>
      <c r="AG145" s="21"/>
    </row>
    <row r="146" spans="15:33" x14ac:dyDescent="0.3">
      <c r="O146" s="25"/>
      <c r="P146" s="25"/>
      <c r="AG146" s="21"/>
    </row>
    <row r="147" spans="15:33" x14ac:dyDescent="0.3">
      <c r="O147" s="25"/>
      <c r="P147" s="25"/>
      <c r="AG147" s="21"/>
    </row>
    <row r="148" spans="15:33" x14ac:dyDescent="0.3">
      <c r="O148" s="25"/>
      <c r="P148" s="25"/>
      <c r="AG148" s="21"/>
    </row>
    <row r="149" spans="15:33" ht="13.2" customHeight="1" x14ac:dyDescent="0.3">
      <c r="O149" s="25"/>
      <c r="P149" s="25"/>
      <c r="AG149" s="21"/>
    </row>
    <row r="150" spans="15:33" x14ac:dyDescent="0.3">
      <c r="O150" s="25"/>
      <c r="P150" s="25"/>
      <c r="AG150" s="21"/>
    </row>
    <row r="151" spans="15:33" x14ac:dyDescent="0.3">
      <c r="O151" s="25"/>
      <c r="P151" s="25"/>
      <c r="AG151" s="21"/>
    </row>
    <row r="152" spans="15:33" x14ac:dyDescent="0.3">
      <c r="O152" s="25"/>
      <c r="P152" s="25"/>
      <c r="AG152" s="21"/>
    </row>
    <row r="153" spans="15:33" x14ac:dyDescent="0.3">
      <c r="O153" s="25"/>
      <c r="P153" s="25"/>
      <c r="AG153" s="21"/>
    </row>
    <row r="154" spans="15:33" x14ac:dyDescent="0.3">
      <c r="O154" s="25"/>
      <c r="P154" s="25"/>
      <c r="AG154" s="21"/>
    </row>
    <row r="155" spans="15:33" x14ac:dyDescent="0.3">
      <c r="O155" s="25"/>
      <c r="P155" s="25"/>
      <c r="AG155" s="21"/>
    </row>
    <row r="156" spans="15:33" x14ac:dyDescent="0.3">
      <c r="O156" s="25"/>
      <c r="P156" s="25"/>
      <c r="AG156" s="21"/>
    </row>
    <row r="157" spans="15:33" x14ac:dyDescent="0.3">
      <c r="O157" s="25"/>
      <c r="P157" s="25"/>
      <c r="AG157" s="21"/>
    </row>
    <row r="158" spans="15:33" ht="13.95" customHeight="1" x14ac:dyDescent="0.3">
      <c r="O158" s="25"/>
      <c r="P158" s="25"/>
      <c r="AG158" s="21"/>
    </row>
    <row r="159" spans="15:33" x14ac:dyDescent="0.3">
      <c r="O159" s="25"/>
      <c r="P159" s="25"/>
      <c r="AG159" s="21"/>
    </row>
    <row r="160" spans="15:33" x14ac:dyDescent="0.3">
      <c r="O160" s="25"/>
      <c r="P160" s="25"/>
      <c r="AG160" s="21"/>
    </row>
    <row r="161" spans="15:33" x14ac:dyDescent="0.3">
      <c r="O161" s="25"/>
      <c r="P161" s="25"/>
      <c r="AG161" s="21"/>
    </row>
    <row r="162" spans="15:33" x14ac:dyDescent="0.3">
      <c r="O162" s="25"/>
      <c r="P162" s="25"/>
      <c r="AG162" s="21"/>
    </row>
    <row r="163" spans="15:33" x14ac:dyDescent="0.3">
      <c r="O163" s="25"/>
      <c r="P163" s="25"/>
      <c r="AG163" s="21"/>
    </row>
    <row r="164" spans="15:33" x14ac:dyDescent="0.3">
      <c r="O164" s="25"/>
      <c r="P164" s="25"/>
      <c r="AG164" s="21"/>
    </row>
    <row r="165" spans="15:33" x14ac:dyDescent="0.3">
      <c r="O165" s="25"/>
      <c r="P165" s="25"/>
      <c r="AG165" s="21"/>
    </row>
    <row r="166" spans="15:33" x14ac:dyDescent="0.3">
      <c r="O166" s="25"/>
      <c r="P166" s="25"/>
      <c r="AG166" s="21"/>
    </row>
    <row r="167" spans="15:33" x14ac:dyDescent="0.3">
      <c r="O167" s="25"/>
      <c r="P167" s="25"/>
      <c r="AG167" s="21"/>
    </row>
    <row r="168" spans="15:33" x14ac:dyDescent="0.3">
      <c r="O168" s="25"/>
      <c r="P168" s="25"/>
      <c r="AG168" s="21"/>
    </row>
    <row r="169" spans="15:33" x14ac:dyDescent="0.3">
      <c r="O169" s="25"/>
      <c r="P169" s="25"/>
      <c r="AG169" s="21"/>
    </row>
    <row r="170" spans="15:33" x14ac:dyDescent="0.3">
      <c r="O170" s="25"/>
      <c r="P170" s="25"/>
      <c r="AG170" s="21"/>
    </row>
    <row r="171" spans="15:33" x14ac:dyDescent="0.3">
      <c r="O171" s="25"/>
      <c r="P171" s="25"/>
      <c r="AG171" s="21"/>
    </row>
    <row r="172" spans="15:33" x14ac:dyDescent="0.3">
      <c r="O172" s="25"/>
      <c r="P172" s="25"/>
      <c r="AG172" s="21"/>
    </row>
    <row r="173" spans="15:33" x14ac:dyDescent="0.3">
      <c r="O173" s="25"/>
      <c r="P173" s="25"/>
      <c r="AG173" s="21"/>
    </row>
    <row r="174" spans="15:33" x14ac:dyDescent="0.3">
      <c r="O174" s="25"/>
      <c r="P174" s="25"/>
      <c r="AG174" s="21"/>
    </row>
    <row r="175" spans="15:33" x14ac:dyDescent="0.3">
      <c r="O175" s="25"/>
      <c r="P175" s="25"/>
      <c r="AG175" s="21"/>
    </row>
    <row r="176" spans="15:33" x14ac:dyDescent="0.3">
      <c r="O176" s="25"/>
      <c r="P176" s="25"/>
      <c r="AG176" s="21"/>
    </row>
    <row r="177" spans="15:33" x14ac:dyDescent="0.3">
      <c r="O177" s="25"/>
      <c r="P177" s="25"/>
      <c r="AG177" s="21"/>
    </row>
    <row r="178" spans="15:33" x14ac:dyDescent="0.3">
      <c r="O178" s="25"/>
      <c r="P178" s="25"/>
      <c r="AG178" s="21"/>
    </row>
    <row r="179" spans="15:33" x14ac:dyDescent="0.3">
      <c r="O179" s="25"/>
      <c r="P179" s="25"/>
      <c r="AG179" s="21"/>
    </row>
    <row r="180" spans="15:33" x14ac:dyDescent="0.3">
      <c r="O180" s="25"/>
      <c r="P180" s="25"/>
      <c r="AG180" s="21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Tommaso Grossi</cp:lastModifiedBy>
  <dcterms:created xsi:type="dcterms:W3CDTF">2015-06-05T18:19:34Z</dcterms:created>
  <dcterms:modified xsi:type="dcterms:W3CDTF">2026-10-22T21:50:58Z</dcterms:modified>
</cp:coreProperties>
</file>