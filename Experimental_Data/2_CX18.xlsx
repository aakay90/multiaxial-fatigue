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558BE0EB-8F92-4030-9280-8BC7BA4BDD1B}" xr6:coauthVersionLast="47" xr6:coauthVersionMax="47" xr10:uidLastSave="{00000000-0000-0000-0000-000000000000}"/>
  <bookViews>
    <workbookView xWindow="28680" yWindow="-120" windowWidth="29040" windowHeight="15840" tabRatio="189" xr2:uid="{00000000-000D-0000-FFFF-FFFF00000000}"/>
  </bookViews>
  <sheets>
    <sheet name="Summary" sheetId="1" r:id="rId1"/>
    <sheet name="Datase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2" l="1"/>
  <c r="AQ4" i="2"/>
  <c r="AQ5" i="2"/>
  <c r="AQ6" i="2"/>
  <c r="AP3" i="2"/>
  <c r="AP4" i="2"/>
  <c r="AP5" i="2"/>
  <c r="AP6" i="2"/>
  <c r="AH3" i="2"/>
  <c r="AI3" i="2"/>
  <c r="AL3" i="2"/>
  <c r="AM3" i="2"/>
  <c r="AH4" i="2"/>
  <c r="AI4" i="2"/>
  <c r="AL4" i="2"/>
  <c r="AM4" i="2"/>
  <c r="AN4" i="2"/>
  <c r="AH5" i="2"/>
  <c r="AI5" i="2"/>
  <c r="AL5" i="2"/>
  <c r="AM5" i="2"/>
  <c r="AH6" i="2"/>
  <c r="AI6" i="2"/>
  <c r="AL6" i="2"/>
  <c r="AM6" i="2"/>
  <c r="X3" i="2"/>
  <c r="Y3" i="2"/>
  <c r="Z3" i="2"/>
  <c r="X4" i="2"/>
  <c r="Y4" i="2"/>
  <c r="Z4" i="2"/>
  <c r="X5" i="2"/>
  <c r="Y5" i="2"/>
  <c r="Z5" i="2"/>
  <c r="X6" i="2"/>
  <c r="Y6" i="2"/>
  <c r="Z6" i="2"/>
  <c r="Q3" i="2"/>
  <c r="AO3" i="2" s="1"/>
  <c r="Q4" i="2"/>
  <c r="AO4" i="2" s="1"/>
  <c r="Q5" i="2"/>
  <c r="AN5" i="2" s="1"/>
  <c r="Q6" i="2"/>
  <c r="AO6" i="2" s="1"/>
  <c r="P3" i="2"/>
  <c r="P4" i="2"/>
  <c r="P5" i="2"/>
  <c r="P6" i="2"/>
  <c r="O3" i="2"/>
  <c r="AJ3" i="2" s="1"/>
  <c r="O4" i="2"/>
  <c r="AK4" i="2" s="1"/>
  <c r="O5" i="2"/>
  <c r="AJ5" i="2" s="1"/>
  <c r="O6" i="2"/>
  <c r="AK6" i="2" s="1"/>
  <c r="M2" i="1"/>
  <c r="AQ2" i="2"/>
  <c r="AI2" i="2"/>
  <c r="AH2" i="2"/>
  <c r="Z2" i="2"/>
  <c r="Y2" i="2"/>
  <c r="X2" i="2"/>
  <c r="O2" i="2"/>
  <c r="AK2" i="2" s="1"/>
  <c r="Q2" i="2"/>
  <c r="AO2" i="2" s="1"/>
  <c r="AJ4" i="2" l="1"/>
  <c r="AN3" i="2"/>
  <c r="AJ6" i="2"/>
  <c r="AJ2" i="2"/>
  <c r="AO5" i="2"/>
  <c r="AK5" i="2"/>
  <c r="AK3" i="2"/>
  <c r="AN6" i="2"/>
  <c r="AN2" i="2"/>
  <c r="AP2" i="2"/>
  <c r="P2" i="2"/>
  <c r="AM2" i="2" l="1"/>
  <c r="AL2" i="2"/>
  <c r="F7" i="1"/>
  <c r="G7" i="1"/>
  <c r="H7" i="1"/>
  <c r="I7" i="1"/>
  <c r="E7" i="1"/>
  <c r="J7" i="1"/>
  <c r="D28" i="1"/>
  <c r="F6" i="1" l="1"/>
  <c r="E6" i="1" l="1"/>
  <c r="G6" i="1" l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<sst xmlns="http://schemas.openxmlformats.org/spreadsheetml/2006/main" count="116" uniqueCount="69">
  <si>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</si>
  <si>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</si>
  <si>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</si>
  <si>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</si>
  <si>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</si>
  <si>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</si>
  <si>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</si>
  <si>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</si>
  <si>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</si>
  <si>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</si>
  <si>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</si>
  <si>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</si>
  <si>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</si>
  <si>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</si>
  <si>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</si>
  <si>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</si>
  <si>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</si>
  <si>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</si>
  <si>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</si>
  <si>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</si>
  <si>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</si>
  <si>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</si>
  <si>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</si>
  <si>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</si>
  <si>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</si>
  <si>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</si>
  <si>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</si>
  <si>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</si>
  <si>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</si>
  <si>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</si>
  <si>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</si>
  <si>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</si>
  <si>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</si>
  <si>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</si>
  <si>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</si>
  <si>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</si>
  <si>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</si>
  <si>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</si>
  <si>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</si>
  <si>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</si>
  <si>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</si>
  <si>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</si>
  <si>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</si>
  <si>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</si>
  <si>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</si>
  <si>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</si>
  <si>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</si>
  <si>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</si>
  <si>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</si>
  <si>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</si>
  <si>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</si>
  <si>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</si>
  <si>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</si>
  <si>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</si>
  <si>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</si>
  <si>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</si>
  <si>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</si>
  <si>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</si>
  <si>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</si>
  <si>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</si>
  <si>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</si>
  <si>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</si>
  <si>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</si>
  <si>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</si>
  <si>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10.1016/0142-1123(92)90087-S</t>
  </si>
  <si>
    <t>Lasserre S, Froustey C.</t>
  </si>
  <si>
    <t>30NCD16</t>
  </si>
  <si>
    <t>SPECIMEN_1</t>
  </si>
  <si>
    <t>stiffness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</si>
</sst>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1" fontId="7" fillId="0" borderId="13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</cellXfs>
  <cellStyles count="1">
    <cellStyle name="Normale" xfId="0" builtinId="0"/>
  </cellStyles>
  <dxfs count="6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Dataset!$E$2:$E$6</c:f>
              <c:numCache>
                <c:formatCode>0.00E+00</c:formatCode>
                <c:ptCount val="5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</c:numCache>
            </c:numRef>
          </c:xVal>
          <c:yVal>
            <c:numRef>
              <c:f>Dataset!$AQ$2:$AQ$6</c:f>
              <c:numCache>
                <c:formatCode>0.00</c:formatCode>
                <c:ptCount val="5"/>
                <c:pt idx="0">
                  <c:v>310</c:v>
                </c:pt>
                <c:pt idx="1">
                  <c:v>310.03709455482903</c:v>
                </c:pt>
                <c:pt idx="2">
                  <c:v>325.52572862985807</c:v>
                </c:pt>
                <c:pt idx="3">
                  <c:v>325.52572862985807</c:v>
                </c:pt>
                <c:pt idx="4">
                  <c:v>342.58429619584143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mula\Desktop\DATA_SET\XC18.xlsx" TargetMode="External"/><Relationship Id="rId1" Type="http://schemas.openxmlformats.org/officeDocument/2006/relationships/externalLinkPath" Target="XC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ataset"/>
    </sheetNames>
    <sheetDataSet>
      <sheetData sheetId="0"/>
      <sheetData sheetId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15" dataDxfId="14">
  <autoFilter ref="A1:M5" xr:uid="{7EB9CA7B-F9F7-4B65-BAF9-0554C4DD3A3C}"/>
  <tableColumns count="13">
    <tableColumn id="1" xr3:uid="{8E3D1E9D-FBEE-441F-8710-5037CD4F23F4}" name="Article DOI / Reference" dataDxfId="13"/>
    <tableColumn id="11" xr3:uid="{DB748F3A-E0FD-40A7-AD76-C03A14000D6D}" name="Authors" dataDxfId="12"/>
    <tableColumn id="8" xr3:uid="{5AA73CAD-51B7-41DD-94EB-F60F774B9687}" name="Article year" dataDxfId="11"/>
    <tableColumn id="2" xr3:uid="{06FA6682-59D0-409F-9A0C-E6CD1808F355}" name="Material name" dataDxfId="10"/>
    <tableColumn id="3" xr3:uid="{576FC30A-97BD-425F-92F2-9A2823474F7C}" name="Young's modulus (MPa)" dataDxfId="9"/>
    <tableColumn id="4" xr3:uid="{63CF6BC0-ABE3-408E-84A9-EDA0B421D7E2}" name="Poisson's ratio (-)" dataDxfId="8"/>
    <tableColumn id="5" xr3:uid="{BF08D467-4D62-4CAB-A94F-0030F94E8A2E}" name="Tensile strength (MPa)" dataDxfId="7"/>
    <tableColumn id="6" xr3:uid="{CDCD2563-ECD7-4843-B859-5F7762FE830B}" name="Yield strength (MPa)" dataDxfId="6"/>
    <tableColumn id="7" xr3:uid="{7991DD6F-6040-4C6F-AEB4-2211698F999C}" name="Tensile fatigue limit (MPa)" dataDxfId="5"/>
    <tableColumn id="9" xr3:uid="{C339353B-B530-41A6-97D0-BD9E3EFB3E1B}" name="Torsional fatigue limit (MPa)" dataDxfId="4">
      <calculatedColumnFormula>845/2</calculatedColumnFormula>
    </tableColumn>
    <tableColumn id="13" xr3:uid="{61EEDB63-8EB1-4E68-8C73-6F3D35C9EEF7}" name="Number of Cycles (cycles)" dataDxfId="3"/>
    <tableColumn id="12" xr3:uid="{5EB3D6EA-60A8-471D-AB0E-73C0B9E22DD2}" name="Stress ratio R" dataDxfId="2"/>
    <tableColumn id="10" xr3:uid="{EC242BA9-DE01-42A2-8C6C-75459CDE529E}" name="K" dataDxfId="1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6" totalsRowShown="0" headerRowDxfId="59" dataDxfId="58">
  <autoFilter ref="A1:AQ6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56"/>
    <tableColumn id="1" xr3:uid="{D75788C8-C867-4D50-A818-DADFA5044830}" name="Article DOI / Reference" dataDxfId="55"/>
    <tableColumn id="30" xr3:uid="{FA5CACDD-A594-4207-9BA7-C7F165153D5B}" name="Specimen name" dataDxfId="54"/>
    <tableColumn id="2" xr3:uid="{19DD8629-B305-4804-A689-1057FBADF71C}" name="Number of cycles to failure" dataDxfId="53"/>
    <tableColumn id="4" xr3:uid="{27575528-FAA3-4B4C-8860-7A7CFCB79DBE}" name="Run out (Yes/No)" dataDxfId="52"/>
    <tableColumn id="3" xr3:uid="{0CF78E1F-0EC3-474A-B3FD-519C01702157}" name="Failure type (complete rupture/stiffness decrease)" dataDxfId="51"/>
    <tableColumn id="26" xr3:uid="{05D9D755-9B11-40C9-8DCB-B9E39E20FA04}" name="Geometry picture" dataDxfId="0"/>
    <tableColumn id="33" xr3:uid="{936299CD-E030-4427-B1AB-D5CB204A04BE}" name="Geometry type (flat/cylindrical/hollow cylinder)" dataDxfId="50"/>
    <tableColumn id="34" xr3:uid="{09266E8F-9B14-40D4-88AB-80CC92F93BA2}" name="Notched" dataDxfId="49"/>
    <tableColumn id="39" xr3:uid="{108E1228-D670-44CE-87DA-2A1B0D22E417}" name="A (mm)" dataDxfId="48"/>
    <tableColumn id="38" xr3:uid="{D6414C63-3F42-4BCA-BB3F-506FCA7B7866}" name="B (mm)" dataDxfId="47"/>
    <tableColumn id="37" xr3:uid="{8138AA3A-CE2D-441D-907D-E35AD875EC90}" name="Hole diameter (mm)" dataDxfId="46"/>
    <tableColumn id="27" xr3:uid="{D5A8CCC0-542A-450B-8F88-B47472F29E40}" name="Diameter (mm)" dataDxfId="45"/>
    <tableColumn id="28" xr3:uid="{36725B61-E4CB-4B7E-AF40-7F3BC6BE6CB3}" name="Area (mm^2)" dataDxfId="44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3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2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1"/>
    <tableColumn id="40" xr3:uid="{FF54B50E-D6C4-4EF8-BED6-8558889E32B3}" name="Phase AXIAL load (°)" dataDxfId="40"/>
    <tableColumn id="22" xr3:uid="{9A8358C3-645B-4F7B-A800-BF2013564F31}" name="Phase TORSIONAL load (°)" dataDxfId="39"/>
    <tableColumn id="43" xr3:uid="{32E76D00-2B52-4D17-881F-6CB825346CD9}" name="Freq RADIAL load [Hz]" dataDxfId="38"/>
    <tableColumn id="42" xr3:uid="{A0DFAB77-F821-4A7F-A0A1-75075998D45D}" name="Freq AXIAL load[Hz]" dataDxfId="37"/>
    <tableColumn id="41" xr3:uid="{DEC77E42-D985-463A-B500-A8E16CF67856}" name="Freq TORSIONAL load [Hz]" dataDxfId="36"/>
    <tableColumn id="23" xr3:uid="{9724DA05-688A-43E5-9AAC-5035994CD3C7}" name="Load ratio (RADIAL)" dataDxfId="35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34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33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2"/>
    <tableColumn id="6" xr3:uid="{CFA41242-20EF-4D5D-9025-FC3F232CBE04}" name="Amplitute RADIAL stress  (MPa)" dataDxfId="31"/>
    <tableColumn id="16" xr3:uid="{F37D511D-F078-4171-84FD-3AE13D4078DC}" name="Mean AXIAL stress  (MPa)" dataDxfId="30"/>
    <tableColumn id="8" xr3:uid="{933ACC34-FA80-47BE-87CF-5D7D742564A2}" name="Amplitute AXIAL stress  (MPa)" dataDxfId="29"/>
    <tableColumn id="44" xr3:uid="{460C3648-EA91-4BC9-8C0D-58B3E19E1ED3}" name="derived from (AXIAL/BENDING) load" dataDxfId="28"/>
    <tableColumn id="19" xr3:uid="{06584471-CEAD-405D-A12E-5A2E79E8CA33}" name="Mean SHEAR stress  (MPa)" dataDxfId="27"/>
    <tableColumn id="10" xr3:uid="{2FCDB52E-3BD8-4D04-8689-303C003D64AE}" name="Amplitute SHEAR stress  (MPa)" dataDxfId="26"/>
    <tableColumn id="36" xr3:uid="{EF2440ED-01F8-493F-BD7F-BDBCFC67F43F}" name="Mean internal PRESSURE  (MPa)" dataDxfId="25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4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3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2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1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20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19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18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7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16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L12" sqref="L12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" t="s">
        <v>64</v>
      </c>
      <c r="B2" s="1" t="s">
        <v>65</v>
      </c>
      <c r="C2" s="1">
        <v>1992</v>
      </c>
      <c r="D2" s="1" t="s">
        <v>66</v>
      </c>
      <c r="E2" s="1">
        <v>195000</v>
      </c>
      <c r="F2" s="1" t="s">
        <v>21</v>
      </c>
      <c r="G2" s="1">
        <v>1160</v>
      </c>
      <c r="H2" s="1">
        <v>1020</v>
      </c>
      <c r="I2" s="1">
        <v>710</v>
      </c>
      <c r="J2" s="1">
        <v>450</v>
      </c>
      <c r="K2" s="10">
        <v>1000000</v>
      </c>
      <c r="L2" s="1">
        <v>-1</v>
      </c>
      <c r="M2" s="14">
        <f>IF(COUNTIF([1]!Tabella1[[#This Row],[Tensile fatigue limit (MPa)]:[Torsional fatigue limit (MPa)]],"Null")&gt;0, "Null", IF(COUNT([1]!Tabella1[[#This Row],[Tensile fatigue limit (MPa)]:[Torsional fatigue limit (MPa)]])=0, "Null", [1]!Tabella1[[#This Row],[Tensile fatigue limit (MPa)]]/[1]!Tabella1[[#This Row],[Torsional fatigue limit (MPa)]]))</f>
        <v>1.5777777777777777</v>
      </c>
    </row>
    <row r="3" spans="1:13" ht="20.100000000000001" customHeight="1" x14ac:dyDescent="0.25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/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/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57" t="s">
        <v>24</v>
      </c>
      <c r="B6" s="58"/>
      <c r="C6" s="58"/>
      <c r="D6" s="59"/>
      <c r="E6" s="3">
        <f>IF(COUNT(Tabella1[Young''s modulus (MPa)])=0, "Null", AVERAGE(Tabella1[Young''s modulus (MPa)]))</f>
        <v>195000</v>
      </c>
      <c r="F6" s="3" t="str">
        <f>IF(COUNT(Tabella1[Poisson''s ratio (-)])=0, "Null", AVERAGE(Tabella1[Poisson''s ratio (-)]))</f>
        <v>Null</v>
      </c>
      <c r="G6" s="3">
        <f>IF(COUNT(Tabella1[Tensile strength (MPa)])=0, "Null", AVERAGE(Tabella1[Tensile strength (MPa)]))</f>
        <v>1160</v>
      </c>
      <c r="H6" s="3">
        <f>IF(COUNT(Tabella1[Yield strength (MPa)])=0, "Null", AVERAGE(Tabella1[Yield strength (MPa)]))</f>
        <v>1020</v>
      </c>
      <c r="I6" s="3">
        <f>IF(COUNT(Tabella1[Tensile fatigue limit (MPa)])=0, "Null", AVERAGE(Tabella1[Tensile fatigue limit (MPa)]))</f>
        <v>710</v>
      </c>
      <c r="J6" s="3">
        <f>IF(COUNT(Tabella1[Torsional fatigue limit (MPa)])=0, "Null", AVERAGE(Tabella1[Torsional fatigue limit (MPa)]))</f>
        <v>450</v>
      </c>
      <c r="K6" s="11"/>
      <c r="L6" s="9"/>
      <c r="M6" s="15">
        <f>IF(COUNT(Tabella1[K])=0, "Null", AVERAGE(Tabella1[K]))</f>
        <v>1.5777777777777777</v>
      </c>
    </row>
    <row r="7" spans="1:13" ht="20.100000000000001" customHeight="1" thickBot="1" x14ac:dyDescent="0.3">
      <c r="A7" s="60" t="s">
        <v>23</v>
      </c>
      <c r="B7" s="61"/>
      <c r="C7" s="61"/>
      <c r="D7" s="62"/>
      <c r="E7" s="4">
        <f>IF(COUNT(Tabella1[Young''s modulus (MPa)])=0, "Null", _xlfn.STDEV.P(Tabella1[Young''s modulus (MPa)]))</f>
        <v>0</v>
      </c>
      <c r="F7" s="4" t="str">
        <f>IF(COUNT(Tabella1[Poisson''s ratio (-)])=0, "Null", _xlfn.STDEV.P(Tabella1[Poisson''s ratio (-)]))</f>
        <v>Null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63" t="s">
        <v>29</v>
      </c>
      <c r="B13" s="5" t="s">
        <v>30</v>
      </c>
    </row>
    <row r="14" spans="1:13" ht="20.100000000000001" customHeight="1" thickBot="1" x14ac:dyDescent="0.3">
      <c r="A14" s="64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5</v>
      </c>
    </row>
  </sheetData>
  <mergeCells count="3">
    <mergeCell ref="A6:D6"/>
    <mergeCell ref="A7:D7"/>
    <mergeCell ref="A13:A14"/>
  </mergeCells>
  <pageMargins left="0.7" right="0.7" top="0.75" bottom="0.75" header="0.3" footer="0.3"/>
  <ignoredErrors>
    <ignoredError sqref="M2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opLeftCell="AF1" zoomScale="70" zoomScaleNormal="70" workbookViewId="0">
      <pane ySplit="1" topLeftCell="A2" activePane="bottomLeft" state="frozen"/>
      <selection activeCell="B1" sqref="B1"/>
      <selection pane="bottomLeft" activeCell="C16" sqref="C16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30.28515625" style="1" customWidth="1"/>
    <col min="5" max="5" width="32.85546875" style="14" customWidth="1"/>
    <col min="6" max="6" width="24.5703125" style="1" customWidth="1"/>
    <col min="7" max="7" width="49.140625" style="21" customWidth="1"/>
    <col min="8" max="8" width="28.7109375" style="1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21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6" customWidth="1"/>
    <col min="22" max="22" width="40.7109375" style="31" customWidth="1"/>
    <col min="23" max="23" width="40" style="31" customWidth="1"/>
    <col min="24" max="24" width="35.140625" style="1" customWidth="1"/>
    <col min="25" max="25" width="34.28515625" style="1" customWidth="1"/>
    <col min="26" max="26" width="41.42578125" style="1" customWidth="1"/>
    <col min="27" max="27" width="28.7109375" style="51" customWidth="1"/>
    <col min="28" max="28" width="29.5703125" style="27" customWidth="1"/>
    <col min="29" max="29" width="27.42578125" style="27" customWidth="1"/>
    <col min="30" max="30" width="30.140625" style="27" customWidth="1"/>
    <col min="31" max="31" width="30.85546875" style="31" customWidth="1"/>
    <col min="32" max="32" width="25" style="27" customWidth="1"/>
    <col min="33" max="33" width="30.28515625" style="21" customWidth="1"/>
    <col min="34" max="34" width="28.5703125" style="27" customWidth="1"/>
    <col min="35" max="35" width="29.28515625" style="27" customWidth="1"/>
    <col min="36" max="36" width="20.140625" style="27" customWidth="1"/>
    <col min="37" max="37" width="23.140625" style="27" customWidth="1"/>
    <col min="38" max="38" width="23.28515625" style="27" customWidth="1"/>
    <col min="39" max="39" width="25.85546875" style="27" customWidth="1"/>
    <col min="40" max="40" width="23.85546875" style="27" customWidth="1"/>
    <col min="41" max="41" width="24" style="22" customWidth="1"/>
    <col min="42" max="42" width="34" style="43" customWidth="1"/>
    <col min="43" max="43" width="52.7109375" style="14"/>
    <col min="44" max="16384" width="52.7109375" style="1"/>
  </cols>
  <sheetData>
    <row r="1" spans="1:43" s="25" customFormat="1" ht="44.25" customHeight="1" x14ac:dyDescent="0.25">
      <c r="A1" s="24" t="s">
        <v>26</v>
      </c>
      <c r="B1" s="24" t="s">
        <v>25</v>
      </c>
      <c r="C1" s="24" t="s">
        <v>61</v>
      </c>
      <c r="D1" s="24" t="s">
        <v>19</v>
      </c>
      <c r="E1" s="45" t="s">
        <v>5</v>
      </c>
      <c r="F1" s="24" t="s">
        <v>6</v>
      </c>
      <c r="G1" s="66" t="s">
        <v>18</v>
      </c>
      <c r="H1" s="67" t="s">
        <v>16</v>
      </c>
      <c r="I1" s="30" t="s">
        <v>44</v>
      </c>
      <c r="J1" s="30" t="s">
        <v>28</v>
      </c>
      <c r="K1" s="35" t="s">
        <v>41</v>
      </c>
      <c r="L1" s="35" t="s">
        <v>42</v>
      </c>
      <c r="M1" s="35" t="s">
        <v>43</v>
      </c>
      <c r="N1" s="30" t="s">
        <v>17</v>
      </c>
      <c r="O1" s="36" t="s">
        <v>33</v>
      </c>
      <c r="P1" s="36" t="s">
        <v>58</v>
      </c>
      <c r="Q1" s="29" t="s">
        <v>57</v>
      </c>
      <c r="R1" s="28" t="s">
        <v>45</v>
      </c>
      <c r="S1" s="28" t="s">
        <v>46</v>
      </c>
      <c r="T1" s="28" t="s">
        <v>47</v>
      </c>
      <c r="U1" s="52" t="s">
        <v>48</v>
      </c>
      <c r="V1" s="37" t="s">
        <v>49</v>
      </c>
      <c r="W1" s="37" t="s">
        <v>50</v>
      </c>
      <c r="X1" s="33" t="s">
        <v>14</v>
      </c>
      <c r="Y1" s="33" t="s">
        <v>51</v>
      </c>
      <c r="Z1" s="33" t="s">
        <v>15</v>
      </c>
      <c r="AA1" s="55" t="s">
        <v>7</v>
      </c>
      <c r="AB1" s="44" t="s">
        <v>8</v>
      </c>
      <c r="AC1" s="44" t="s">
        <v>52</v>
      </c>
      <c r="AD1" s="44" t="s">
        <v>53</v>
      </c>
      <c r="AE1" s="48" t="s">
        <v>56</v>
      </c>
      <c r="AF1" s="47" t="s">
        <v>9</v>
      </c>
      <c r="AG1" s="38" t="s">
        <v>10</v>
      </c>
      <c r="AH1" s="49" t="s">
        <v>54</v>
      </c>
      <c r="AI1" s="50" t="s">
        <v>55</v>
      </c>
      <c r="AJ1" s="49" t="s">
        <v>59</v>
      </c>
      <c r="AK1" s="50" t="s">
        <v>63</v>
      </c>
      <c r="AL1" s="49" t="s">
        <v>35</v>
      </c>
      <c r="AM1" s="50" t="s">
        <v>36</v>
      </c>
      <c r="AN1" s="49" t="s">
        <v>12</v>
      </c>
      <c r="AO1" s="54" t="s">
        <v>11</v>
      </c>
      <c r="AP1" s="40" t="s">
        <v>13</v>
      </c>
      <c r="AQ1" s="56" t="s">
        <v>62</v>
      </c>
    </row>
    <row r="2" spans="1:43" ht="20.100000000000001" customHeight="1" x14ac:dyDescent="0.25">
      <c r="A2" s="1" t="s">
        <v>65</v>
      </c>
      <c r="B2" s="1">
        <v>1992</v>
      </c>
      <c r="C2" s="1" t="s">
        <v>64</v>
      </c>
      <c r="D2" s="1" t="s">
        <v>67</v>
      </c>
      <c r="E2" s="10">
        <v>1000000</v>
      </c>
      <c r="F2" s="1" t="s">
        <v>32</v>
      </c>
      <c r="G2" s="65" t="s">
        <v>68</v>
      </c>
      <c r="H2" s="68" t="e" vm="1">
        <v>#VALUE!</v>
      </c>
      <c r="I2" s="1" t="s">
        <v>27</v>
      </c>
      <c r="J2" s="1" t="s">
        <v>20</v>
      </c>
      <c r="K2" s="1" t="s">
        <v>21</v>
      </c>
      <c r="L2" s="1" t="s">
        <v>21</v>
      </c>
      <c r="M2" s="1">
        <v>0</v>
      </c>
      <c r="N2" s="1">
        <v>10</v>
      </c>
      <c r="O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2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2" s="1">
        <v>0</v>
      </c>
      <c r="S2" s="1">
        <v>0</v>
      </c>
      <c r="T2" s="1">
        <v>0</v>
      </c>
      <c r="U2" s="1">
        <v>20</v>
      </c>
      <c r="V2" s="1">
        <v>20</v>
      </c>
      <c r="W2" s="1">
        <v>20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51">
        <v>0</v>
      </c>
      <c r="AB2" s="27">
        <v>0</v>
      </c>
      <c r="AC2" s="27">
        <v>0</v>
      </c>
      <c r="AD2" s="27">
        <v>310</v>
      </c>
      <c r="AE2" s="31" t="s">
        <v>60</v>
      </c>
      <c r="AF2" s="27">
        <v>0</v>
      </c>
      <c r="AG2" s="27">
        <v>0</v>
      </c>
      <c r="AH2" s="27">
        <f>IF(ISNUMBER(Tabella2[[#This Row],[Mean RADIAL stress  (MPa)]]), Tabella2[[#This Row],[Mean RADIAL stress  (MPa)]],"")</f>
        <v>0</v>
      </c>
      <c r="AI2" s="27">
        <f>IF(ISNUMBER(Tabella2[[#This Row],[Amplitute RADIAL stress  (MPa)]]), Tabella2[[#This Row],[Amplitute RADIAL stress  (MPa)]],"")</f>
        <v>0</v>
      </c>
      <c r="AJ2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24347.343065320896</v>
      </c>
      <c r="AL2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</v>
      </c>
    </row>
    <row r="3" spans="1:43" ht="20.100000000000001" customHeight="1" x14ac:dyDescent="0.25">
      <c r="A3" s="1" t="s">
        <v>65</v>
      </c>
      <c r="B3" s="1">
        <v>1992</v>
      </c>
      <c r="C3" s="1" t="s">
        <v>64</v>
      </c>
      <c r="D3" s="1" t="s">
        <v>67</v>
      </c>
      <c r="E3" s="10">
        <v>1000000</v>
      </c>
      <c r="F3" s="1" t="s">
        <v>32</v>
      </c>
      <c r="G3" s="65" t="s">
        <v>68</v>
      </c>
      <c r="H3" s="68" t="e" vm="1">
        <v>#VALUE!</v>
      </c>
      <c r="I3" s="1" t="s">
        <v>27</v>
      </c>
      <c r="J3" s="1" t="s">
        <v>20</v>
      </c>
      <c r="K3" s="1" t="s">
        <v>21</v>
      </c>
      <c r="L3" s="1" t="s">
        <v>21</v>
      </c>
      <c r="M3" s="1">
        <v>0</v>
      </c>
      <c r="N3" s="1">
        <v>10</v>
      </c>
      <c r="O3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3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3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3" s="1">
        <v>0</v>
      </c>
      <c r="S3" s="1">
        <v>0</v>
      </c>
      <c r="T3" s="1">
        <v>0</v>
      </c>
      <c r="U3" s="1">
        <v>20</v>
      </c>
      <c r="V3" s="1">
        <v>20</v>
      </c>
      <c r="W3" s="1">
        <v>20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" s="51">
        <v>0</v>
      </c>
      <c r="AB3" s="27">
        <v>0</v>
      </c>
      <c r="AC3" s="27">
        <v>0</v>
      </c>
      <c r="AD3" s="27">
        <v>0</v>
      </c>
      <c r="AE3" s="31" t="s">
        <v>60</v>
      </c>
      <c r="AF3" s="27">
        <v>0</v>
      </c>
      <c r="AG3" s="27">
        <v>179</v>
      </c>
      <c r="AH3" s="27">
        <f>IF(ISNUMBER(Tabella2[[#This Row],[Mean RADIAL stress  (MPa)]]), Tabella2[[#This Row],[Mean RADIAL stress  (MPa)]],"")</f>
        <v>0</v>
      </c>
      <c r="AI3" s="27">
        <f>IF(ISNUMBER(Tabella2[[#This Row],[Amplitute RADIAL stress  (MPa)]]), Tabella2[[#This Row],[Amplitute RADIAL stress  (MPa)]],"")</f>
        <v>0</v>
      </c>
      <c r="AJ3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3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35146.567812035806</v>
      </c>
      <c r="AP3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310.03709455482903</v>
      </c>
    </row>
    <row r="4" spans="1:43" ht="20.100000000000001" customHeight="1" x14ac:dyDescent="0.25">
      <c r="A4" s="1" t="s">
        <v>65</v>
      </c>
      <c r="B4" s="1">
        <v>1992</v>
      </c>
      <c r="C4" s="1" t="s">
        <v>64</v>
      </c>
      <c r="D4" s="1" t="s">
        <v>67</v>
      </c>
      <c r="E4" s="10">
        <v>1000000</v>
      </c>
      <c r="F4" s="1" t="s">
        <v>32</v>
      </c>
      <c r="G4" s="65" t="s">
        <v>68</v>
      </c>
      <c r="H4" s="68" t="e" vm="1">
        <v>#VALUE!</v>
      </c>
      <c r="I4" s="1" t="s">
        <v>27</v>
      </c>
      <c r="J4" s="1" t="s">
        <v>20</v>
      </c>
      <c r="K4" s="1" t="s">
        <v>21</v>
      </c>
      <c r="L4" s="1" t="s">
        <v>21</v>
      </c>
      <c r="M4" s="1">
        <v>0</v>
      </c>
      <c r="N4" s="1">
        <v>10</v>
      </c>
      <c r="O4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4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4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4" s="1">
        <v>0</v>
      </c>
      <c r="S4" s="1">
        <v>0</v>
      </c>
      <c r="T4" s="1">
        <v>60</v>
      </c>
      <c r="U4" s="1">
        <v>20</v>
      </c>
      <c r="V4" s="1">
        <v>20</v>
      </c>
      <c r="W4" s="1">
        <v>20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" s="51">
        <v>0</v>
      </c>
      <c r="AB4" s="27">
        <v>0</v>
      </c>
      <c r="AC4" s="27">
        <v>0</v>
      </c>
      <c r="AD4" s="27">
        <v>230</v>
      </c>
      <c r="AE4" s="31" t="s">
        <v>60</v>
      </c>
      <c r="AF4" s="27">
        <v>0</v>
      </c>
      <c r="AG4" s="27">
        <v>133</v>
      </c>
      <c r="AH4" s="27">
        <f>IF(ISNUMBER(Tabella2[[#This Row],[Mean RADIAL stress  (MPa)]]), Tabella2[[#This Row],[Mean RADIAL stress  (MPa)]],"")</f>
        <v>0</v>
      </c>
      <c r="AI4" s="27">
        <f>IF(ISNUMBER(Tabella2[[#This Row],[Amplitute RADIAL stress  (MPa)]]), Tabella2[[#This Row],[Amplitute RADIAL stress  (MPa)]],"")</f>
        <v>0</v>
      </c>
      <c r="AJ4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18064.157758141311</v>
      </c>
      <c r="AL4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26114.488932965156</v>
      </c>
      <c r="AP4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0.57826086956521738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325.52572862985807</v>
      </c>
    </row>
    <row r="5" spans="1:43" ht="20.100000000000001" customHeight="1" x14ac:dyDescent="0.25">
      <c r="A5" s="1" t="s">
        <v>65</v>
      </c>
      <c r="B5" s="1">
        <v>1992</v>
      </c>
      <c r="C5" s="1" t="s">
        <v>64</v>
      </c>
      <c r="D5" s="1" t="s">
        <v>67</v>
      </c>
      <c r="E5" s="10">
        <v>1000000</v>
      </c>
      <c r="F5" s="1" t="s">
        <v>32</v>
      </c>
      <c r="G5" s="65" t="s">
        <v>68</v>
      </c>
      <c r="H5" s="68" t="e" vm="1">
        <v>#VALUE!</v>
      </c>
      <c r="I5" s="1" t="s">
        <v>27</v>
      </c>
      <c r="J5" s="1" t="s">
        <v>20</v>
      </c>
      <c r="K5" s="1" t="s">
        <v>21</v>
      </c>
      <c r="L5" s="1" t="s">
        <v>21</v>
      </c>
      <c r="M5" s="1">
        <v>0</v>
      </c>
      <c r="N5" s="1">
        <v>10</v>
      </c>
      <c r="O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5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5" s="1">
        <v>0</v>
      </c>
      <c r="S5" s="1">
        <v>0</v>
      </c>
      <c r="T5" s="1">
        <v>90</v>
      </c>
      <c r="U5" s="1">
        <v>20</v>
      </c>
      <c r="V5" s="1">
        <v>20</v>
      </c>
      <c r="W5" s="1">
        <v>20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" s="51">
        <v>0</v>
      </c>
      <c r="AB5" s="27">
        <v>0</v>
      </c>
      <c r="AC5" s="27">
        <v>0</v>
      </c>
      <c r="AD5" s="27">
        <v>230</v>
      </c>
      <c r="AE5" s="31" t="s">
        <v>60</v>
      </c>
      <c r="AF5" s="27">
        <v>0</v>
      </c>
      <c r="AG5" s="27">
        <v>133</v>
      </c>
      <c r="AH5" s="27">
        <f>IF(ISNUMBER(Tabella2[[#This Row],[Mean RADIAL stress  (MPa)]]), Tabella2[[#This Row],[Mean RADIAL stress  (MPa)]],"")</f>
        <v>0</v>
      </c>
      <c r="AI5" s="27">
        <f>IF(ISNUMBER(Tabella2[[#This Row],[Amplitute RADIAL stress  (MPa)]]), Tabella2[[#This Row],[Amplitute RADIAL stress  (MPa)]],"")</f>
        <v>0</v>
      </c>
      <c r="AJ5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18064.157758141311</v>
      </c>
      <c r="AL5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26114.488932965156</v>
      </c>
      <c r="AP5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0.57826086956521738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325.52572862985807</v>
      </c>
    </row>
    <row r="6" spans="1:43" s="17" customFormat="1" ht="20.100000000000001" customHeight="1" thickBot="1" x14ac:dyDescent="0.3">
      <c r="A6" s="69" t="s">
        <v>65</v>
      </c>
      <c r="B6" s="69">
        <v>1992</v>
      </c>
      <c r="C6" s="69" t="s">
        <v>64</v>
      </c>
      <c r="D6" s="69" t="s">
        <v>67</v>
      </c>
      <c r="E6" s="70">
        <v>1000000</v>
      </c>
      <c r="F6" s="69" t="s">
        <v>32</v>
      </c>
      <c r="G6" s="69" t="s">
        <v>68</v>
      </c>
      <c r="H6" s="71" t="e" vm="1">
        <v>#VALUE!</v>
      </c>
      <c r="I6" s="17" t="s">
        <v>27</v>
      </c>
      <c r="J6" s="17" t="s">
        <v>20</v>
      </c>
      <c r="K6" s="17" t="s">
        <v>21</v>
      </c>
      <c r="L6" s="17" t="s">
        <v>21</v>
      </c>
      <c r="M6" s="17">
        <v>0</v>
      </c>
      <c r="N6" s="17">
        <v>10</v>
      </c>
      <c r="O6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78.539816339744831</v>
      </c>
      <c r="P6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490.87385212340519</v>
      </c>
      <c r="Q6" s="3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981.74770424681037</v>
      </c>
      <c r="R6" s="17">
        <v>0</v>
      </c>
      <c r="S6" s="17">
        <v>0</v>
      </c>
      <c r="T6" s="69">
        <v>90</v>
      </c>
      <c r="U6" s="17">
        <v>20</v>
      </c>
      <c r="V6" s="17">
        <v>20</v>
      </c>
      <c r="W6" s="17">
        <v>20</v>
      </c>
      <c r="X6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" s="53">
        <v>0</v>
      </c>
      <c r="AB6" s="19">
        <v>0</v>
      </c>
      <c r="AC6" s="72">
        <v>0</v>
      </c>
      <c r="AD6" s="72">
        <v>242</v>
      </c>
      <c r="AE6" s="32" t="s">
        <v>60</v>
      </c>
      <c r="AF6" s="72">
        <v>0</v>
      </c>
      <c r="AG6" s="72">
        <v>140</v>
      </c>
      <c r="AH6" s="19">
        <f>IF(ISNUMBER(Tabella2[[#This Row],[Mean RADIAL stress  (MPa)]]), Tabella2[[#This Row],[Mean RADIAL stress  (MPa)]],"")</f>
        <v>0</v>
      </c>
      <c r="AI6" s="19">
        <f>IF(ISNUMBER(Tabella2[[#This Row],[Amplitute RADIAL stress  (MPa)]]), Tabella2[[#This Row],[Amplitute RADIAL stress  (MPa)]],"")</f>
        <v>0</v>
      </c>
      <c r="AJ6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19">
        <f>IF(ISNUMBER(Tabella2[[#This Row],[Amplitute AXIAL stress  (MPa)]]),    IF(Tabella2[[#This Row],[derived from (AXIAL/BENDING) load]]="AXIAL",Tabella2[[#This Row],[Amplitute AXIAL stress  (MPa)]]*Tabella2[[#This Row],[Area (mm^2)]],"Null"), "")</f>
        <v>19006.63555421825</v>
      </c>
      <c r="AL6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39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27488.935718910692</v>
      </c>
      <c r="AP6" s="4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0.57851239669421484</v>
      </c>
      <c r="AQ6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342.58429619584143</v>
      </c>
    </row>
    <row r="7" spans="1:43" customFormat="1" ht="20.100000000000001" customHeight="1" x14ac:dyDescent="0.25"/>
    <row r="8" spans="1:43" customFormat="1" ht="20.100000000000001" customHeight="1" x14ac:dyDescent="0.25"/>
    <row r="9" spans="1:43" customFormat="1" ht="20.100000000000001" customHeight="1" x14ac:dyDescent="0.25"/>
    <row r="10" spans="1:43" customFormat="1" ht="20.100000000000001" customHeight="1" x14ac:dyDescent="0.25"/>
    <row r="11" spans="1:43" customFormat="1" ht="20.100000000000001" customHeight="1" x14ac:dyDescent="0.25"/>
    <row r="12" spans="1:43" customFormat="1" ht="20.100000000000001" customHeight="1" x14ac:dyDescent="0.25"/>
    <row r="13" spans="1:43" customFormat="1" ht="20.100000000000001" customHeight="1" x14ac:dyDescent="0.25"/>
    <row r="14" spans="1:43" customFormat="1" ht="20.100000000000001" customHeight="1" x14ac:dyDescent="0.25"/>
    <row r="15" spans="1:43" customFormat="1" ht="20.100000000000001" customHeight="1" x14ac:dyDescent="0.25"/>
    <row r="16" spans="1:43" customFormat="1" ht="20.100000000000001" customHeight="1" x14ac:dyDescent="0.25"/>
    <row r="17" customFormat="1" ht="20.100000000000001" customHeight="1" x14ac:dyDescent="0.25"/>
    <row r="18" customFormat="1" ht="20.100000000000001" customHeight="1" x14ac:dyDescent="0.25"/>
    <row r="19" customFormat="1" ht="20.100000000000001" customHeight="1" x14ac:dyDescent="0.25"/>
    <row r="20" customFormat="1" ht="20.100000000000001" customHeight="1" x14ac:dyDescent="0.25"/>
    <row r="21" customFormat="1" ht="20.100000000000001" customHeight="1" x14ac:dyDescent="0.25"/>
    <row r="22" customFormat="1" ht="20.100000000000001" customHeight="1" x14ac:dyDescent="0.25"/>
    <row r="23" customFormat="1" ht="20.100000000000001" customHeight="1" x14ac:dyDescent="0.25"/>
    <row r="24" customFormat="1" ht="20.100000000000001" customHeight="1" x14ac:dyDescent="0.25"/>
    <row r="25" customFormat="1" ht="20.100000000000001" customHeight="1" x14ac:dyDescent="0.25"/>
    <row r="26" customFormat="1" ht="20.100000000000001" customHeight="1" x14ac:dyDescent="0.25"/>
    <row r="27" customFormat="1" ht="20.100000000000001" customHeight="1" x14ac:dyDescent="0.25"/>
    <row r="28" customFormat="1" ht="20.100000000000001" customHeight="1" x14ac:dyDescent="0.25"/>
    <row r="29" customFormat="1" ht="20.100000000000001" customHeight="1" x14ac:dyDescent="0.25"/>
    <row r="30" customFormat="1" ht="20.100000000000001" customHeight="1" x14ac:dyDescent="0.25"/>
    <row r="31" customFormat="1" ht="20.100000000000001" customHeight="1" x14ac:dyDescent="0.25"/>
    <row r="32" customFormat="1" ht="20.100000000000001" customHeight="1" x14ac:dyDescent="0.25"/>
    <row r="33" customFormat="1" ht="20.100000000000001" customHeight="1" x14ac:dyDescent="0.25"/>
    <row r="34" customFormat="1" ht="20.100000000000001" customHeight="1" x14ac:dyDescent="0.25"/>
    <row r="35" customFormat="1" ht="20.100000000000001" customHeight="1" x14ac:dyDescent="0.25"/>
    <row r="36" customFormat="1" ht="20.100000000000001" customHeight="1" x14ac:dyDescent="0.25"/>
    <row r="37" customFormat="1" ht="20.100000000000001" customHeight="1" x14ac:dyDescent="0.25"/>
    <row r="38" customFormat="1" ht="20.100000000000001" customHeight="1" x14ac:dyDescent="0.25"/>
    <row r="39" customFormat="1" ht="20.100000000000001" customHeight="1" x14ac:dyDescent="0.25"/>
    <row r="40" customFormat="1" ht="20.100000000000001" customHeight="1" x14ac:dyDescent="0.25"/>
    <row r="41" customFormat="1" ht="20.100000000000001" customHeight="1" x14ac:dyDescent="0.25"/>
    <row r="42" customFormat="1" ht="20.100000000000001" customHeight="1" x14ac:dyDescent="0.25"/>
    <row r="43" customFormat="1" ht="20.100000000000001" customHeight="1" x14ac:dyDescent="0.25"/>
    <row r="44" customFormat="1" ht="20.100000000000001" customHeight="1" x14ac:dyDescent="0.25"/>
    <row r="45" customFormat="1" ht="20.100000000000001" customHeight="1" x14ac:dyDescent="0.25"/>
    <row r="46" customFormat="1" ht="20.100000000000001" customHeight="1" x14ac:dyDescent="0.25"/>
    <row r="47" customFormat="1" ht="20.100000000000001" customHeight="1" x14ac:dyDescent="0.25"/>
    <row r="48" customFormat="1" ht="20.100000000000001" customHeight="1" x14ac:dyDescent="0.25"/>
    <row r="49" customFormat="1" ht="20.100000000000001" customHeight="1" x14ac:dyDescent="0.25"/>
    <row r="50" customFormat="1" ht="20.100000000000001" customHeight="1" x14ac:dyDescent="0.25"/>
    <row r="51" customFormat="1" ht="20.100000000000001" customHeight="1" x14ac:dyDescent="0.25"/>
    <row r="52" customFormat="1" ht="20.100000000000001" customHeight="1" x14ac:dyDescent="0.25"/>
    <row r="53" customFormat="1" ht="20.100000000000001" customHeight="1" x14ac:dyDescent="0.25"/>
    <row r="54" customFormat="1" ht="20.100000000000001" customHeight="1" x14ac:dyDescent="0.25"/>
    <row r="55" customFormat="1" ht="20.100000000000001" customHeight="1" x14ac:dyDescent="0.25"/>
    <row r="56" customFormat="1" ht="19.5" customHeight="1" x14ac:dyDescent="0.25"/>
    <row r="57" customFormat="1" ht="20.100000000000001" customHeight="1" x14ac:dyDescent="0.25"/>
    <row r="58" customFormat="1" ht="20.100000000000001" customHeight="1" x14ac:dyDescent="0.25"/>
    <row r="59" customFormat="1" ht="20.100000000000001" customHeight="1" x14ac:dyDescent="0.25"/>
    <row r="60" customFormat="1" ht="20.100000000000001" customHeight="1" x14ac:dyDescent="0.25"/>
    <row r="61" customFormat="1" ht="20.100000000000001" customHeight="1" x14ac:dyDescent="0.25"/>
    <row r="62" customFormat="1" x14ac:dyDescent="0.25"/>
    <row r="63" customFormat="1" x14ac:dyDescent="0.25"/>
    <row r="64" customFormat="1" x14ac:dyDescent="0.25"/>
    <row r="65" spans="15:33" x14ac:dyDescent="0.25">
      <c r="O65" s="26"/>
      <c r="P65" s="26"/>
      <c r="Z65" s="27"/>
      <c r="AG65" s="23"/>
    </row>
    <row r="66" spans="15:33" x14ac:dyDescent="0.25">
      <c r="O66" s="26"/>
      <c r="P66" s="26"/>
      <c r="Z66" s="27"/>
      <c r="AG66" s="23"/>
    </row>
    <row r="67" spans="15:33" x14ac:dyDescent="0.25">
      <c r="O67" s="26"/>
      <c r="P67" s="26"/>
      <c r="Z67" s="27"/>
      <c r="AG67" s="23"/>
    </row>
    <row r="68" spans="15:33" ht="13.5" customHeight="1" x14ac:dyDescent="0.25">
      <c r="O68" s="26"/>
      <c r="P68" s="26"/>
      <c r="Z68" s="27"/>
      <c r="AG68" s="23"/>
    </row>
    <row r="69" spans="15:33" x14ac:dyDescent="0.25">
      <c r="O69" s="26"/>
      <c r="P69" s="26"/>
      <c r="Z69" s="27"/>
      <c r="AG69" s="23"/>
    </row>
    <row r="70" spans="15:33" x14ac:dyDescent="0.25">
      <c r="O70" s="26"/>
      <c r="P70" s="26"/>
      <c r="Z70" s="27"/>
      <c r="AG70" s="23"/>
    </row>
    <row r="71" spans="15:33" x14ac:dyDescent="0.25">
      <c r="O71" s="26"/>
      <c r="P71" s="26"/>
      <c r="Z71" s="27"/>
      <c r="AG71" s="23"/>
    </row>
    <row r="72" spans="15:33" x14ac:dyDescent="0.25">
      <c r="O72" s="26"/>
      <c r="P72" s="26"/>
      <c r="Z72" s="27"/>
      <c r="AG72" s="23"/>
    </row>
    <row r="73" spans="15:33" x14ac:dyDescent="0.25">
      <c r="O73" s="26"/>
      <c r="P73" s="26"/>
      <c r="Z73" s="27"/>
      <c r="AG73" s="23"/>
    </row>
    <row r="74" spans="15:33" x14ac:dyDescent="0.25">
      <c r="O74" s="26"/>
      <c r="P74" s="26"/>
      <c r="Z74" s="27"/>
      <c r="AG74" s="23"/>
    </row>
    <row r="75" spans="15:33" x14ac:dyDescent="0.25">
      <c r="O75" s="26"/>
      <c r="P75" s="26"/>
      <c r="Z75" s="27"/>
      <c r="AG75" s="23"/>
    </row>
    <row r="76" spans="15:33" x14ac:dyDescent="0.25">
      <c r="O76" s="26"/>
      <c r="P76" s="26"/>
      <c r="Z76" s="27"/>
      <c r="AG76" s="23"/>
    </row>
    <row r="77" spans="15:33" x14ac:dyDescent="0.25">
      <c r="O77" s="26"/>
      <c r="P77" s="26"/>
      <c r="Z77" s="27"/>
      <c r="AG77" s="23"/>
    </row>
    <row r="78" spans="15:33" x14ac:dyDescent="0.25">
      <c r="O78" s="26"/>
      <c r="P78" s="26"/>
      <c r="Z78" s="27"/>
      <c r="AG78" s="23"/>
    </row>
    <row r="79" spans="15:33" x14ac:dyDescent="0.25">
      <c r="O79" s="26"/>
      <c r="P79" s="26"/>
      <c r="Z79" s="27"/>
      <c r="AG79" s="23"/>
    </row>
    <row r="80" spans="15:33" x14ac:dyDescent="0.25">
      <c r="O80" s="26"/>
      <c r="P80" s="26"/>
      <c r="Z80" s="27"/>
      <c r="AG80" s="23"/>
    </row>
    <row r="81" spans="15:33" x14ac:dyDescent="0.25">
      <c r="O81" s="26"/>
      <c r="P81" s="26"/>
      <c r="Z81" s="27"/>
      <c r="AG81" s="23"/>
    </row>
    <row r="82" spans="15:33" x14ac:dyDescent="0.25">
      <c r="O82" s="26"/>
      <c r="P82" s="26"/>
      <c r="Z82" s="27"/>
      <c r="AG82" s="23"/>
    </row>
    <row r="83" spans="15:33" x14ac:dyDescent="0.25">
      <c r="O83" s="26"/>
      <c r="P83" s="26"/>
      <c r="Z83" s="27"/>
      <c r="AG83" s="23"/>
    </row>
    <row r="84" spans="15:33" x14ac:dyDescent="0.25">
      <c r="O84" s="26"/>
      <c r="P84" s="26"/>
      <c r="Z84" s="27"/>
      <c r="AG84" s="23"/>
    </row>
    <row r="85" spans="15:33" x14ac:dyDescent="0.25">
      <c r="O85" s="26"/>
      <c r="P85" s="26"/>
      <c r="Z85" s="27"/>
      <c r="AG85" s="23"/>
    </row>
    <row r="86" spans="15:33" x14ac:dyDescent="0.25">
      <c r="O86" s="26"/>
      <c r="P86" s="26"/>
      <c r="Z86" s="27"/>
      <c r="AG86" s="23"/>
    </row>
    <row r="87" spans="15:33" ht="17.45" customHeight="1" x14ac:dyDescent="0.25">
      <c r="O87" s="26"/>
      <c r="P87" s="26"/>
      <c r="Z87" s="27"/>
      <c r="AG87" s="23"/>
    </row>
    <row r="88" spans="15:33" x14ac:dyDescent="0.25">
      <c r="O88" s="26"/>
      <c r="P88" s="26"/>
      <c r="Z88" s="27"/>
      <c r="AG88" s="23"/>
    </row>
    <row r="89" spans="15:33" x14ac:dyDescent="0.25">
      <c r="O89" s="26"/>
      <c r="P89" s="26"/>
      <c r="Z89" s="27"/>
      <c r="AG89" s="23"/>
    </row>
    <row r="90" spans="15:33" x14ac:dyDescent="0.25">
      <c r="O90" s="26"/>
      <c r="P90" s="26"/>
      <c r="Z90" s="27"/>
      <c r="AG90" s="23"/>
    </row>
    <row r="91" spans="15:33" x14ac:dyDescent="0.25">
      <c r="O91" s="26"/>
      <c r="P91" s="26"/>
      <c r="Z91" s="27"/>
      <c r="AG91" s="23"/>
    </row>
    <row r="92" spans="15:33" x14ac:dyDescent="0.25">
      <c r="O92" s="26"/>
      <c r="P92" s="26"/>
      <c r="Z92" s="27"/>
      <c r="AG92" s="23"/>
    </row>
    <row r="93" spans="15:33" x14ac:dyDescent="0.25">
      <c r="O93" s="26"/>
      <c r="P93" s="26"/>
      <c r="Z93" s="27"/>
      <c r="AG93" s="23"/>
    </row>
    <row r="94" spans="15:33" x14ac:dyDescent="0.25">
      <c r="O94" s="26"/>
      <c r="P94" s="26"/>
      <c r="Z94" s="27"/>
      <c r="AG94" s="23"/>
    </row>
    <row r="95" spans="15:33" x14ac:dyDescent="0.25">
      <c r="O95" s="26"/>
      <c r="P95" s="26"/>
      <c r="Z95" s="27"/>
      <c r="AG95" s="23"/>
    </row>
    <row r="96" spans="15:33" ht="17.45" customHeight="1" x14ac:dyDescent="0.25">
      <c r="O96" s="26"/>
      <c r="P96" s="26"/>
      <c r="Z96" s="27"/>
      <c r="AG96" s="23"/>
    </row>
    <row r="97" spans="15:33" x14ac:dyDescent="0.25">
      <c r="O97" s="26"/>
      <c r="P97" s="26"/>
      <c r="Z97" s="27"/>
      <c r="AG97" s="23"/>
    </row>
    <row r="98" spans="15:33" x14ac:dyDescent="0.25">
      <c r="O98" s="26"/>
      <c r="P98" s="26"/>
      <c r="Z98" s="27"/>
      <c r="AG98" s="23"/>
    </row>
    <row r="99" spans="15:33" x14ac:dyDescent="0.25">
      <c r="O99" s="26"/>
      <c r="P99" s="26"/>
      <c r="Z99" s="27"/>
      <c r="AG99" s="23"/>
    </row>
    <row r="100" spans="15:33" x14ac:dyDescent="0.25">
      <c r="O100" s="26"/>
      <c r="P100" s="26"/>
      <c r="Z100" s="27"/>
      <c r="AB100" s="46"/>
      <c r="AC100" s="46"/>
      <c r="AG100" s="23"/>
    </row>
    <row r="101" spans="15:33" x14ac:dyDescent="0.25">
      <c r="O101" s="26"/>
      <c r="P101" s="26"/>
      <c r="Z101" s="27"/>
      <c r="AB101" s="46"/>
      <c r="AC101" s="46"/>
      <c r="AG101" s="23"/>
    </row>
    <row r="102" spans="15:33" x14ac:dyDescent="0.25">
      <c r="O102" s="26"/>
      <c r="P102" s="26"/>
      <c r="Z102" s="27"/>
      <c r="AB102" s="46"/>
      <c r="AC102" s="46"/>
      <c r="AG102" s="23"/>
    </row>
    <row r="103" spans="15:33" x14ac:dyDescent="0.25">
      <c r="O103" s="26"/>
      <c r="P103" s="26"/>
      <c r="Z103" s="27"/>
      <c r="AB103" s="46"/>
      <c r="AC103" s="46"/>
      <c r="AG103" s="23"/>
    </row>
    <row r="104" spans="15:33" x14ac:dyDescent="0.25">
      <c r="O104" s="26"/>
      <c r="P104" s="26"/>
      <c r="Z104" s="27"/>
      <c r="AG104" s="23"/>
    </row>
    <row r="105" spans="15:33" x14ac:dyDescent="0.25">
      <c r="O105" s="26"/>
      <c r="P105" s="26"/>
      <c r="Z105" s="27"/>
      <c r="AG105" s="23"/>
    </row>
    <row r="106" spans="15:33" x14ac:dyDescent="0.25">
      <c r="O106" s="26"/>
      <c r="P106" s="26"/>
      <c r="Z106" s="27"/>
      <c r="AG106" s="23"/>
    </row>
    <row r="107" spans="15:33" x14ac:dyDescent="0.25">
      <c r="O107" s="26"/>
      <c r="P107" s="26"/>
      <c r="Z107" s="27"/>
      <c r="AG107" s="23"/>
    </row>
    <row r="108" spans="15:33" x14ac:dyDescent="0.25">
      <c r="O108" s="26"/>
      <c r="P108" s="26"/>
      <c r="Z108" s="27"/>
      <c r="AG108" s="23"/>
    </row>
    <row r="109" spans="15:33" x14ac:dyDescent="0.25">
      <c r="O109" s="26"/>
      <c r="P109" s="26"/>
      <c r="Z109" s="27"/>
      <c r="AG109" s="23"/>
    </row>
    <row r="110" spans="15:33" x14ac:dyDescent="0.25">
      <c r="O110" s="26"/>
      <c r="P110" s="26"/>
      <c r="Z110" s="27"/>
      <c r="AG110" s="23"/>
    </row>
    <row r="111" spans="15:33" x14ac:dyDescent="0.25">
      <c r="O111" s="26"/>
      <c r="P111" s="26"/>
      <c r="Z111" s="27"/>
      <c r="AG111" s="23"/>
    </row>
    <row r="112" spans="15:33" x14ac:dyDescent="0.25">
      <c r="O112" s="26"/>
      <c r="P112" s="26"/>
      <c r="AG112" s="23"/>
    </row>
    <row r="113" spans="15:33" x14ac:dyDescent="0.25">
      <c r="O113" s="26"/>
      <c r="P113" s="26"/>
      <c r="AG113" s="23"/>
    </row>
    <row r="114" spans="15:33" x14ac:dyDescent="0.25">
      <c r="O114" s="26"/>
      <c r="P114" s="26"/>
      <c r="AG114" s="23"/>
    </row>
    <row r="115" spans="15:33" x14ac:dyDescent="0.25">
      <c r="O115" s="26"/>
      <c r="P115" s="26"/>
      <c r="AG115" s="23"/>
    </row>
    <row r="116" spans="15:33" x14ac:dyDescent="0.25">
      <c r="O116" s="26"/>
      <c r="P116" s="26"/>
      <c r="AG116" s="23"/>
    </row>
    <row r="117" spans="15:33" x14ac:dyDescent="0.25">
      <c r="O117" s="26"/>
      <c r="P117" s="26"/>
      <c r="AG117" s="23"/>
    </row>
    <row r="118" spans="15:33" x14ac:dyDescent="0.25">
      <c r="O118" s="26"/>
      <c r="P118" s="26"/>
      <c r="AG118" s="23"/>
    </row>
    <row r="119" spans="15:33" x14ac:dyDescent="0.25">
      <c r="O119" s="26"/>
      <c r="P119" s="26"/>
      <c r="AG119" s="23"/>
    </row>
    <row r="120" spans="15:33" x14ac:dyDescent="0.25">
      <c r="O120" s="26"/>
      <c r="P120" s="26"/>
      <c r="AG120" s="23"/>
    </row>
    <row r="121" spans="15:33" x14ac:dyDescent="0.25">
      <c r="O121" s="26"/>
      <c r="P121" s="26"/>
      <c r="AG121" s="23"/>
    </row>
    <row r="122" spans="15:33" x14ac:dyDescent="0.25">
      <c r="O122" s="26"/>
      <c r="P122" s="26"/>
      <c r="AG122" s="23"/>
    </row>
    <row r="123" spans="15:33" x14ac:dyDescent="0.25">
      <c r="O123" s="26"/>
      <c r="P123" s="26"/>
      <c r="AG123" s="23"/>
    </row>
    <row r="124" spans="15:33" x14ac:dyDescent="0.25">
      <c r="O124" s="26"/>
      <c r="P124" s="26"/>
      <c r="AG124" s="23"/>
    </row>
    <row r="125" spans="15:33" x14ac:dyDescent="0.25">
      <c r="O125" s="26"/>
      <c r="P125" s="26"/>
      <c r="AG125" s="23"/>
    </row>
    <row r="126" spans="15:33" x14ac:dyDescent="0.25">
      <c r="O126" s="26"/>
      <c r="P126" s="26"/>
      <c r="AG126" s="23"/>
    </row>
    <row r="127" spans="15:33" x14ac:dyDescent="0.25">
      <c r="O127" s="26"/>
      <c r="P127" s="26"/>
      <c r="AG127" s="23"/>
    </row>
    <row r="128" spans="15:33" x14ac:dyDescent="0.25">
      <c r="O128" s="26"/>
      <c r="P128" s="26"/>
      <c r="AG128" s="23"/>
    </row>
    <row r="129" spans="15:33" x14ac:dyDescent="0.25">
      <c r="O129" s="26"/>
      <c r="P129" s="26"/>
      <c r="AG129" s="23"/>
    </row>
    <row r="130" spans="15:33" x14ac:dyDescent="0.25">
      <c r="O130" s="26"/>
      <c r="P130" s="26"/>
      <c r="AG130" s="23"/>
    </row>
    <row r="131" spans="15:33" x14ac:dyDescent="0.25">
      <c r="O131" s="26"/>
      <c r="P131" s="26"/>
      <c r="AG131" s="23"/>
    </row>
    <row r="132" spans="15:33" x14ac:dyDescent="0.25">
      <c r="O132" s="26"/>
      <c r="P132" s="26"/>
      <c r="AG132" s="23"/>
    </row>
    <row r="133" spans="15:33" x14ac:dyDescent="0.25">
      <c r="O133" s="26"/>
      <c r="P133" s="26"/>
      <c r="AG133" s="23"/>
    </row>
    <row r="134" spans="15:33" x14ac:dyDescent="0.25">
      <c r="O134" s="26"/>
      <c r="P134" s="26"/>
      <c r="AG134" s="23"/>
    </row>
    <row r="135" spans="15:33" x14ac:dyDescent="0.25">
      <c r="O135" s="26"/>
      <c r="P135" s="26"/>
      <c r="AG135" s="23"/>
    </row>
    <row r="136" spans="15:33" x14ac:dyDescent="0.25">
      <c r="O136" s="26"/>
      <c r="P136" s="26"/>
      <c r="AG136" s="23"/>
    </row>
    <row r="137" spans="15:33" x14ac:dyDescent="0.25">
      <c r="O137" s="26"/>
      <c r="P137" s="26"/>
      <c r="AG137" s="23"/>
    </row>
    <row r="138" spans="15:33" x14ac:dyDescent="0.25">
      <c r="O138" s="26"/>
      <c r="P138" s="26"/>
      <c r="AG138" s="23"/>
    </row>
    <row r="139" spans="15:33" x14ac:dyDescent="0.25">
      <c r="O139" s="26"/>
      <c r="P139" s="26"/>
      <c r="AG139" s="23"/>
    </row>
    <row r="140" spans="15:33" x14ac:dyDescent="0.25">
      <c r="O140" s="26"/>
      <c r="P140" s="26"/>
      <c r="AG140" s="23"/>
    </row>
    <row r="141" spans="15:33" x14ac:dyDescent="0.25">
      <c r="O141" s="26"/>
      <c r="P141" s="26"/>
      <c r="AG141" s="23"/>
    </row>
    <row r="142" spans="15:33" x14ac:dyDescent="0.25">
      <c r="O142" s="26"/>
      <c r="P142" s="26"/>
      <c r="AG142" s="23"/>
    </row>
    <row r="143" spans="15:33" x14ac:dyDescent="0.25">
      <c r="O143" s="26"/>
      <c r="P143" s="26"/>
      <c r="AG143" s="23"/>
    </row>
    <row r="144" spans="15:33" x14ac:dyDescent="0.25">
      <c r="O144" s="26"/>
      <c r="P144" s="26"/>
      <c r="AG144" s="23"/>
    </row>
    <row r="145" spans="15:33" x14ac:dyDescent="0.25">
      <c r="O145" s="26"/>
      <c r="P145" s="26"/>
      <c r="AG145" s="23"/>
    </row>
    <row r="146" spans="15:33" x14ac:dyDescent="0.25">
      <c r="O146" s="26"/>
      <c r="P146" s="26"/>
      <c r="AG146" s="23"/>
    </row>
    <row r="147" spans="15:33" x14ac:dyDescent="0.25">
      <c r="O147" s="26"/>
      <c r="P147" s="26"/>
      <c r="AG147" s="23"/>
    </row>
    <row r="148" spans="15:33" x14ac:dyDescent="0.25">
      <c r="O148" s="26"/>
      <c r="P148" s="26"/>
      <c r="AG148" s="23"/>
    </row>
    <row r="149" spans="15:33" ht="13.15" customHeight="1" x14ac:dyDescent="0.25">
      <c r="O149" s="26"/>
      <c r="P149" s="26"/>
      <c r="AG149" s="23"/>
    </row>
    <row r="150" spans="15:33" x14ac:dyDescent="0.25">
      <c r="O150" s="26"/>
      <c r="P150" s="26"/>
      <c r="AG150" s="23"/>
    </row>
    <row r="151" spans="15:33" x14ac:dyDescent="0.25">
      <c r="O151" s="26"/>
      <c r="P151" s="26"/>
      <c r="AG151" s="23"/>
    </row>
    <row r="152" spans="15:33" x14ac:dyDescent="0.25">
      <c r="O152" s="26"/>
      <c r="P152" s="26"/>
      <c r="AG152" s="23"/>
    </row>
    <row r="153" spans="15:33" x14ac:dyDescent="0.25">
      <c r="O153" s="26"/>
      <c r="P153" s="26"/>
      <c r="AG153" s="23"/>
    </row>
    <row r="154" spans="15:33" x14ac:dyDescent="0.25">
      <c r="O154" s="26"/>
      <c r="P154" s="26"/>
      <c r="AG154" s="23"/>
    </row>
    <row r="155" spans="15:33" x14ac:dyDescent="0.25">
      <c r="O155" s="26"/>
      <c r="P155" s="26"/>
      <c r="AG155" s="23"/>
    </row>
    <row r="156" spans="15:33" x14ac:dyDescent="0.25">
      <c r="O156" s="26"/>
      <c r="P156" s="26"/>
      <c r="AG156" s="23"/>
    </row>
    <row r="157" spans="15:33" x14ac:dyDescent="0.25">
      <c r="O157" s="26"/>
      <c r="P157" s="26"/>
      <c r="AG157" s="23"/>
    </row>
    <row r="158" spans="15:33" ht="13.9" customHeight="1" x14ac:dyDescent="0.25">
      <c r="O158" s="26"/>
      <c r="P158" s="26"/>
      <c r="AG158" s="23"/>
    </row>
    <row r="159" spans="15:33" x14ac:dyDescent="0.25">
      <c r="O159" s="26"/>
      <c r="P159" s="26"/>
      <c r="AG159" s="23"/>
    </row>
    <row r="160" spans="15:33" x14ac:dyDescent="0.25">
      <c r="O160" s="26"/>
      <c r="P160" s="26"/>
      <c r="AG160" s="23"/>
    </row>
    <row r="161" spans="15:33" x14ac:dyDescent="0.25">
      <c r="O161" s="26"/>
      <c r="P161" s="26"/>
      <c r="AG161" s="23"/>
    </row>
    <row r="162" spans="15:33" x14ac:dyDescent="0.25">
      <c r="O162" s="26"/>
      <c r="P162" s="26"/>
      <c r="AG162" s="23"/>
    </row>
    <row r="163" spans="15:33" x14ac:dyDescent="0.25">
      <c r="O163" s="26"/>
      <c r="P163" s="26"/>
      <c r="AG163" s="23"/>
    </row>
    <row r="164" spans="15:33" x14ac:dyDescent="0.25">
      <c r="O164" s="26"/>
      <c r="P164" s="26"/>
      <c r="AG164" s="23"/>
    </row>
    <row r="165" spans="15:33" x14ac:dyDescent="0.25">
      <c r="O165" s="26"/>
      <c r="P165" s="26"/>
      <c r="AG165" s="23"/>
    </row>
    <row r="166" spans="15:33" x14ac:dyDescent="0.25">
      <c r="O166" s="26"/>
      <c r="P166" s="26"/>
      <c r="AG166" s="23"/>
    </row>
    <row r="167" spans="15:33" x14ac:dyDescent="0.25">
      <c r="O167" s="26"/>
      <c r="P167" s="26"/>
      <c r="AG167" s="23"/>
    </row>
    <row r="168" spans="15:33" x14ac:dyDescent="0.25">
      <c r="O168" s="26"/>
      <c r="P168" s="26"/>
      <c r="AG168" s="23"/>
    </row>
    <row r="169" spans="15:33" x14ac:dyDescent="0.25">
      <c r="O169" s="26"/>
      <c r="P169" s="26"/>
      <c r="AG169" s="23"/>
    </row>
    <row r="170" spans="15:33" x14ac:dyDescent="0.25">
      <c r="O170" s="26"/>
      <c r="P170" s="26"/>
      <c r="AG170" s="23"/>
    </row>
    <row r="171" spans="15:33" x14ac:dyDescent="0.25">
      <c r="O171" s="26"/>
      <c r="P171" s="26"/>
      <c r="AG171" s="23"/>
    </row>
    <row r="172" spans="15:33" x14ac:dyDescent="0.25">
      <c r="O172" s="26"/>
      <c r="P172" s="26"/>
      <c r="AG172" s="23"/>
    </row>
    <row r="173" spans="15:33" x14ac:dyDescent="0.25">
      <c r="O173" s="26"/>
      <c r="P173" s="26"/>
      <c r="AG173" s="23"/>
    </row>
    <row r="174" spans="15:33" x14ac:dyDescent="0.25">
      <c r="O174" s="26"/>
      <c r="P174" s="26"/>
      <c r="AG174" s="23"/>
    </row>
    <row r="175" spans="15:33" x14ac:dyDescent="0.25">
      <c r="O175" s="26"/>
      <c r="P175" s="26"/>
      <c r="AG175" s="23"/>
    </row>
    <row r="176" spans="15:33" x14ac:dyDescent="0.25">
      <c r="O176" s="26"/>
      <c r="P176" s="26"/>
      <c r="AG176" s="23"/>
    </row>
    <row r="177" spans="15:33" x14ac:dyDescent="0.25">
      <c r="O177" s="26"/>
      <c r="P177" s="26"/>
      <c r="AG177" s="23"/>
    </row>
    <row r="178" spans="15:33" x14ac:dyDescent="0.25">
      <c r="O178" s="26"/>
      <c r="P178" s="26"/>
      <c r="AG178" s="23"/>
    </row>
    <row r="179" spans="15:33" x14ac:dyDescent="0.25">
      <c r="O179" s="26"/>
      <c r="P179" s="26"/>
      <c r="AG179" s="23"/>
    </row>
    <row r="180" spans="15:33" x14ac:dyDescent="0.25">
      <c r="O180" s="26"/>
      <c r="P180" s="26"/>
      <c r="AG180" s="23"/>
    </row>
    <row r="181" spans="15:33" x14ac:dyDescent="0.25">
      <c r="O181" s="26"/>
      <c r="P181" s="26"/>
      <c r="AG181" s="23"/>
    </row>
    <row r="182" spans="15:33" x14ac:dyDescent="0.25">
      <c r="O182" s="26"/>
      <c r="P182" s="26"/>
      <c r="AG182" s="23"/>
    </row>
    <row r="183" spans="15:33" x14ac:dyDescent="0.25">
      <c r="O183" s="26"/>
      <c r="P183" s="26"/>
      <c r="AG183" s="23"/>
    </row>
    <row r="184" spans="15:33" x14ac:dyDescent="0.25">
      <c r="O184" s="26"/>
      <c r="P184" s="26"/>
      <c r="AG184" s="23"/>
    </row>
    <row r="185" spans="15:33" x14ac:dyDescent="0.25">
      <c r="O185" s="26"/>
      <c r="P185" s="26"/>
      <c r="AG185" s="23"/>
    </row>
    <row r="186" spans="15:33" x14ac:dyDescent="0.25">
      <c r="O186" s="26"/>
      <c r="P186" s="26"/>
      <c r="AG186" s="23"/>
    </row>
    <row r="187" spans="15:33" x14ac:dyDescent="0.25">
      <c r="O187" s="26"/>
      <c r="P187" s="26"/>
      <c r="AG187" s="23"/>
    </row>
    <row r="188" spans="15:33" x14ac:dyDescent="0.25">
      <c r="O188" s="26"/>
      <c r="P188" s="26"/>
      <c r="AG188" s="23"/>
    </row>
    <row r="189" spans="15:33" x14ac:dyDescent="0.25">
      <c r="O189" s="26"/>
      <c r="P189" s="26"/>
      <c r="AG189" s="23"/>
    </row>
    <row r="190" spans="15:33" x14ac:dyDescent="0.25">
      <c r="O190" s="26"/>
      <c r="P190" s="26"/>
      <c r="AG190" s="23"/>
    </row>
    <row r="191" spans="15:33" x14ac:dyDescent="0.25">
      <c r="O191" s="26"/>
      <c r="P191" s="26"/>
      <c r="AG191" s="23"/>
    </row>
    <row r="192" spans="15:33" x14ac:dyDescent="0.25">
      <c r="O192" s="26"/>
      <c r="P192" s="26"/>
      <c r="AG192" s="23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2026-09-22T15:48:20Z</dcterms:modified>
</cp:coreProperties>
</file>