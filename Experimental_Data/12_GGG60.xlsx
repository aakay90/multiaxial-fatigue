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33F57DEB-914A-4343-A54B-27F0880DE961}" xr6:coauthVersionLast="47" xr6:coauthVersionMax="47" xr10:uidLastSave="{00000000-0000-0000-0000-000000000000}"/>
  <bookViews>
    <workbookView xWindow="29220" yWindow="150" windowWidth="28620" windowHeight="14190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2" l="1"/>
  <c r="AP7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" i="2"/>
  <c r="Q2" i="2"/>
  <c r="AO2" i="2" s="1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N2" i="2" l="1"/>
  <c r="AP3" i="2" l="1"/>
  <c r="AP4" i="2"/>
  <c r="AP5" i="2"/>
  <c r="AP6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P2" i="2"/>
  <c r="P3" i="2"/>
  <c r="AL3" i="2" s="1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P13" i="2"/>
  <c r="AL13" i="2" s="1"/>
  <c r="P14" i="2"/>
  <c r="AL14" i="2" s="1"/>
  <c r="P15" i="2"/>
  <c r="AL15" i="2" s="1"/>
  <c r="P16" i="2"/>
  <c r="AL16" i="2" s="1"/>
  <c r="P17" i="2"/>
  <c r="AL17" i="2" s="1"/>
  <c r="P18" i="2"/>
  <c r="AL18" i="2" s="1"/>
  <c r="P19" i="2"/>
  <c r="AL19" i="2" s="1"/>
  <c r="P20" i="2"/>
  <c r="AL20" i="2" s="1"/>
  <c r="P21" i="2"/>
  <c r="AL21" i="2" s="1"/>
  <c r="P22" i="2"/>
  <c r="AL22" i="2" s="1"/>
  <c r="P23" i="2"/>
  <c r="AL23" i="2" s="1"/>
  <c r="P24" i="2"/>
  <c r="AL24" i="2" s="1"/>
  <c r="P25" i="2"/>
  <c r="AL25" i="2" s="1"/>
  <c r="P26" i="2"/>
  <c r="AL26" i="2" s="1"/>
  <c r="P27" i="2"/>
  <c r="AL27" i="2" s="1"/>
  <c r="P28" i="2"/>
  <c r="AL28" i="2" s="1"/>
  <c r="M4" i="1"/>
  <c r="M3" i="1"/>
  <c r="AM2" i="2" l="1"/>
  <c r="AL2" i="2"/>
  <c r="AO20" i="2"/>
  <c r="AN20" i="2"/>
  <c r="AN3" i="2"/>
  <c r="AO3" i="2"/>
  <c r="AN17" i="2"/>
  <c r="AO17" i="2"/>
  <c r="AN16" i="2"/>
  <c r="AO16" i="2"/>
  <c r="AO15" i="2"/>
  <c r="AN15" i="2"/>
  <c r="AO14" i="2"/>
  <c r="AN14" i="2"/>
  <c r="AO13" i="2"/>
  <c r="AN13" i="2"/>
  <c r="AO28" i="2"/>
  <c r="AN28" i="2"/>
  <c r="AO12" i="2"/>
  <c r="AN12" i="2"/>
  <c r="AO5" i="2"/>
  <c r="AN5" i="2"/>
  <c r="AO27" i="2"/>
  <c r="AN27" i="2"/>
  <c r="AO11" i="2"/>
  <c r="AN11" i="2"/>
  <c r="AO26" i="2"/>
  <c r="AN26" i="2"/>
  <c r="AO10" i="2"/>
  <c r="AN10" i="2"/>
  <c r="AO4" i="2"/>
  <c r="AN4" i="2"/>
  <c r="AO25" i="2"/>
  <c r="AN25" i="2"/>
  <c r="AO9" i="2"/>
  <c r="AN9" i="2"/>
  <c r="AO21" i="2"/>
  <c r="AN21" i="2"/>
  <c r="AO24" i="2"/>
  <c r="AN24" i="2"/>
  <c r="AO8" i="2"/>
  <c r="AN8" i="2"/>
  <c r="AN18" i="2"/>
  <c r="AO18" i="2"/>
  <c r="AO23" i="2"/>
  <c r="AN23" i="2"/>
  <c r="AO7" i="2"/>
  <c r="AN7" i="2"/>
  <c r="AN19" i="2"/>
  <c r="AO19" i="2"/>
  <c r="AO22" i="2"/>
  <c r="AN22" i="2"/>
  <c r="AO6" i="2"/>
  <c r="AN6" i="2"/>
  <c r="AM26" i="2"/>
  <c r="AM10" i="2"/>
  <c r="AM21" i="2"/>
  <c r="AM5" i="2"/>
  <c r="AM20" i="2"/>
  <c r="AM4" i="2"/>
  <c r="AM11" i="2"/>
  <c r="AM3" i="2"/>
  <c r="AM17" i="2"/>
  <c r="AM16" i="2"/>
  <c r="AM15" i="2"/>
  <c r="AM19" i="2"/>
  <c r="AM18" i="2"/>
  <c r="AM14" i="2"/>
  <c r="AM13" i="2"/>
  <c r="AM28" i="2"/>
  <c r="AM12" i="2"/>
  <c r="AM25" i="2"/>
  <c r="AM24" i="2"/>
  <c r="AM23" i="2"/>
  <c r="AM27" i="2"/>
  <c r="AM9" i="2"/>
  <c r="AM8" i="2"/>
  <c r="AM7" i="2"/>
  <c r="AM22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<sst xmlns="http://schemas.openxmlformats.org/spreadsheetml/2006/main" count="335" uniqueCount="70">
  <si>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</si>
  <si>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</si>
  <si>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</si>
  <si>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</si>
  <si>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</si>
  <si>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</si>
  <si>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</si>
  <si>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</si>
  <si>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</si>
  <si>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</si>
  <si>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</si>
  <si>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</si>
  <si>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</si>
  <si>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</si>
  <si>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</si>
  <si>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</si>
  <si>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</si>
  <si>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</si>
  <si>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</si>
  <si>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</si>
  <si>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</si>
  <si>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</si>
  <si>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</si>
  <si>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</si>
  <si>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</si>
  <si>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</si>
  <si>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</si>
  <si>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</si>
  <si>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</si>
  <si>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</si>
  <si>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</si>
  <si>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</si>
  <si>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</si>
  <si>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</si>
  <si>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</si>
  <si>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</si>
  <si>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</si>
  <si>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</si>
  <si>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</si>
  <si>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</si>
  <si>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</si>
  <si>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Complete rupture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</si>
  <si>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</si>
  <si>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</si>
  <si>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</si>
  <si>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</si>
  <si>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</si>
  <si>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</si>
  <si>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</si>
  <si>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</si>
  <si>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</si>
  <si>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</si>
  <si>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</si>
  <si>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</si>
  <si>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</si>
  <si>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</si>
  <si>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</si>
  <si>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</si>
  <si>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</si>
  <si>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</si>
  <si>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</si>
  <si>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</si>
  <si>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</si>
  <si>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</si>
  <si>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</si>
  <si>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Gough HJ. Engineering steels under combined cyclic and static
stresses. J Appl Mech. 1950;17(2):113‐125.</t>
  </si>
  <si>
    <t>Gough HJ</t>
  </si>
  <si>
    <t>GGG60</t>
  </si>
  <si>
    <t>Gough HJ.</t>
  </si>
  <si>
    <t>SPECIMEN_7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</si>
</sst>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49" fontId="8" fillId="13" borderId="0" xfId="0" applyNumberFormat="1" applyFont="1" applyFill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2" fontId="0" fillId="2" borderId="0" xfId="0" applyNumberFormat="1" applyFill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164" fontId="7" fillId="10" borderId="0" xfId="0" applyNumberFormat="1" applyFont="1" applyFill="1" applyAlignment="1">
      <alignment horizontal="center" vertical="center" wrapText="1"/>
    </xf>
    <xf numFmtId="49" fontId="7" fillId="11" borderId="0" xfId="0" applyNumberFormat="1" applyFont="1" applyFill="1" applyAlignment="1">
      <alignment horizontal="center" vertical="center" wrapText="1"/>
    </xf>
    <xf numFmtId="164" fontId="7" fillId="12" borderId="0" xfId="0" applyNumberFormat="1" applyFont="1" applyFill="1" applyAlignment="1">
      <alignment horizontal="center" vertical="center" wrapText="1"/>
    </xf>
    <xf numFmtId="164" fontId="7" fillId="7" borderId="0" xfId="0" applyNumberFormat="1" applyFont="1" applyFill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164" fontId="7" fillId="7" borderId="14" xfId="0" applyNumberFormat="1" applyFont="1" applyFill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 vertical="top" wrapText="1"/>
    </xf>
    <xf numFmtId="165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2" fontId="7" fillId="0" borderId="0" xfId="0" applyNumberFormat="1" applyFont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0" fillId="8" borderId="0" xfId="0" applyNumberFormat="1" applyFill="1" applyAlignment="1">
      <alignment horizontal="center" vertical="center" wrapText="1"/>
    </xf>
    <xf numFmtId="2" fontId="0" fillId="0" borderId="0" xfId="0" applyNumberFormat="1"/>
    <xf numFmtId="0" fontId="0" fillId="9" borderId="0" xfId="0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7" fillId="12" borderId="19" xfId="0" applyNumberFormat="1" applyFont="1" applyFill="1" applyBorder="1" applyAlignment="1">
      <alignment horizontal="center" vertical="center" wrapText="1"/>
    </xf>
    <xf numFmtId="0" fontId="0" fillId="0" borderId="19" xfId="0" applyBorder="1"/>
    <xf numFmtId="0" fontId="0" fillId="2" borderId="0" xfId="0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e" xfId="0" builtinId="0"/>
  </cellStyles>
  <dxfs count="6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color auto="1"/>
      </font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165" formatCode="0.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numFmt numFmtId="164" formatCode="0.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Dataset!$E$2:$E$28</c:f>
              <c:numCache>
                <c:formatCode>0.0E+00</c:formatCode>
                <c:ptCount val="27"/>
                <c:pt idx="0">
                  <c:v>10000000</c:v>
                </c:pt>
                <c:pt idx="1">
                  <c:v>10000001</c:v>
                </c:pt>
                <c:pt idx="2">
                  <c:v>10000002</c:v>
                </c:pt>
                <c:pt idx="3">
                  <c:v>10000003</c:v>
                </c:pt>
                <c:pt idx="4">
                  <c:v>10000004</c:v>
                </c:pt>
                <c:pt idx="5">
                  <c:v>10000005</c:v>
                </c:pt>
                <c:pt idx="6">
                  <c:v>10000006</c:v>
                </c:pt>
                <c:pt idx="7">
                  <c:v>10000007</c:v>
                </c:pt>
                <c:pt idx="8">
                  <c:v>10000008</c:v>
                </c:pt>
                <c:pt idx="9">
                  <c:v>10000009</c:v>
                </c:pt>
                <c:pt idx="10">
                  <c:v>10000010</c:v>
                </c:pt>
                <c:pt idx="11">
                  <c:v>10000011</c:v>
                </c:pt>
                <c:pt idx="12">
                  <c:v>10000012</c:v>
                </c:pt>
                <c:pt idx="13">
                  <c:v>10000013</c:v>
                </c:pt>
                <c:pt idx="14">
                  <c:v>10000014</c:v>
                </c:pt>
                <c:pt idx="15">
                  <c:v>10000015</c:v>
                </c:pt>
                <c:pt idx="16">
                  <c:v>10000016</c:v>
                </c:pt>
                <c:pt idx="17">
                  <c:v>10000017</c:v>
                </c:pt>
                <c:pt idx="18">
                  <c:v>10000018</c:v>
                </c:pt>
                <c:pt idx="19">
                  <c:v>10000019</c:v>
                </c:pt>
                <c:pt idx="20">
                  <c:v>10000020</c:v>
                </c:pt>
                <c:pt idx="21">
                  <c:v>10000021</c:v>
                </c:pt>
                <c:pt idx="22">
                  <c:v>10000022</c:v>
                </c:pt>
                <c:pt idx="23">
                  <c:v>10000023</c:v>
                </c:pt>
                <c:pt idx="24">
                  <c:v>10000024</c:v>
                </c:pt>
                <c:pt idx="25">
                  <c:v>10000025</c:v>
                </c:pt>
                <c:pt idx="26">
                  <c:v>10000026</c:v>
                </c:pt>
              </c:numCache>
            </c:numRef>
          </c:xVal>
          <c:yVal>
            <c:numRef>
              <c:f>Dataset!$AQ$2:$AQ$28</c:f>
              <c:numCache>
                <c:formatCode>0.00</c:formatCode>
                <c:ptCount val="27"/>
                <c:pt idx="0">
                  <c:v>552.9</c:v>
                </c:pt>
                <c:pt idx="1">
                  <c:v>532.79999999999995</c:v>
                </c:pt>
                <c:pt idx="2">
                  <c:v>587.16522376584942</c:v>
                </c:pt>
                <c:pt idx="3">
                  <c:v>595.13265748066624</c:v>
                </c:pt>
                <c:pt idx="4">
                  <c:v>549.79999999999995</c:v>
                </c:pt>
                <c:pt idx="5">
                  <c:v>540.5</c:v>
                </c:pt>
                <c:pt idx="6">
                  <c:v>556</c:v>
                </c:pt>
                <c:pt idx="7">
                  <c:v>556</c:v>
                </c:pt>
                <c:pt idx="8">
                  <c:v>469.5</c:v>
                </c:pt>
                <c:pt idx="9">
                  <c:v>476.6</c:v>
                </c:pt>
                <c:pt idx="10">
                  <c:v>540.39985196148973</c:v>
                </c:pt>
                <c:pt idx="11">
                  <c:v>492.24883951107489</c:v>
                </c:pt>
                <c:pt idx="12">
                  <c:v>527.06306074320935</c:v>
                </c:pt>
                <c:pt idx="13">
                  <c:v>486.87948200761139</c:v>
                </c:pt>
                <c:pt idx="14">
                  <c:v>535.03049445802617</c:v>
                </c:pt>
                <c:pt idx="15">
                  <c:v>508.18370694070853</c:v>
                </c:pt>
                <c:pt idx="16">
                  <c:v>610.54422444242311</c:v>
                </c:pt>
                <c:pt idx="17">
                  <c:v>594.55646493836059</c:v>
                </c:pt>
                <c:pt idx="18">
                  <c:v>605.64950260030753</c:v>
                </c:pt>
                <c:pt idx="19">
                  <c:v>555.85944266513991</c:v>
                </c:pt>
                <c:pt idx="20">
                  <c:v>571.70913059002305</c:v>
                </c:pt>
                <c:pt idx="21">
                  <c:v>580.60482257728449</c:v>
                </c:pt>
                <c:pt idx="22">
                  <c:v>477.24865636269737</c:v>
                </c:pt>
                <c:pt idx="23">
                  <c:v>481.23591927452799</c:v>
                </c:pt>
                <c:pt idx="24">
                  <c:v>453.96721247244272</c:v>
                </c:pt>
                <c:pt idx="25">
                  <c:v>589.38479790371252</c:v>
                </c:pt>
                <c:pt idx="26">
                  <c:v>585.91511330567334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40" dataDxfId="39">
  <autoFilter ref="A1:M5" xr:uid="{7EB9CA7B-F9F7-4B65-BAF9-0554C4DD3A3C}"/>
  <tableColumns count="13">
    <tableColumn id="1" xr3:uid="{8E3D1E9D-FBEE-441F-8710-5037CD4F23F4}" name="Article DOI / Reference" dataDxfId="38"/>
    <tableColumn id="11" xr3:uid="{DB748F3A-E0FD-40A7-AD76-C03A14000D6D}" name="Authors" dataDxfId="37"/>
    <tableColumn id="8" xr3:uid="{5AA73CAD-51B7-41DD-94EB-F60F774B9687}" name="Article year" dataDxfId="36"/>
    <tableColumn id="2" xr3:uid="{06FA6682-59D0-409F-9A0C-E6CD1808F355}" name="Material name" dataDxfId="35"/>
    <tableColumn id="3" xr3:uid="{576FC30A-97BD-425F-92F2-9A2823474F7C}" name="Young's modulus (MPa)" dataDxfId="34"/>
    <tableColumn id="4" xr3:uid="{63CF6BC0-ABE3-408E-84A9-EDA0B421D7E2}" name="Poisson's ratio (-)" dataDxfId="33"/>
    <tableColumn id="5" xr3:uid="{BF08D467-4D62-4CAB-A94F-0030F94E8A2E}" name="Tensile strength (MPa)" dataDxfId="32"/>
    <tableColumn id="6" xr3:uid="{CDCD2563-ECD7-4843-B859-5F7762FE830B}" name="Yield strength (MPa)" dataDxfId="31"/>
    <tableColumn id="7" xr3:uid="{7991DD6F-6040-4C6F-AEB4-2211698F999C}" name="Tensile fatigue limit (MPa)" dataDxfId="30"/>
    <tableColumn id="9" xr3:uid="{C339353B-B530-41A6-97D0-BD9E3EFB3E1B}" name="Torsional fatigue limit (MPa)" dataDxfId="29">
      <calculatedColumnFormula>845/2</calculatedColumnFormula>
    </tableColumn>
    <tableColumn id="13" xr3:uid="{61EEDB63-8EB1-4E68-8C73-6F3D35C9EEF7}" name="Number of Cycles (cycles)" dataDxfId="28"/>
    <tableColumn id="12" xr3:uid="{5EB3D6EA-60A8-471D-AB0E-73C0B9E22DD2}" name="Stress ratio R" dataDxfId="27"/>
    <tableColumn id="10" xr3:uid="{EC242BA9-DE01-42A2-8C6C-75459CDE529E}" name="K" dataDxfId="26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28" totalsRowShown="0" headerRowDxfId="59" dataDxfId="58">
  <autoFilter ref="A1:AQ28" xr:uid="{86243907-AA5D-4F4D-8699-490D77B21127}"/>
  <tableColumns count="43">
    <tableColumn id="31" xr3:uid="{05937513-BC98-44D1-A5DC-F19589B15DDF}" name="Authors" dataDxfId="25"/>
    <tableColumn id="32" xr3:uid="{DCBCBA66-A67E-429B-A752-67A81643133E}" name="Article year" dataDxfId="24"/>
    <tableColumn id="1" xr3:uid="{D75788C8-C867-4D50-A818-DADFA5044830}" name="Article DOI / Reference" dataDxfId="23"/>
    <tableColumn id="30" xr3:uid="{FA5CACDD-A594-4207-9BA7-C7F165153D5B}" name="Specimen name" dataDxfId="22"/>
    <tableColumn id="2" xr3:uid="{19DD8629-B305-4804-A689-1057FBADF71C}" name="Number of cycles to failure" dataDxfId="21"/>
    <tableColumn id="4" xr3:uid="{27575528-FAA3-4B4C-8860-7A7CFCB79DBE}" name="Run out (Yes/No)" dataDxfId="20"/>
    <tableColumn id="3" xr3:uid="{0CF78E1F-0EC3-474A-B3FD-519C01702157}" name="Failure type (complete rupture/stiffness decrease)" dataDxfId="19"/>
    <tableColumn id="26" xr3:uid="{05D9D755-9B11-40C9-8DCB-B9E39E20FA04}" name="Geometry picture" dataDxfId="0"/>
    <tableColumn id="33" xr3:uid="{936299CD-E030-4427-B1AB-D5CB204A04BE}" name="Geometry type (flat/cylindrical/hollow cylinder)" dataDxfId="18"/>
    <tableColumn id="34" xr3:uid="{09266E8F-9B14-40D4-88AB-80CC92F93BA2}" name="Notched" dataDxfId="17"/>
    <tableColumn id="39" xr3:uid="{108E1228-D670-44CE-87DA-2A1B0D22E417}" name="A (mm)" dataDxfId="16"/>
    <tableColumn id="38" xr3:uid="{D6414C63-3F42-4BCA-BB3F-506FCA7B7866}" name="B (mm)" dataDxfId="15"/>
    <tableColumn id="37" xr3:uid="{8138AA3A-CE2D-441D-907D-E35AD875EC90}" name="Hole diameter (mm)" dataDxfId="14"/>
    <tableColumn id="27" xr3:uid="{D5A8CCC0-542A-450B-8F88-B47472F29E40}" name="Diameter (mm)" dataDxfId="13"/>
    <tableColumn id="28" xr3:uid="{36725B61-E4CB-4B7E-AF40-7F3BC6BE6CB3}" name="Area (mm^2)" dataDxfId="57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56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55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54"/>
    <tableColumn id="40" xr3:uid="{FF54B50E-D6C4-4EF8-BED6-8558889E32B3}" name="Phase AXIAL load (°)" dataDxfId="53"/>
    <tableColumn id="22" xr3:uid="{9A8358C3-645B-4F7B-A800-BF2013564F31}" name="Phase TORSIONAL load (°)" dataDxfId="52"/>
    <tableColumn id="43" xr3:uid="{32E76D00-2B52-4D17-881F-6CB825346CD9}" name="Freq RADIAL load [Hz]" dataDxfId="12"/>
    <tableColumn id="42" xr3:uid="{A0DFAB77-F821-4A7F-A0A1-75075998D45D}" name="Freq AXIAL load[Hz]" dataDxfId="11"/>
    <tableColumn id="41" xr3:uid="{DEC77E42-D985-463A-B500-A8E16CF67856}" name="Freq TORSIONAL load [Hz]" dataDxfId="10"/>
    <tableColumn id="23" xr3:uid="{9724DA05-688A-43E5-9AAC-5035994CD3C7}" name="Load ratio (RADIAL)" dataDxfId="5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4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2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3"/>
    <tableColumn id="6" xr3:uid="{CFA41242-20EF-4D5D-9025-FC3F232CBE04}" name="Amplitute RADIAL stress  (MPa)" dataDxfId="51"/>
    <tableColumn id="16" xr3:uid="{F37D511D-F078-4171-84FD-3AE13D4078DC}" name="Mean AXIAL stress  (MPa)" dataDxfId="9"/>
    <tableColumn id="8" xr3:uid="{933ACC34-FA80-47BE-87CF-5D7D742564A2}" name="Amplitute AXIAL stress  (MPa)" dataDxfId="8"/>
    <tableColumn id="44" xr3:uid="{460C3648-EA91-4BC9-8C0D-58B3E19E1ED3}" name="derived from (AXIAL/BENDING) load" dataDxfId="50"/>
    <tableColumn id="19" xr3:uid="{06584471-CEAD-405D-A12E-5A2E79E8CA33}" name="Mean SHEAR stress  (MPa)" dataDxfId="7"/>
    <tableColumn id="10" xr3:uid="{2FCDB52E-3BD8-4D04-8689-303C003D64AE}" name="Amplitute SHEAR stress  (MPa)" dataDxfId="6"/>
    <tableColumn id="36" xr3:uid="{EF2440ED-01F8-493F-BD7F-BDBCFC67F43F}" name="Mean internal PRESSURE  (MPa)" dataDxfId="1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49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48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47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46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45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44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43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42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41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A7" zoomScaleNormal="100" workbookViewId="0">
      <selection activeCell="B10" sqref="B10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62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45" t="s">
        <v>65</v>
      </c>
      <c r="B2" s="1" t="s">
        <v>66</v>
      </c>
      <c r="C2" s="1">
        <v>1950</v>
      </c>
      <c r="D2" s="1" t="s">
        <v>67</v>
      </c>
      <c r="E2" s="1">
        <v>162000</v>
      </c>
      <c r="F2" s="1">
        <v>0.3</v>
      </c>
      <c r="G2" s="1">
        <v>815</v>
      </c>
      <c r="H2" s="1">
        <v>516</v>
      </c>
      <c r="I2" s="1">
        <v>275</v>
      </c>
      <c r="J2" s="1">
        <v>249</v>
      </c>
      <c r="K2" s="10">
        <v>10000000</v>
      </c>
      <c r="L2" s="1">
        <v>-1</v>
      </c>
      <c r="M2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1.1044176706827309</v>
      </c>
    </row>
    <row r="3" spans="1:13" ht="20.100000000000001" customHeight="1" x14ac:dyDescent="0.25">
      <c r="A3" s="13"/>
      <c r="B3" s="1"/>
      <c r="C3" s="1"/>
      <c r="D3" s="1"/>
      <c r="E3" s="1"/>
      <c r="F3" s="1"/>
      <c r="G3" s="1"/>
      <c r="H3" s="1"/>
      <c r="I3" s="1"/>
      <c r="J3" s="1"/>
      <c r="K3" s="10"/>
      <c r="L3" s="1"/>
      <c r="M3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58" t="s">
        <v>24</v>
      </c>
      <c r="B6" s="59"/>
      <c r="C6" s="59"/>
      <c r="D6" s="60"/>
      <c r="E6" s="3">
        <f>IF(COUNT(Tabella1[Young''s modulus (MPa)])=0, "Null", AVERAGE(Tabella1[Young''s modulus (MPa)]))</f>
        <v>162000</v>
      </c>
      <c r="F6" s="3">
        <f>IF(COUNT(Tabella1[Poisson''s ratio (-)])=0, "Null", AVERAGE(Tabella1[Poisson''s ratio (-)]))</f>
        <v>0.3</v>
      </c>
      <c r="G6" s="3">
        <f>IF(COUNT(Tabella1[Tensile strength (MPa)])=0, "Null", AVERAGE(Tabella1[Tensile strength (MPa)]))</f>
        <v>815</v>
      </c>
      <c r="H6" s="3">
        <f>IF(COUNT(Tabella1[Yield strength (MPa)])=0, "Null", AVERAGE(Tabella1[Yield strength (MPa)]))</f>
        <v>516</v>
      </c>
      <c r="I6" s="3">
        <f>IF(COUNT(Tabella1[Tensile fatigue limit (MPa)])=0, "Null", AVERAGE(Tabella1[Tensile fatigue limit (MPa)]))</f>
        <v>275</v>
      </c>
      <c r="J6" s="3">
        <f>IF(COUNT(Tabella1[Torsional fatigue limit (MPa)])=0, "Null", AVERAGE(Tabella1[Torsional fatigue limit (MPa)]))</f>
        <v>249</v>
      </c>
      <c r="K6" s="11"/>
      <c r="L6" s="9"/>
      <c r="M6" s="15">
        <f>IF(COUNT(Tabella1[K])=0, "Null", AVERAGE(Tabella1[K]))</f>
        <v>1.1044176706827309</v>
      </c>
    </row>
    <row r="7" spans="1:13" ht="20.100000000000001" customHeight="1" thickBot="1" x14ac:dyDescent="0.3">
      <c r="A7" s="61" t="s">
        <v>23</v>
      </c>
      <c r="B7" s="62"/>
      <c r="C7" s="62"/>
      <c r="D7" s="63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0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64" t="s">
        <v>29</v>
      </c>
      <c r="B13" s="5" t="s">
        <v>30</v>
      </c>
    </row>
    <row r="14" spans="1:13" ht="20.100000000000001" customHeight="1" thickBot="1" x14ac:dyDescent="0.3">
      <c r="A14" s="65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27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tabSelected="1" topLeftCell="AF1" zoomScale="70" zoomScaleNormal="70" workbookViewId="0">
      <pane ySplit="1" topLeftCell="A2" activePane="bottomLeft" state="frozen"/>
      <selection activeCell="B1" sqref="B1"/>
      <selection pane="bottomLeft" activeCell="C30" sqref="C30"/>
    </sheetView>
  </sheetViews>
  <sheetFormatPr defaultColWidth="52.7109375" defaultRowHeight="15" x14ac:dyDescent="0.25"/>
  <cols>
    <col min="1" max="1" width="32.42578125" style="1" customWidth="1"/>
    <col min="2" max="2" width="25.5703125" style="1" customWidth="1"/>
    <col min="3" max="3" width="40.42578125" style="1" customWidth="1"/>
    <col min="4" max="4" width="54" style="1" customWidth="1"/>
    <col min="5" max="5" width="32.85546875" style="14" customWidth="1"/>
    <col min="6" max="6" width="24.5703125" style="1" customWidth="1"/>
    <col min="7" max="7" width="49.140625" style="77" customWidth="1"/>
    <col min="8" max="8" width="28.7109375" style="82" customWidth="1"/>
    <col min="9" max="9" width="63.5703125" style="1" customWidth="1"/>
    <col min="10" max="10" width="31.28515625" style="1" customWidth="1"/>
    <col min="11" max="11" width="26.5703125" style="1" customWidth="1"/>
    <col min="12" max="12" width="28" style="1" customWidth="1"/>
    <col min="13" max="13" width="35" style="1" customWidth="1"/>
    <col min="14" max="14" width="31.85546875" style="1" customWidth="1"/>
    <col min="15" max="15" width="35" style="1" customWidth="1"/>
    <col min="16" max="16" width="49.42578125" style="1" customWidth="1"/>
    <col min="17" max="17" width="53.140625" style="21" customWidth="1"/>
    <col min="18" max="18" width="42.140625" style="1" customWidth="1"/>
    <col min="19" max="19" width="33.5703125" style="1" customWidth="1"/>
    <col min="20" max="20" width="38.42578125" style="1" customWidth="1"/>
    <col min="21" max="21" width="37.140625" style="26" customWidth="1"/>
    <col min="22" max="22" width="40.7109375" style="31" customWidth="1"/>
    <col min="23" max="23" width="40" style="31" customWidth="1"/>
    <col min="24" max="24" width="35.140625" style="1" customWidth="1"/>
    <col min="25" max="25" width="34.28515625" style="14" customWidth="1"/>
    <col min="26" max="26" width="41.42578125" style="14" customWidth="1"/>
    <col min="27" max="27" width="28.7109375" style="52" customWidth="1"/>
    <col min="28" max="28" width="29.5703125" style="27" customWidth="1"/>
    <col min="29" max="29" width="27.42578125" style="27" customWidth="1"/>
    <col min="30" max="30" width="30.140625" style="27" customWidth="1"/>
    <col min="31" max="31" width="30.85546875" style="31" customWidth="1"/>
    <col min="32" max="32" width="25" style="27" customWidth="1"/>
    <col min="33" max="33" width="30.28515625" style="77" customWidth="1"/>
    <col min="34" max="34" width="28.5703125" style="52" customWidth="1"/>
    <col min="35" max="35" width="29.28515625" style="27" customWidth="1"/>
    <col min="36" max="36" width="20.140625" style="27" customWidth="1"/>
    <col min="37" max="37" width="23.140625" style="27" customWidth="1"/>
    <col min="38" max="38" width="23.28515625" style="27" customWidth="1"/>
    <col min="39" max="39" width="25.85546875" style="27" customWidth="1"/>
    <col min="40" max="40" width="23.85546875" style="27" customWidth="1"/>
    <col min="41" max="41" width="24" style="22" customWidth="1"/>
    <col min="42" max="42" width="34" style="43" customWidth="1"/>
    <col min="43" max="43" width="52.7109375" style="14"/>
    <col min="44" max="16384" width="52.7109375" style="1"/>
  </cols>
  <sheetData>
    <row r="1" spans="1:43" s="25" customFormat="1" ht="44.25" customHeight="1" x14ac:dyDescent="0.25">
      <c r="A1" s="24" t="s">
        <v>26</v>
      </c>
      <c r="B1" s="24" t="s">
        <v>25</v>
      </c>
      <c r="C1" s="24" t="s">
        <v>62</v>
      </c>
      <c r="D1" s="24" t="s">
        <v>19</v>
      </c>
      <c r="E1" s="46" t="s">
        <v>5</v>
      </c>
      <c r="F1" s="24" t="s">
        <v>6</v>
      </c>
      <c r="G1" s="80" t="s">
        <v>18</v>
      </c>
      <c r="H1" s="81" t="s">
        <v>16</v>
      </c>
      <c r="I1" s="30" t="s">
        <v>45</v>
      </c>
      <c r="J1" s="30" t="s">
        <v>28</v>
      </c>
      <c r="K1" s="36" t="s">
        <v>42</v>
      </c>
      <c r="L1" s="36" t="s">
        <v>43</v>
      </c>
      <c r="M1" s="36" t="s">
        <v>44</v>
      </c>
      <c r="N1" s="30" t="s">
        <v>17</v>
      </c>
      <c r="O1" s="37" t="s">
        <v>33</v>
      </c>
      <c r="P1" s="37" t="s">
        <v>59</v>
      </c>
      <c r="Q1" s="29" t="s">
        <v>58</v>
      </c>
      <c r="R1" s="28" t="s">
        <v>46</v>
      </c>
      <c r="S1" s="28" t="s">
        <v>47</v>
      </c>
      <c r="T1" s="28" t="s">
        <v>48</v>
      </c>
      <c r="U1" s="53" t="s">
        <v>49</v>
      </c>
      <c r="V1" s="38" t="s">
        <v>50</v>
      </c>
      <c r="W1" s="38" t="s">
        <v>51</v>
      </c>
      <c r="X1" s="33" t="s">
        <v>14</v>
      </c>
      <c r="Y1" s="73" t="s">
        <v>52</v>
      </c>
      <c r="Z1" s="73" t="s">
        <v>15</v>
      </c>
      <c r="AA1" s="56" t="s">
        <v>7</v>
      </c>
      <c r="AB1" s="44" t="s">
        <v>8</v>
      </c>
      <c r="AC1" s="44" t="s">
        <v>53</v>
      </c>
      <c r="AD1" s="44" t="s">
        <v>54</v>
      </c>
      <c r="AE1" s="49" t="s">
        <v>57</v>
      </c>
      <c r="AF1" s="48" t="s">
        <v>9</v>
      </c>
      <c r="AG1" s="75" t="s">
        <v>10</v>
      </c>
      <c r="AH1" s="78" t="s">
        <v>55</v>
      </c>
      <c r="AI1" s="51" t="s">
        <v>56</v>
      </c>
      <c r="AJ1" s="50" t="s">
        <v>60</v>
      </c>
      <c r="AK1" s="51" t="s">
        <v>64</v>
      </c>
      <c r="AL1" s="50" t="s">
        <v>35</v>
      </c>
      <c r="AM1" s="51" t="s">
        <v>36</v>
      </c>
      <c r="AN1" s="50" t="s">
        <v>12</v>
      </c>
      <c r="AO1" s="55" t="s">
        <v>11</v>
      </c>
      <c r="AP1" s="40" t="s">
        <v>13</v>
      </c>
      <c r="AQ1" s="57" t="s">
        <v>63</v>
      </c>
    </row>
    <row r="2" spans="1:43" ht="20.100000000000001" customHeight="1" x14ac:dyDescent="0.25">
      <c r="A2" s="1" t="s">
        <v>68</v>
      </c>
      <c r="B2" s="1">
        <v>1950</v>
      </c>
      <c r="C2" s="45" t="s">
        <v>65</v>
      </c>
      <c r="D2" s="1" t="s">
        <v>69</v>
      </c>
      <c r="E2" s="66">
        <v>10000000</v>
      </c>
      <c r="F2" s="1" t="s">
        <v>32</v>
      </c>
      <c r="G2" s="67" t="s">
        <v>41</v>
      </c>
      <c r="H2" s="82" t="e" vm="1">
        <v>#VALUE!</v>
      </c>
      <c r="I2" s="1" t="s">
        <v>27</v>
      </c>
      <c r="J2" s="1" t="s">
        <v>20</v>
      </c>
      <c r="K2" s="1" t="s">
        <v>21</v>
      </c>
      <c r="L2" s="1" t="s">
        <v>21</v>
      </c>
      <c r="M2" s="1">
        <v>0</v>
      </c>
      <c r="N2" s="71">
        <v>7.62</v>
      </c>
      <c r="O2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" s="1">
        <v>0</v>
      </c>
      <c r="S2" s="1">
        <v>0</v>
      </c>
      <c r="T2" s="1">
        <v>0</v>
      </c>
      <c r="U2" s="26">
        <v>36</v>
      </c>
      <c r="V2" s="31">
        <v>36</v>
      </c>
      <c r="W2" s="31">
        <v>36</v>
      </c>
      <c r="X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-0.34968875869644822</v>
      </c>
      <c r="Z2" s="14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52">
        <v>0</v>
      </c>
      <c r="AB2" s="27">
        <v>0</v>
      </c>
      <c r="AC2" s="1">
        <v>266.39999999999998</v>
      </c>
      <c r="AD2" s="1">
        <v>552.9</v>
      </c>
      <c r="AE2" s="31" t="s">
        <v>61</v>
      </c>
      <c r="AF2" s="1">
        <v>0</v>
      </c>
      <c r="AG2" s="1">
        <v>0</v>
      </c>
      <c r="AH2" s="52">
        <f>IF(ISNUMBER(Tabella2[[#This Row],[Mean RADIAL stress  (MPa)]]), Tabella2[[#This Row],[Mean RADIAL stress  (MPa)]],"")</f>
        <v>0</v>
      </c>
      <c r="AI2" s="27">
        <f>IF(ISNUMBER(Tabella2[[#This Row],[Amplitute RADIAL stress  (MPa)]]), Tabella2[[#This Row],[Amplitute RADIAL stress  (MPa)]],"")</f>
        <v>0</v>
      </c>
      <c r="AJ2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2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25214.270867370582</v>
      </c>
      <c r="AL2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552.9</v>
      </c>
    </row>
    <row r="3" spans="1:43" ht="20.100000000000001" customHeight="1" x14ac:dyDescent="0.25">
      <c r="A3" s="1" t="s">
        <v>68</v>
      </c>
      <c r="B3" s="1">
        <v>1950</v>
      </c>
      <c r="C3" s="45" t="s">
        <v>65</v>
      </c>
      <c r="D3" s="1" t="s">
        <v>69</v>
      </c>
      <c r="E3" s="66">
        <v>10000001</v>
      </c>
      <c r="F3" s="1" t="s">
        <v>32</v>
      </c>
      <c r="G3" s="67" t="s">
        <v>41</v>
      </c>
      <c r="H3" s="82" t="e" vm="1">
        <v>#VALUE!</v>
      </c>
      <c r="I3" s="1" t="s">
        <v>27</v>
      </c>
      <c r="J3" s="1" t="s">
        <v>20</v>
      </c>
      <c r="K3" s="1" t="s">
        <v>21</v>
      </c>
      <c r="L3" s="1" t="s">
        <v>21</v>
      </c>
      <c r="M3" s="1">
        <v>0</v>
      </c>
      <c r="N3" s="71">
        <v>7.62</v>
      </c>
      <c r="O3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3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3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3" s="1">
        <v>0</v>
      </c>
      <c r="S3" s="1">
        <v>0</v>
      </c>
      <c r="T3" s="1">
        <v>0</v>
      </c>
      <c r="U3" s="26">
        <v>36</v>
      </c>
      <c r="V3" s="31">
        <v>36</v>
      </c>
      <c r="W3" s="31">
        <v>36</v>
      </c>
      <c r="X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</v>
      </c>
      <c r="Z3" s="14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52">
        <v>0</v>
      </c>
      <c r="AB3" s="27">
        <v>0</v>
      </c>
      <c r="AC3" s="1">
        <v>532.79999999999995</v>
      </c>
      <c r="AD3" s="1">
        <v>532.79999999999995</v>
      </c>
      <c r="AE3" s="31" t="s">
        <v>61</v>
      </c>
      <c r="AF3" s="1">
        <v>0</v>
      </c>
      <c r="AG3" s="1">
        <v>0</v>
      </c>
      <c r="AH3" s="52">
        <f>IF(ISNUMBER(Tabella2[[#This Row],[Mean RADIAL stress  (MPa)]]), Tabella2[[#This Row],[Mean RADIAL stress  (MPa)]],"")</f>
        <v>0</v>
      </c>
      <c r="AI3" s="27">
        <f>IF(ISNUMBER(Tabella2[[#This Row],[Amplitute RADIAL stress  (MPa)]]), Tabella2[[#This Row],[Amplitute RADIAL stress  (MPa)]],"")</f>
        <v>0</v>
      </c>
      <c r="AJ3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3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24297.637037683209</v>
      </c>
      <c r="AL3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532.79999999999995</v>
      </c>
    </row>
    <row r="4" spans="1:43" ht="20.100000000000001" customHeight="1" x14ac:dyDescent="0.25">
      <c r="A4" s="1" t="s">
        <v>68</v>
      </c>
      <c r="B4" s="1">
        <v>1950</v>
      </c>
      <c r="C4" s="45" t="s">
        <v>65</v>
      </c>
      <c r="D4" s="1" t="s">
        <v>69</v>
      </c>
      <c r="E4" s="66">
        <v>10000002</v>
      </c>
      <c r="F4" s="1" t="s">
        <v>32</v>
      </c>
      <c r="G4" s="67" t="s">
        <v>41</v>
      </c>
      <c r="H4" s="82" t="e" vm="1">
        <v>#VALUE!</v>
      </c>
      <c r="I4" s="1" t="s">
        <v>27</v>
      </c>
      <c r="J4" s="1" t="s">
        <v>20</v>
      </c>
      <c r="K4" s="1" t="s">
        <v>21</v>
      </c>
      <c r="L4" s="1" t="s">
        <v>21</v>
      </c>
      <c r="M4" s="1">
        <v>0</v>
      </c>
      <c r="N4" s="71">
        <v>7.62</v>
      </c>
      <c r="O4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4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4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4" s="1">
        <v>0</v>
      </c>
      <c r="S4" s="1">
        <v>0</v>
      </c>
      <c r="T4" s="1">
        <v>0</v>
      </c>
      <c r="U4" s="26">
        <v>36</v>
      </c>
      <c r="V4" s="31">
        <v>36</v>
      </c>
      <c r="W4" s="31">
        <v>36</v>
      </c>
      <c r="X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14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4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-0.33228532128119476</v>
      </c>
      <c r="AA4" s="52">
        <v>0</v>
      </c>
      <c r="AB4" s="27">
        <v>0</v>
      </c>
      <c r="AC4" s="1">
        <v>0</v>
      </c>
      <c r="AD4" s="1">
        <v>0</v>
      </c>
      <c r="AE4" s="31" t="s">
        <v>61</v>
      </c>
      <c r="AF4" s="1">
        <v>169.9</v>
      </c>
      <c r="AG4" s="1">
        <v>339</v>
      </c>
      <c r="AH4" s="52">
        <f>IF(ISNUMBER(Tabella2[[#This Row],[Mean RADIAL stress  (MPa)]]), Tabella2[[#This Row],[Mean RADIAL stress  (MPa)]],"")</f>
        <v>0</v>
      </c>
      <c r="AI4" s="27">
        <f>IF(ISNUMBER(Tabella2[[#This Row],[Amplitute RADIAL stress  (MPa)]]), Tabella2[[#This Row],[Amplitute RADIAL stress  (MPa)]],"")</f>
        <v>0</v>
      </c>
      <c r="AJ4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4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4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29450.624081739174</v>
      </c>
      <c r="AP4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587.16522376584942</v>
      </c>
    </row>
    <row r="5" spans="1:43" ht="20.100000000000001" customHeight="1" x14ac:dyDescent="0.25">
      <c r="A5" s="1" t="s">
        <v>68</v>
      </c>
      <c r="B5" s="1">
        <v>1950</v>
      </c>
      <c r="C5" s="45" t="s">
        <v>65</v>
      </c>
      <c r="D5" s="1" t="s">
        <v>69</v>
      </c>
      <c r="E5" s="66">
        <v>10000003</v>
      </c>
      <c r="F5" s="1" t="s">
        <v>32</v>
      </c>
      <c r="G5" s="67" t="s">
        <v>41</v>
      </c>
      <c r="H5" s="82" t="e" vm="1">
        <v>#VALUE!</v>
      </c>
      <c r="I5" s="1" t="s">
        <v>27</v>
      </c>
      <c r="J5" s="1" t="s">
        <v>20</v>
      </c>
      <c r="K5" s="1" t="s">
        <v>21</v>
      </c>
      <c r="L5" s="1" t="s">
        <v>21</v>
      </c>
      <c r="M5" s="1">
        <v>0</v>
      </c>
      <c r="N5" s="71">
        <v>7.62</v>
      </c>
      <c r="O5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5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5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5" s="1">
        <v>0</v>
      </c>
      <c r="S5" s="1">
        <v>0</v>
      </c>
      <c r="T5" s="1">
        <v>0</v>
      </c>
      <c r="U5" s="26">
        <v>36</v>
      </c>
      <c r="V5" s="31">
        <v>36</v>
      </c>
      <c r="W5" s="31">
        <v>36</v>
      </c>
      <c r="X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14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5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</v>
      </c>
      <c r="AA5" s="52">
        <v>0</v>
      </c>
      <c r="AB5" s="27">
        <v>0</v>
      </c>
      <c r="AC5" s="1">
        <v>0</v>
      </c>
      <c r="AD5" s="1">
        <v>0</v>
      </c>
      <c r="AE5" s="31" t="s">
        <v>61</v>
      </c>
      <c r="AF5" s="1">
        <v>343.6</v>
      </c>
      <c r="AG5" s="1">
        <v>343.6</v>
      </c>
      <c r="AH5" s="52">
        <f>IF(ISNUMBER(Tabella2[[#This Row],[Mean RADIAL stress  (MPa)]]), Tabella2[[#This Row],[Mean RADIAL stress  (MPa)]],"")</f>
        <v>0</v>
      </c>
      <c r="AI5" s="27">
        <f>IF(ISNUMBER(Tabella2[[#This Row],[Amplitute RADIAL stress  (MPa)]]), Tabella2[[#This Row],[Amplitute RADIAL stress  (MPa)]],"")</f>
        <v>0</v>
      </c>
      <c r="AJ5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5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5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29850.249069278994</v>
      </c>
      <c r="AP5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595.13265748066624</v>
      </c>
    </row>
    <row r="6" spans="1:43" ht="20.100000000000001" customHeight="1" x14ac:dyDescent="0.25">
      <c r="A6" s="1" t="s">
        <v>68</v>
      </c>
      <c r="B6" s="1">
        <v>1950</v>
      </c>
      <c r="C6" s="45" t="s">
        <v>65</v>
      </c>
      <c r="D6" s="1" t="s">
        <v>69</v>
      </c>
      <c r="E6" s="66">
        <v>10000004</v>
      </c>
      <c r="F6" s="1" t="s">
        <v>32</v>
      </c>
      <c r="G6" s="67" t="s">
        <v>41</v>
      </c>
      <c r="H6" s="82" t="e" vm="2">
        <v>#VALUE!</v>
      </c>
      <c r="I6" s="1" t="s">
        <v>27</v>
      </c>
      <c r="J6" s="1" t="s">
        <v>20</v>
      </c>
      <c r="K6" s="1" t="s">
        <v>21</v>
      </c>
      <c r="L6" s="1" t="s">
        <v>21</v>
      </c>
      <c r="M6" s="1">
        <v>0</v>
      </c>
      <c r="N6" s="71">
        <v>7.62</v>
      </c>
      <c r="O6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6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6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6" s="1">
        <v>0</v>
      </c>
      <c r="S6" s="1">
        <v>0</v>
      </c>
      <c r="T6" s="1">
        <v>0</v>
      </c>
      <c r="U6" s="26">
        <v>36</v>
      </c>
      <c r="V6" s="31">
        <v>36</v>
      </c>
      <c r="W6" s="31">
        <v>36</v>
      </c>
      <c r="X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1</v>
      </c>
      <c r="AA6" s="52">
        <v>0</v>
      </c>
      <c r="AB6" s="27">
        <v>0</v>
      </c>
      <c r="AC6" s="1">
        <v>0</v>
      </c>
      <c r="AD6" s="1">
        <v>549.79999999999995</v>
      </c>
      <c r="AE6" s="31" t="s">
        <v>61</v>
      </c>
      <c r="AF6" s="1">
        <v>169.9</v>
      </c>
      <c r="AG6" s="1">
        <v>0</v>
      </c>
      <c r="AH6" s="52">
        <f>IF(ISNUMBER(Tabella2[[#This Row],[Mean RADIAL stress  (MPa)]]), Tabella2[[#This Row],[Mean RADIAL stress  (MPa)]],"")</f>
        <v>0</v>
      </c>
      <c r="AI6" s="27">
        <f>IF(ISNUMBER(Tabella2[[#This Row],[Amplitute RADIAL stress  (MPa)]]), Tabella2[[#This Row],[Amplitute RADIAL stress  (MPa)]],"")</f>
        <v>0</v>
      </c>
      <c r="AJ6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25072.899480702381</v>
      </c>
      <c r="AL6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6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549.79999999999995</v>
      </c>
    </row>
    <row r="7" spans="1:43" ht="20.100000000000001" customHeight="1" x14ac:dyDescent="0.25">
      <c r="A7" s="1" t="s">
        <v>68</v>
      </c>
      <c r="B7" s="1">
        <v>1950</v>
      </c>
      <c r="C7" s="45" t="s">
        <v>65</v>
      </c>
      <c r="D7" s="1" t="s">
        <v>69</v>
      </c>
      <c r="E7" s="66">
        <v>10000005</v>
      </c>
      <c r="F7" s="1" t="s">
        <v>32</v>
      </c>
      <c r="G7" s="67" t="s">
        <v>41</v>
      </c>
      <c r="H7" s="82" t="e" vm="1">
        <v>#VALUE!</v>
      </c>
      <c r="I7" s="1" t="s">
        <v>27</v>
      </c>
      <c r="J7" s="1" t="s">
        <v>20</v>
      </c>
      <c r="K7" s="1" t="s">
        <v>21</v>
      </c>
      <c r="L7" s="1" t="s">
        <v>21</v>
      </c>
      <c r="M7" s="1">
        <v>0</v>
      </c>
      <c r="N7" s="71">
        <v>7.62</v>
      </c>
      <c r="O7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7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7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7" s="1">
        <v>0</v>
      </c>
      <c r="S7" s="1">
        <v>0</v>
      </c>
      <c r="T7" s="1">
        <v>0</v>
      </c>
      <c r="U7" s="26">
        <v>36</v>
      </c>
      <c r="V7" s="31">
        <v>36</v>
      </c>
      <c r="W7" s="31">
        <v>36</v>
      </c>
      <c r="X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1</v>
      </c>
      <c r="AA7" s="52">
        <v>0</v>
      </c>
      <c r="AB7" s="27">
        <v>0</v>
      </c>
      <c r="AC7" s="1">
        <v>0</v>
      </c>
      <c r="AD7" s="1">
        <v>540.5</v>
      </c>
      <c r="AE7" s="31" t="s">
        <v>61</v>
      </c>
      <c r="AF7" s="1">
        <v>343.6</v>
      </c>
      <c r="AG7" s="1">
        <v>0</v>
      </c>
      <c r="AH7" s="52">
        <f>IF(ISNUMBER(Tabella2[[#This Row],[Mean RADIAL stress  (MPa)]]), Tabella2[[#This Row],[Mean RADIAL stress  (MPa)]],"")</f>
        <v>0</v>
      </c>
      <c r="AI7" s="27">
        <f>IF(ISNUMBER(Tabella2[[#This Row],[Amplitute RADIAL stress  (MPa)]]), Tabella2[[#This Row],[Amplitute RADIAL stress  (MPa)]],"")</f>
        <v>0</v>
      </c>
      <c r="AJ7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24648.785320697774</v>
      </c>
      <c r="AL7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7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540.5</v>
      </c>
    </row>
    <row r="8" spans="1:43" ht="20.100000000000001" customHeight="1" x14ac:dyDescent="0.25">
      <c r="A8" s="1" t="s">
        <v>68</v>
      </c>
      <c r="B8" s="1">
        <v>1950</v>
      </c>
      <c r="C8" s="45" t="s">
        <v>65</v>
      </c>
      <c r="D8" s="1" t="s">
        <v>69</v>
      </c>
      <c r="E8" s="66">
        <v>10000006</v>
      </c>
      <c r="F8" s="1" t="s">
        <v>32</v>
      </c>
      <c r="G8" s="67" t="s">
        <v>41</v>
      </c>
      <c r="H8" s="82" t="e" vm="1">
        <v>#VALUE!</v>
      </c>
      <c r="I8" s="1" t="s">
        <v>27</v>
      </c>
      <c r="J8" s="1" t="s">
        <v>20</v>
      </c>
      <c r="K8" s="1" t="s">
        <v>21</v>
      </c>
      <c r="L8" s="1" t="s">
        <v>21</v>
      </c>
      <c r="M8" s="1">
        <v>0</v>
      </c>
      <c r="N8" s="71">
        <v>7.62</v>
      </c>
      <c r="O8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8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8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8" s="1">
        <v>0</v>
      </c>
      <c r="S8" s="1">
        <v>0</v>
      </c>
      <c r="T8" s="1">
        <v>0</v>
      </c>
      <c r="U8" s="26">
        <v>36</v>
      </c>
      <c r="V8" s="31">
        <v>36</v>
      </c>
      <c r="W8" s="31">
        <v>36</v>
      </c>
      <c r="X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-0.3521400778210117</v>
      </c>
      <c r="Z8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1</v>
      </c>
      <c r="AA8" s="52">
        <v>0</v>
      </c>
      <c r="AB8" s="27">
        <v>0</v>
      </c>
      <c r="AC8" s="1">
        <v>266.39999999999998</v>
      </c>
      <c r="AD8" s="1">
        <v>556</v>
      </c>
      <c r="AE8" s="31" t="s">
        <v>61</v>
      </c>
      <c r="AF8" s="1">
        <v>169.9</v>
      </c>
      <c r="AG8" s="1">
        <v>0</v>
      </c>
      <c r="AH8" s="52">
        <f>IF(ISNUMBER(Tabella2[[#This Row],[Mean RADIAL stress  (MPa)]]), Tabella2[[#This Row],[Mean RADIAL stress  (MPa)]],"")</f>
        <v>0</v>
      </c>
      <c r="AI8" s="27">
        <f>IF(ISNUMBER(Tabella2[[#This Row],[Amplitute RADIAL stress  (MPa)]]), Tabella2[[#This Row],[Amplitute RADIAL stress  (MPa)]],"")</f>
        <v>0</v>
      </c>
      <c r="AJ8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8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25355.642254038787</v>
      </c>
      <c r="AL8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8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556</v>
      </c>
    </row>
    <row r="9" spans="1:43" ht="20.100000000000001" customHeight="1" x14ac:dyDescent="0.25">
      <c r="A9" s="1" t="s">
        <v>68</v>
      </c>
      <c r="B9" s="1">
        <v>1950</v>
      </c>
      <c r="C9" s="45" t="s">
        <v>65</v>
      </c>
      <c r="D9" s="1" t="s">
        <v>69</v>
      </c>
      <c r="E9" s="66">
        <v>10000007</v>
      </c>
      <c r="F9" s="1" t="s">
        <v>32</v>
      </c>
      <c r="G9" s="67" t="s">
        <v>41</v>
      </c>
      <c r="H9" s="82" t="e" vm="1">
        <v>#VALUE!</v>
      </c>
      <c r="I9" s="1" t="s">
        <v>27</v>
      </c>
      <c r="J9" s="1" t="s">
        <v>20</v>
      </c>
      <c r="K9" s="1" t="s">
        <v>21</v>
      </c>
      <c r="L9" s="1" t="s">
        <v>21</v>
      </c>
      <c r="M9" s="1">
        <v>0</v>
      </c>
      <c r="N9" s="71">
        <v>7.62</v>
      </c>
      <c r="O9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9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9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9" s="1">
        <v>0</v>
      </c>
      <c r="S9" s="1">
        <v>0</v>
      </c>
      <c r="T9" s="1">
        <v>0</v>
      </c>
      <c r="U9" s="26">
        <v>36</v>
      </c>
      <c r="V9" s="31">
        <v>36</v>
      </c>
      <c r="W9" s="31">
        <v>36</v>
      </c>
      <c r="X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-0.3521400778210117</v>
      </c>
      <c r="Z9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1</v>
      </c>
      <c r="AA9" s="52">
        <v>0</v>
      </c>
      <c r="AB9" s="27">
        <v>0</v>
      </c>
      <c r="AC9" s="1">
        <v>266.39999999999998</v>
      </c>
      <c r="AD9" s="1">
        <v>556</v>
      </c>
      <c r="AE9" s="31" t="s">
        <v>61</v>
      </c>
      <c r="AF9" s="1">
        <v>343.6</v>
      </c>
      <c r="AG9" s="1">
        <v>0</v>
      </c>
      <c r="AH9" s="52">
        <f>IF(ISNUMBER(Tabella2[[#This Row],[Mean RADIAL stress  (MPa)]]), Tabella2[[#This Row],[Mean RADIAL stress  (MPa)]],"")</f>
        <v>0</v>
      </c>
      <c r="AI9" s="27">
        <f>IF(ISNUMBER(Tabella2[[#This Row],[Amplitute RADIAL stress  (MPa)]]), Tabella2[[#This Row],[Amplitute RADIAL stress  (MPa)]],"")</f>
        <v>0</v>
      </c>
      <c r="AJ9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9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25355.642254038787</v>
      </c>
      <c r="AL9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9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9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556</v>
      </c>
    </row>
    <row r="10" spans="1:43" ht="20.100000000000001" customHeight="1" x14ac:dyDescent="0.25">
      <c r="A10" s="1" t="s">
        <v>68</v>
      </c>
      <c r="B10" s="1">
        <v>1950</v>
      </c>
      <c r="C10" s="45" t="s">
        <v>65</v>
      </c>
      <c r="D10" s="1" t="s">
        <v>69</v>
      </c>
      <c r="E10" s="66">
        <v>10000008</v>
      </c>
      <c r="F10" s="1" t="s">
        <v>32</v>
      </c>
      <c r="G10" s="67" t="s">
        <v>41</v>
      </c>
      <c r="H10" s="82" t="e" vm="1">
        <v>#VALUE!</v>
      </c>
      <c r="I10" s="1" t="s">
        <v>27</v>
      </c>
      <c r="J10" s="1" t="s">
        <v>20</v>
      </c>
      <c r="K10" s="1" t="s">
        <v>21</v>
      </c>
      <c r="L10" s="1" t="s">
        <v>21</v>
      </c>
      <c r="M10" s="1">
        <v>0</v>
      </c>
      <c r="N10" s="71">
        <v>7.62</v>
      </c>
      <c r="O10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0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0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0" s="1">
        <v>0</v>
      </c>
      <c r="S10" s="1">
        <v>0</v>
      </c>
      <c r="T10" s="1">
        <v>0</v>
      </c>
      <c r="U10" s="26">
        <v>36</v>
      </c>
      <c r="V10" s="31">
        <v>36</v>
      </c>
      <c r="W10" s="31">
        <v>36</v>
      </c>
      <c r="X1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6.3154744088596185E-2</v>
      </c>
      <c r="Z10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1</v>
      </c>
      <c r="AA10" s="52">
        <v>0</v>
      </c>
      <c r="AB10" s="27">
        <v>0</v>
      </c>
      <c r="AC10" s="1">
        <v>532.79999999999995</v>
      </c>
      <c r="AD10" s="1">
        <v>469.5</v>
      </c>
      <c r="AE10" s="31" t="s">
        <v>61</v>
      </c>
      <c r="AF10" s="1">
        <v>169.9</v>
      </c>
      <c r="AG10" s="1">
        <v>0</v>
      </c>
      <c r="AH10" s="52">
        <f>IF(ISNUMBER(Tabella2[[#This Row],[Mean RADIAL stress  (MPa)]]), Tabella2[[#This Row],[Mean RADIAL stress  (MPa)]],"")</f>
        <v>0</v>
      </c>
      <c r="AI10" s="27">
        <f>IF(ISNUMBER(Tabella2[[#This Row],[Amplitute RADIAL stress  (MPa)]]), Tabella2[[#This Row],[Amplitute RADIAL stress  (MPa)]],"")</f>
        <v>0</v>
      </c>
      <c r="AJ10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10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21410.924529264765</v>
      </c>
      <c r="AL10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10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0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469.5</v>
      </c>
    </row>
    <row r="11" spans="1:43" ht="20.100000000000001" customHeight="1" x14ac:dyDescent="0.25">
      <c r="A11" s="1" t="s">
        <v>68</v>
      </c>
      <c r="B11" s="1">
        <v>1950</v>
      </c>
      <c r="C11" s="45" t="s">
        <v>65</v>
      </c>
      <c r="D11" s="1" t="s">
        <v>69</v>
      </c>
      <c r="E11" s="66">
        <v>10000009</v>
      </c>
      <c r="F11" s="1" t="s">
        <v>32</v>
      </c>
      <c r="G11" s="67" t="s">
        <v>41</v>
      </c>
      <c r="H11" s="82" t="e" vm="1">
        <v>#VALUE!</v>
      </c>
      <c r="I11" s="1" t="s">
        <v>27</v>
      </c>
      <c r="J11" s="1" t="s">
        <v>20</v>
      </c>
      <c r="K11" s="1" t="s">
        <v>21</v>
      </c>
      <c r="L11" s="1" t="s">
        <v>21</v>
      </c>
      <c r="M11" s="1">
        <v>0</v>
      </c>
      <c r="N11" s="71">
        <v>7.62</v>
      </c>
      <c r="O11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1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1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1" s="1">
        <v>0</v>
      </c>
      <c r="S11" s="1">
        <v>0</v>
      </c>
      <c r="T11" s="1">
        <v>0</v>
      </c>
      <c r="U11" s="26">
        <v>36</v>
      </c>
      <c r="V11" s="31">
        <v>36</v>
      </c>
      <c r="W11" s="31">
        <v>36</v>
      </c>
      <c r="X1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5.5676639587873916E-2</v>
      </c>
      <c r="Z11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1</v>
      </c>
      <c r="AA11" s="52">
        <v>0</v>
      </c>
      <c r="AB11" s="27">
        <v>0</v>
      </c>
      <c r="AC11" s="1">
        <v>532.79999999999995</v>
      </c>
      <c r="AD11" s="1">
        <v>476.6</v>
      </c>
      <c r="AE11" s="31" t="s">
        <v>61</v>
      </c>
      <c r="AF11" s="1">
        <v>343.6</v>
      </c>
      <c r="AG11" s="1">
        <v>0</v>
      </c>
      <c r="AH11" s="52">
        <f>IF(ISNUMBER(Tabella2[[#This Row],[Mean RADIAL stress  (MPa)]]), Tabella2[[#This Row],[Mean RADIAL stress  (MPa)]],"")</f>
        <v>0</v>
      </c>
      <c r="AI11" s="27">
        <f>IF(ISNUMBER(Tabella2[[#This Row],[Amplitute RADIAL stress  (MPa)]]), Tabella2[[#This Row],[Amplitute RADIAL stress  (MPa)]],"")</f>
        <v>0</v>
      </c>
      <c r="AJ11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11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21734.710608408066</v>
      </c>
      <c r="AL11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11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1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476.6</v>
      </c>
    </row>
    <row r="12" spans="1:43" ht="20.100000000000001" customHeight="1" x14ac:dyDescent="0.25">
      <c r="A12" s="1" t="s">
        <v>68</v>
      </c>
      <c r="B12" s="1">
        <v>1950</v>
      </c>
      <c r="C12" s="45" t="s">
        <v>65</v>
      </c>
      <c r="D12" s="1" t="s">
        <v>69</v>
      </c>
      <c r="E12" s="66">
        <v>10000010</v>
      </c>
      <c r="F12" s="1" t="s">
        <v>32</v>
      </c>
      <c r="G12" s="67" t="s">
        <v>41</v>
      </c>
      <c r="H12" s="82" t="e" vm="1">
        <v>#VALUE!</v>
      </c>
      <c r="I12" s="1" t="s">
        <v>27</v>
      </c>
      <c r="J12" s="1" t="s">
        <v>20</v>
      </c>
      <c r="K12" s="1" t="s">
        <v>21</v>
      </c>
      <c r="L12" s="1" t="s">
        <v>21</v>
      </c>
      <c r="M12" s="1">
        <v>0</v>
      </c>
      <c r="N12" s="71">
        <v>7.62</v>
      </c>
      <c r="O12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2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2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2" s="1">
        <v>0</v>
      </c>
      <c r="S12" s="1">
        <v>0</v>
      </c>
      <c r="T12" s="1">
        <v>0</v>
      </c>
      <c r="U12" s="26">
        <v>36</v>
      </c>
      <c r="V12" s="31">
        <v>36</v>
      </c>
      <c r="W12" s="31">
        <v>36</v>
      </c>
      <c r="X1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12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2" s="52">
        <v>0</v>
      </c>
      <c r="AB12" s="27">
        <v>0</v>
      </c>
      <c r="AC12" s="1">
        <v>266.39999999999998</v>
      </c>
      <c r="AD12" s="1">
        <v>0</v>
      </c>
      <c r="AE12" s="31" t="s">
        <v>61</v>
      </c>
      <c r="AF12" s="1">
        <v>0</v>
      </c>
      <c r="AG12" s="1">
        <v>312</v>
      </c>
      <c r="AH12" s="52">
        <f>IF(ISNUMBER(Tabella2[[#This Row],[Mean RADIAL stress  (MPa)]]), Tabella2[[#This Row],[Mean RADIAL stress  (MPa)]],"")</f>
        <v>0</v>
      </c>
      <c r="AI12" s="27">
        <f>IF(ISNUMBER(Tabella2[[#This Row],[Amplitute RADIAL stress  (MPa)]]), Tabella2[[#This Row],[Amplitute RADIAL stress  (MPa)]],"")</f>
        <v>0</v>
      </c>
      <c r="AJ12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12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2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27104.999154874989</v>
      </c>
      <c r="AP12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540.39985196148973</v>
      </c>
    </row>
    <row r="13" spans="1:43" ht="20.100000000000001" customHeight="1" x14ac:dyDescent="0.25">
      <c r="A13" s="1" t="s">
        <v>68</v>
      </c>
      <c r="B13" s="1">
        <v>1951</v>
      </c>
      <c r="C13" s="45" t="s">
        <v>65</v>
      </c>
      <c r="D13" s="1" t="s">
        <v>69</v>
      </c>
      <c r="E13" s="66">
        <v>10000011</v>
      </c>
      <c r="F13" s="1" t="s">
        <v>32</v>
      </c>
      <c r="G13" s="67" t="s">
        <v>41</v>
      </c>
      <c r="H13" s="82" t="e" vm="1">
        <v>#VALUE!</v>
      </c>
      <c r="I13" s="1" t="s">
        <v>27</v>
      </c>
      <c r="J13" s="1" t="s">
        <v>20</v>
      </c>
      <c r="K13" s="1" t="s">
        <v>21</v>
      </c>
      <c r="L13" s="1" t="s">
        <v>21</v>
      </c>
      <c r="M13" s="1">
        <v>0</v>
      </c>
      <c r="N13" s="71">
        <v>7.62</v>
      </c>
      <c r="O13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3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3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3" s="1">
        <v>0</v>
      </c>
      <c r="S13" s="1">
        <v>0</v>
      </c>
      <c r="T13" s="1">
        <v>0</v>
      </c>
      <c r="U13" s="26">
        <v>36</v>
      </c>
      <c r="V13" s="31">
        <v>36</v>
      </c>
      <c r="W13" s="31">
        <v>36</v>
      </c>
      <c r="X1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13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3" s="52">
        <v>0</v>
      </c>
      <c r="AB13" s="27">
        <v>0</v>
      </c>
      <c r="AC13" s="1">
        <v>532.79999999999995</v>
      </c>
      <c r="AD13" s="1">
        <v>0</v>
      </c>
      <c r="AE13" s="31" t="s">
        <v>61</v>
      </c>
      <c r="AF13" s="1">
        <v>0</v>
      </c>
      <c r="AG13" s="1">
        <v>284.2</v>
      </c>
      <c r="AH13" s="52">
        <f>IF(ISNUMBER(Tabella2[[#This Row],[Mean RADIAL stress  (MPa)]]), Tabella2[[#This Row],[Mean RADIAL stress  (MPa)]],"")</f>
        <v>0</v>
      </c>
      <c r="AI13" s="27">
        <f>IF(ISNUMBER(Tabella2[[#This Row],[Amplitute RADIAL stress  (MPa)]]), Tabella2[[#This Row],[Amplitute RADIAL stress  (MPa)]],"")</f>
        <v>0</v>
      </c>
      <c r="AJ13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13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3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24689.874230177793</v>
      </c>
      <c r="AP13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492.24883951107489</v>
      </c>
    </row>
    <row r="14" spans="1:43" ht="20.100000000000001" customHeight="1" x14ac:dyDescent="0.25">
      <c r="A14" s="1" t="s">
        <v>68</v>
      </c>
      <c r="B14" s="1">
        <v>1952</v>
      </c>
      <c r="C14" s="45" t="s">
        <v>65</v>
      </c>
      <c r="D14" s="1" t="s">
        <v>69</v>
      </c>
      <c r="E14" s="66">
        <v>10000012</v>
      </c>
      <c r="F14" s="1" t="s">
        <v>32</v>
      </c>
      <c r="G14" s="67" t="s">
        <v>41</v>
      </c>
      <c r="H14" s="82" t="e" vm="1">
        <v>#VALUE!</v>
      </c>
      <c r="I14" s="1" t="s">
        <v>27</v>
      </c>
      <c r="J14" s="1" t="s">
        <v>20</v>
      </c>
      <c r="K14" s="1" t="s">
        <v>21</v>
      </c>
      <c r="L14" s="1" t="s">
        <v>21</v>
      </c>
      <c r="M14" s="1">
        <v>0</v>
      </c>
      <c r="N14" s="71">
        <v>7.62</v>
      </c>
      <c r="O14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4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4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4" s="1">
        <v>0</v>
      </c>
      <c r="S14" s="1">
        <v>0</v>
      </c>
      <c r="T14" s="1">
        <v>0</v>
      </c>
      <c r="U14" s="26">
        <v>36</v>
      </c>
      <c r="V14" s="31">
        <v>36</v>
      </c>
      <c r="W14" s="31">
        <v>36</v>
      </c>
      <c r="X1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14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-0.28342471530999575</v>
      </c>
      <c r="AA14" s="52">
        <v>0</v>
      </c>
      <c r="AB14" s="27">
        <v>0</v>
      </c>
      <c r="AC14" s="1">
        <v>266.39999999999998</v>
      </c>
      <c r="AD14" s="1">
        <v>0</v>
      </c>
      <c r="AE14" s="31" t="s">
        <v>61</v>
      </c>
      <c r="AF14" s="1">
        <v>169.9</v>
      </c>
      <c r="AG14" s="1">
        <v>304.3</v>
      </c>
      <c r="AH14" s="52">
        <f>IF(ISNUMBER(Tabella2[[#This Row],[Mean RADIAL stress  (MPa)]]), Tabella2[[#This Row],[Mean RADIAL stress  (MPa)]],"")</f>
        <v>0</v>
      </c>
      <c r="AI14" s="27">
        <f>IF(ISNUMBER(Tabella2[[#This Row],[Amplitute RADIAL stress  (MPa)]]), Tabella2[[#This Row],[Amplitute RADIAL stress  (MPa)]],"")</f>
        <v>0</v>
      </c>
      <c r="AJ14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14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4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14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26436.061675732242</v>
      </c>
      <c r="AP14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527.06306074320935</v>
      </c>
    </row>
    <row r="15" spans="1:43" ht="20.100000000000001" customHeight="1" x14ac:dyDescent="0.25">
      <c r="A15" s="1" t="s">
        <v>68</v>
      </c>
      <c r="B15" s="1">
        <v>1953</v>
      </c>
      <c r="C15" s="45" t="s">
        <v>65</v>
      </c>
      <c r="D15" s="1" t="s">
        <v>69</v>
      </c>
      <c r="E15" s="66">
        <v>10000013</v>
      </c>
      <c r="F15" s="1" t="s">
        <v>32</v>
      </c>
      <c r="G15" s="67" t="s">
        <v>41</v>
      </c>
      <c r="H15" s="82" t="e" vm="1">
        <v>#VALUE!</v>
      </c>
      <c r="I15" s="1" t="s">
        <v>27</v>
      </c>
      <c r="J15" s="1" t="s">
        <v>20</v>
      </c>
      <c r="K15" s="1" t="s">
        <v>21</v>
      </c>
      <c r="L15" s="1" t="s">
        <v>21</v>
      </c>
      <c r="M15" s="1">
        <v>0</v>
      </c>
      <c r="N15" s="71">
        <v>7.62</v>
      </c>
      <c r="O15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5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5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5" s="1">
        <v>0</v>
      </c>
      <c r="S15" s="1">
        <v>0</v>
      </c>
      <c r="T15" s="1">
        <v>0</v>
      </c>
      <c r="U15" s="26">
        <v>36</v>
      </c>
      <c r="V15" s="31">
        <v>36</v>
      </c>
      <c r="W15" s="31">
        <v>36</v>
      </c>
      <c r="X1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15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-0.24656319290465636</v>
      </c>
      <c r="AA15" s="52">
        <v>0</v>
      </c>
      <c r="AB15" s="27">
        <v>0</v>
      </c>
      <c r="AC15" s="1">
        <v>532.79999999999995</v>
      </c>
      <c r="AD15" s="1">
        <v>0</v>
      </c>
      <c r="AE15" s="31" t="s">
        <v>61</v>
      </c>
      <c r="AF15" s="1">
        <v>169.9</v>
      </c>
      <c r="AG15" s="1">
        <v>281.10000000000002</v>
      </c>
      <c r="AH15" s="52">
        <f>IF(ISNUMBER(Tabella2[[#This Row],[Mean RADIAL stress  (MPa)]]), Tabella2[[#This Row],[Mean RADIAL stress  (MPa)]],"")</f>
        <v>0</v>
      </c>
      <c r="AI15" s="27">
        <f>IF(ISNUMBER(Tabella2[[#This Row],[Amplitute RADIAL stress  (MPa)]]), Tabella2[[#This Row],[Amplitute RADIAL stress  (MPa)]],"")</f>
        <v>0</v>
      </c>
      <c r="AJ15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15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5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15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24420.561738574874</v>
      </c>
      <c r="AP15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486.87948200761139</v>
      </c>
    </row>
    <row r="16" spans="1:43" ht="20.100000000000001" customHeight="1" x14ac:dyDescent="0.25">
      <c r="A16" s="1" t="s">
        <v>68</v>
      </c>
      <c r="B16" s="1">
        <v>1954</v>
      </c>
      <c r="C16" s="45" t="s">
        <v>65</v>
      </c>
      <c r="D16" s="1" t="s">
        <v>69</v>
      </c>
      <c r="E16" s="66">
        <v>10000014</v>
      </c>
      <c r="F16" s="1" t="s">
        <v>32</v>
      </c>
      <c r="G16" s="67" t="s">
        <v>41</v>
      </c>
      <c r="H16" s="82" t="e" vm="1">
        <v>#VALUE!</v>
      </c>
      <c r="I16" s="1" t="s">
        <v>27</v>
      </c>
      <c r="J16" s="1" t="s">
        <v>20</v>
      </c>
      <c r="K16" s="1" t="s">
        <v>21</v>
      </c>
      <c r="L16" s="1" t="s">
        <v>21</v>
      </c>
      <c r="M16" s="1">
        <v>0</v>
      </c>
      <c r="N16" s="71">
        <v>7.62</v>
      </c>
      <c r="O16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6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6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6" s="1">
        <v>0</v>
      </c>
      <c r="S16" s="1">
        <v>0</v>
      </c>
      <c r="T16" s="1">
        <v>0</v>
      </c>
      <c r="U16" s="26">
        <v>36</v>
      </c>
      <c r="V16" s="31">
        <v>36</v>
      </c>
      <c r="W16" s="31">
        <v>36</v>
      </c>
      <c r="X1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16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5.3180076628352557E-2</v>
      </c>
      <c r="AA16" s="52">
        <v>0</v>
      </c>
      <c r="AB16" s="27">
        <v>0</v>
      </c>
      <c r="AC16" s="1">
        <v>266.39999999999998</v>
      </c>
      <c r="AD16" s="1">
        <v>0</v>
      </c>
      <c r="AE16" s="31" t="s">
        <v>61</v>
      </c>
      <c r="AF16" s="1">
        <v>343.6</v>
      </c>
      <c r="AG16" s="1">
        <v>308.89999999999998</v>
      </c>
      <c r="AH16" s="52">
        <f>IF(ISNUMBER(Tabella2[[#This Row],[Mean RADIAL stress  (MPa)]]), Tabella2[[#This Row],[Mean RADIAL stress  (MPa)]],"")</f>
        <v>0</v>
      </c>
      <c r="AI16" s="27">
        <f>IF(ISNUMBER(Tabella2[[#This Row],[Amplitute RADIAL stress  (MPa)]]), Tabella2[[#This Row],[Amplitute RADIAL stress  (MPa)]],"")</f>
        <v>0</v>
      </c>
      <c r="AJ16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16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6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16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26835.686663272063</v>
      </c>
      <c r="AP16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535.03049445802617</v>
      </c>
    </row>
    <row r="17" spans="1:43" ht="20.100000000000001" customHeight="1" x14ac:dyDescent="0.25">
      <c r="A17" s="1" t="s">
        <v>68</v>
      </c>
      <c r="B17" s="1">
        <v>1955</v>
      </c>
      <c r="C17" s="45" t="s">
        <v>65</v>
      </c>
      <c r="D17" s="1" t="s">
        <v>69</v>
      </c>
      <c r="E17" s="66">
        <v>10000015</v>
      </c>
      <c r="F17" s="1" t="s">
        <v>32</v>
      </c>
      <c r="G17" s="67" t="s">
        <v>41</v>
      </c>
      <c r="H17" s="82" t="e" vm="1">
        <v>#VALUE!</v>
      </c>
      <c r="I17" s="1" t="s">
        <v>27</v>
      </c>
      <c r="J17" s="1" t="s">
        <v>20</v>
      </c>
      <c r="K17" s="1" t="s">
        <v>21</v>
      </c>
      <c r="L17" s="1" t="s">
        <v>21</v>
      </c>
      <c r="M17" s="1">
        <v>0</v>
      </c>
      <c r="N17" s="71">
        <v>7.62</v>
      </c>
      <c r="O17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7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7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7" s="1">
        <v>0</v>
      </c>
      <c r="S17" s="1">
        <v>0</v>
      </c>
      <c r="T17" s="1">
        <v>0</v>
      </c>
      <c r="U17" s="26">
        <v>36</v>
      </c>
      <c r="V17" s="31">
        <v>36</v>
      </c>
      <c r="W17" s="31">
        <v>36</v>
      </c>
      <c r="X1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1</v>
      </c>
      <c r="Z17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7.8806907378336025E-2</v>
      </c>
      <c r="AA17" s="52">
        <v>0</v>
      </c>
      <c r="AB17" s="27">
        <v>0</v>
      </c>
      <c r="AC17" s="1">
        <v>532.79999999999995</v>
      </c>
      <c r="AD17" s="1">
        <v>0</v>
      </c>
      <c r="AE17" s="31" t="s">
        <v>61</v>
      </c>
      <c r="AF17" s="1">
        <v>343.6</v>
      </c>
      <c r="AG17" s="1">
        <v>293.39999999999998</v>
      </c>
      <c r="AH17" s="52">
        <f>IF(ISNUMBER(Tabella2[[#This Row],[Mean RADIAL stress  (MPa)]]), Tabella2[[#This Row],[Mean RADIAL stress  (MPa)]],"")</f>
        <v>0</v>
      </c>
      <c r="AI17" s="27">
        <f>IF(ISNUMBER(Tabella2[[#This Row],[Amplitute RADIAL stress  (MPa)]]), Tabella2[[#This Row],[Amplitute RADIAL stress  (MPa)]],"")</f>
        <v>0</v>
      </c>
      <c r="AJ17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17" s="27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17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17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25489.124205257442</v>
      </c>
      <c r="AP17" s="41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1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508.18370694070853</v>
      </c>
    </row>
    <row r="18" spans="1:43" ht="20.100000000000001" customHeight="1" x14ac:dyDescent="0.25">
      <c r="A18" s="1" t="s">
        <v>68</v>
      </c>
      <c r="B18" s="1">
        <v>1956</v>
      </c>
      <c r="C18" s="45" t="s">
        <v>65</v>
      </c>
      <c r="D18" s="1" t="s">
        <v>69</v>
      </c>
      <c r="E18" s="66">
        <v>10000016</v>
      </c>
      <c r="F18" s="1" t="s">
        <v>32</v>
      </c>
      <c r="G18" s="67" t="s">
        <v>41</v>
      </c>
      <c r="H18" s="82" t="e" vm="1">
        <v>#VALUE!</v>
      </c>
      <c r="I18" s="1" t="s">
        <v>27</v>
      </c>
      <c r="J18" s="1" t="s">
        <v>20</v>
      </c>
      <c r="K18" s="1" t="s">
        <v>21</v>
      </c>
      <c r="L18" s="1" t="s">
        <v>21</v>
      </c>
      <c r="M18" s="1">
        <v>0</v>
      </c>
      <c r="N18" s="71">
        <v>7.62</v>
      </c>
      <c r="O18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8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8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8" s="1">
        <v>0</v>
      </c>
      <c r="S18" s="1">
        <v>0</v>
      </c>
      <c r="T18" s="1">
        <v>0</v>
      </c>
      <c r="U18" s="26">
        <v>36</v>
      </c>
      <c r="V18" s="31">
        <v>36</v>
      </c>
      <c r="W18" s="31">
        <v>36</v>
      </c>
      <c r="X18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8" s="52">
        <v>0</v>
      </c>
      <c r="AB18" s="27">
        <v>0</v>
      </c>
      <c r="AC18" s="1">
        <v>0</v>
      </c>
      <c r="AD18" s="1">
        <v>547.5</v>
      </c>
      <c r="AE18" s="31" t="s">
        <v>61</v>
      </c>
      <c r="AF18" s="1">
        <v>0</v>
      </c>
      <c r="AG18" s="1">
        <v>156</v>
      </c>
      <c r="AH18" s="52">
        <f>IF(ISNUMBER(Tabella2[[#This Row],[Mean RADIAL stress  (MPa)]]), Tabella2[[#This Row],[Mean RADIAL stress  (MPa)]],"")</f>
        <v>0</v>
      </c>
      <c r="AI18" s="27">
        <f>IF(ISNUMBER(Tabella2[[#This Row],[Amplitute RADIAL stress  (MPa)]]), Tabella2[[#This Row],[Amplitute RADIAL stress  (MPa)]],"")</f>
        <v>0</v>
      </c>
      <c r="AJ18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24968.011032529201</v>
      </c>
      <c r="AL18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8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13552.499577437495</v>
      </c>
      <c r="AP18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0.28493150684931506</v>
      </c>
      <c r="AQ18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610.54422444242311</v>
      </c>
    </row>
    <row r="19" spans="1:43" ht="20.100000000000001" customHeight="1" x14ac:dyDescent="0.25">
      <c r="A19" s="1" t="s">
        <v>68</v>
      </c>
      <c r="B19" s="1">
        <v>1957</v>
      </c>
      <c r="C19" s="45" t="s">
        <v>65</v>
      </c>
      <c r="D19" s="1" t="s">
        <v>69</v>
      </c>
      <c r="E19" s="66">
        <v>10000017</v>
      </c>
      <c r="F19" s="1" t="s">
        <v>32</v>
      </c>
      <c r="G19" s="67" t="s">
        <v>41</v>
      </c>
      <c r="H19" s="82" t="e" vm="1">
        <v>#VALUE!</v>
      </c>
      <c r="I19" s="1" t="s">
        <v>27</v>
      </c>
      <c r="J19" s="1" t="s">
        <v>20</v>
      </c>
      <c r="K19" s="1" t="s">
        <v>21</v>
      </c>
      <c r="L19" s="1" t="s">
        <v>21</v>
      </c>
      <c r="M19" s="1">
        <v>0</v>
      </c>
      <c r="N19" s="71">
        <v>7.62</v>
      </c>
      <c r="O19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19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19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19" s="1">
        <v>0</v>
      </c>
      <c r="S19" s="1">
        <v>0</v>
      </c>
      <c r="T19" s="1">
        <v>0</v>
      </c>
      <c r="U19" s="26">
        <v>36</v>
      </c>
      <c r="V19" s="31">
        <v>36</v>
      </c>
      <c r="W19" s="31">
        <v>36</v>
      </c>
      <c r="X19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19" s="52">
        <v>0</v>
      </c>
      <c r="AB19" s="27">
        <v>0</v>
      </c>
      <c r="AC19" s="1">
        <v>0</v>
      </c>
      <c r="AD19" s="1">
        <v>389.2</v>
      </c>
      <c r="AE19" s="31" t="s">
        <v>61</v>
      </c>
      <c r="AF19" s="1">
        <v>0</v>
      </c>
      <c r="AG19" s="1">
        <v>259.5</v>
      </c>
      <c r="AH19" s="52">
        <f>IF(ISNUMBER(Tabella2[[#This Row],[Mean RADIAL stress  (MPa)]]), Tabella2[[#This Row],[Mean RADIAL stress  (MPa)]],"")</f>
        <v>0</v>
      </c>
      <c r="AI19" s="27">
        <f>IF(ISNUMBER(Tabella2[[#This Row],[Amplitute RADIAL stress  (MPa)]]), Tabella2[[#This Row],[Amplitute RADIAL stress  (MPa)]],"")</f>
        <v>0</v>
      </c>
      <c r="AJ19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17748.949577827148</v>
      </c>
      <c r="AL19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22544.061797083523</v>
      </c>
      <c r="AP19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0.66675231243576571</v>
      </c>
      <c r="AQ19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594.55646493836059</v>
      </c>
    </row>
    <row r="20" spans="1:43" ht="20.100000000000001" customHeight="1" x14ac:dyDescent="0.25">
      <c r="A20" s="1" t="s">
        <v>68</v>
      </c>
      <c r="B20" s="1">
        <v>1958</v>
      </c>
      <c r="C20" s="45" t="s">
        <v>65</v>
      </c>
      <c r="D20" s="1" t="s">
        <v>69</v>
      </c>
      <c r="E20" s="66">
        <v>10000018</v>
      </c>
      <c r="F20" s="1" t="s">
        <v>32</v>
      </c>
      <c r="G20" s="67" t="s">
        <v>41</v>
      </c>
      <c r="H20" s="82" t="e" vm="1">
        <v>#VALUE!</v>
      </c>
      <c r="I20" s="1" t="s">
        <v>27</v>
      </c>
      <c r="J20" s="1" t="s">
        <v>20</v>
      </c>
      <c r="K20" s="1" t="s">
        <v>21</v>
      </c>
      <c r="L20" s="1" t="s">
        <v>21</v>
      </c>
      <c r="M20" s="1">
        <v>0</v>
      </c>
      <c r="N20" s="71">
        <v>7.62</v>
      </c>
      <c r="O20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0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0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0" s="1">
        <v>0</v>
      </c>
      <c r="S20" s="1">
        <v>0</v>
      </c>
      <c r="T20" s="1">
        <v>0</v>
      </c>
      <c r="U20" s="26">
        <v>36</v>
      </c>
      <c r="V20" s="31">
        <v>36</v>
      </c>
      <c r="W20" s="31">
        <v>36</v>
      </c>
      <c r="X20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0" s="52">
        <v>0</v>
      </c>
      <c r="AB20" s="27">
        <v>0</v>
      </c>
      <c r="AC20" s="1">
        <v>0</v>
      </c>
      <c r="AD20" s="1">
        <v>168.3</v>
      </c>
      <c r="AE20" s="31" t="s">
        <v>61</v>
      </c>
      <c r="AF20" s="1">
        <v>0</v>
      </c>
      <c r="AG20" s="1">
        <v>335.9</v>
      </c>
      <c r="AH20" s="52">
        <f>IF(ISNUMBER(Tabella2[[#This Row],[Mean RADIAL stress  (MPa)]]), Tabella2[[#This Row],[Mean RADIAL stress  (MPa)]],"")</f>
        <v>0</v>
      </c>
      <c r="AI20" s="27">
        <f>IF(ISNUMBER(Tabella2[[#This Row],[Amplitute RADIAL stress  (MPa)]]), Tabella2[[#This Row],[Amplitute RADIAL stress  (MPa)]],"")</f>
        <v>0</v>
      </c>
      <c r="AJ20" s="27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27">
        <f>IF(ISNUMBER(Tabella2[[#This Row],[Amplitute AXIAL stress  (MPa)]]),    IF(Tabella2[[#This Row],[derived from (AXIAL/BENDING) load]]="AXIAL",Tabella2[[#This Row],[Amplitute AXIAL stress  (MPa)]]*Tabella2[[#This Row],[Area (mm^2)]],"Null"), "")</f>
        <v>7675.0981858897985</v>
      </c>
      <c r="AL20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0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29181.311590136247</v>
      </c>
      <c r="AP20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1.9958407605466426</v>
      </c>
      <c r="AQ20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605.64950260030753</v>
      </c>
    </row>
    <row r="21" spans="1:43" ht="20.100000000000001" customHeight="1" x14ac:dyDescent="0.25">
      <c r="A21" s="1" t="s">
        <v>68</v>
      </c>
      <c r="B21" s="1">
        <v>1959</v>
      </c>
      <c r="C21" s="45" t="s">
        <v>65</v>
      </c>
      <c r="D21" s="1" t="s">
        <v>69</v>
      </c>
      <c r="E21" s="66">
        <v>10000019</v>
      </c>
      <c r="F21" s="1" t="s">
        <v>32</v>
      </c>
      <c r="G21" s="67" t="s">
        <v>41</v>
      </c>
      <c r="H21" s="82" t="e" vm="1">
        <v>#VALUE!</v>
      </c>
      <c r="I21" s="1" t="s">
        <v>27</v>
      </c>
      <c r="J21" s="1" t="s">
        <v>20</v>
      </c>
      <c r="K21" s="1" t="s">
        <v>21</v>
      </c>
      <c r="L21" s="1" t="s">
        <v>21</v>
      </c>
      <c r="M21" s="1">
        <v>0</v>
      </c>
      <c r="N21" s="71">
        <v>7.62</v>
      </c>
      <c r="O21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1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1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1" s="1">
        <v>0</v>
      </c>
      <c r="S21" s="1">
        <v>0</v>
      </c>
      <c r="T21" s="1">
        <v>0</v>
      </c>
      <c r="U21" s="26">
        <v>36</v>
      </c>
      <c r="V21" s="31">
        <v>36</v>
      </c>
      <c r="W21" s="31">
        <v>36</v>
      </c>
      <c r="X21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-0.30161226897365323</v>
      </c>
      <c r="Z21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8.147676639083383E-2</v>
      </c>
      <c r="AA21" s="52">
        <v>0</v>
      </c>
      <c r="AB21" s="27">
        <v>0</v>
      </c>
      <c r="AC21" s="1">
        <v>266.39999999999998</v>
      </c>
      <c r="AD21" s="1">
        <v>496.5</v>
      </c>
      <c r="AE21" s="31" t="s">
        <v>61</v>
      </c>
      <c r="AF21" s="1">
        <v>169.9</v>
      </c>
      <c r="AG21" s="1">
        <v>144.30000000000001</v>
      </c>
      <c r="AH21" s="52">
        <f>IF(ISNUMBER(Tabella2[[#This Row],[Mean RADIAL stress  (MPa)]]), Tabella2[[#This Row],[Mean RADIAL stress  (MPa)]],"")</f>
        <v>0</v>
      </c>
      <c r="AI21" s="27">
        <f>IF(ISNUMBER(Tabella2[[#This Row],[Amplitute RADIAL stress  (MPa)]]), Tabella2[[#This Row],[Amplitute RADIAL stress  (MPa)]],"")</f>
        <v>0</v>
      </c>
      <c r="AJ21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21" s="27">
        <f>IF(ISNUMBER(Tabella2[[#This Row],[Amplitute AXIAL stress  (MPa)]]),    IF(Tabella2[[#This Row],[derived from (AXIAL/BENDING) load]]="AXIAL",Tabella2[[#This Row],[Amplitute AXIAL stress  (MPa)]]*Tabella2[[#This Row],[Area (mm^2)]],"Null"), "")</f>
        <v>22642.223703471685</v>
      </c>
      <c r="AL21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21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12536.062109129685</v>
      </c>
      <c r="AP21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0.29063444108761333</v>
      </c>
      <c r="AQ21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555.85944266513991</v>
      </c>
    </row>
    <row r="22" spans="1:43" ht="20.100000000000001" customHeight="1" x14ac:dyDescent="0.25">
      <c r="A22" s="1" t="s">
        <v>68</v>
      </c>
      <c r="B22" s="1">
        <v>1960</v>
      </c>
      <c r="C22" s="45" t="s">
        <v>65</v>
      </c>
      <c r="D22" s="1" t="s">
        <v>69</v>
      </c>
      <c r="E22" s="66">
        <v>10000020</v>
      </c>
      <c r="F22" s="1" t="s">
        <v>32</v>
      </c>
      <c r="G22" s="67" t="s">
        <v>41</v>
      </c>
      <c r="H22" s="82" t="e" vm="1">
        <v>#VALUE!</v>
      </c>
      <c r="I22" s="1" t="s">
        <v>27</v>
      </c>
      <c r="J22" s="1" t="s">
        <v>20</v>
      </c>
      <c r="K22" s="1" t="s">
        <v>21</v>
      </c>
      <c r="L22" s="1" t="s">
        <v>21</v>
      </c>
      <c r="M22" s="1">
        <v>0</v>
      </c>
      <c r="N22" s="71">
        <v>7.62</v>
      </c>
      <c r="O22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2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2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2" s="1">
        <v>0</v>
      </c>
      <c r="S22" s="1">
        <v>0</v>
      </c>
      <c r="T22" s="1">
        <v>0</v>
      </c>
      <c r="U22" s="26">
        <v>36</v>
      </c>
      <c r="V22" s="31">
        <v>36</v>
      </c>
      <c r="W22" s="31">
        <v>36</v>
      </c>
      <c r="X22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-0.1686690591355906</v>
      </c>
      <c r="Z22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-0.189601717147627</v>
      </c>
      <c r="AA22" s="52">
        <v>0</v>
      </c>
      <c r="AB22" s="27">
        <v>0</v>
      </c>
      <c r="AC22" s="1">
        <v>266.39999999999998</v>
      </c>
      <c r="AD22" s="1">
        <v>374.5</v>
      </c>
      <c r="AE22" s="31" t="s">
        <v>61</v>
      </c>
      <c r="AF22" s="1">
        <v>169.9</v>
      </c>
      <c r="AG22" s="1">
        <v>249.4</v>
      </c>
      <c r="AH22" s="52">
        <f>IF(ISNUMBER(Tabella2[[#This Row],[Mean RADIAL stress  (MPa)]]), Tabella2[[#This Row],[Mean RADIAL stress  (MPa)]],"")</f>
        <v>0</v>
      </c>
      <c r="AI22" s="27">
        <f>IF(ISNUMBER(Tabella2[[#This Row],[Amplitute RADIAL stress  (MPa)]]), Tabella2[[#This Row],[Amplitute RADIAL stress  (MPa)]],"")</f>
        <v>0</v>
      </c>
      <c r="AJ22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22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17078.575582981161</v>
      </c>
      <c r="AL22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22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21666.624324441738</v>
      </c>
      <c r="AP22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0.66595460614152202</v>
      </c>
      <c r="AQ22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571.70913059002305</v>
      </c>
    </row>
    <row r="23" spans="1:43" ht="20.100000000000001" customHeight="1" x14ac:dyDescent="0.25">
      <c r="A23" s="1" t="s">
        <v>68</v>
      </c>
      <c r="B23" s="1">
        <v>1961</v>
      </c>
      <c r="C23" s="45" t="s">
        <v>65</v>
      </c>
      <c r="D23" s="1" t="s">
        <v>69</v>
      </c>
      <c r="E23" s="66">
        <v>10000021</v>
      </c>
      <c r="F23" s="1" t="s">
        <v>32</v>
      </c>
      <c r="G23" s="67" t="s">
        <v>41</v>
      </c>
      <c r="H23" s="82" t="e" vm="1">
        <v>#VALUE!</v>
      </c>
      <c r="I23" s="1" t="s">
        <v>27</v>
      </c>
      <c r="J23" s="1" t="s">
        <v>20</v>
      </c>
      <c r="K23" s="1" t="s">
        <v>21</v>
      </c>
      <c r="L23" s="1" t="s">
        <v>21</v>
      </c>
      <c r="M23" s="1">
        <v>0</v>
      </c>
      <c r="N23" s="71">
        <v>7.62</v>
      </c>
      <c r="O23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3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3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3" s="1">
        <v>0</v>
      </c>
      <c r="S23" s="1">
        <v>0</v>
      </c>
      <c r="T23" s="1">
        <v>0</v>
      </c>
      <c r="U23" s="26">
        <v>36</v>
      </c>
      <c r="V23" s="31">
        <v>36</v>
      </c>
      <c r="W23" s="31">
        <v>36</v>
      </c>
      <c r="X23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0.24544179523141652</v>
      </c>
      <c r="Z23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-0.30920918885952431</v>
      </c>
      <c r="AA23" s="52">
        <v>0</v>
      </c>
      <c r="AB23" s="27">
        <v>0</v>
      </c>
      <c r="AC23" s="1">
        <v>266.39999999999998</v>
      </c>
      <c r="AD23" s="1">
        <v>161.4</v>
      </c>
      <c r="AE23" s="31" t="s">
        <v>61</v>
      </c>
      <c r="AF23" s="1">
        <v>169.9</v>
      </c>
      <c r="AG23" s="1">
        <v>322</v>
      </c>
      <c r="AH23" s="52">
        <f>IF(ISNUMBER(Tabella2[[#This Row],[Mean RADIAL stress  (MPa)]]), Tabella2[[#This Row],[Mean RADIAL stress  (MPa)]],"")</f>
        <v>0</v>
      </c>
      <c r="AI23" s="27">
        <f>IF(ISNUMBER(Tabella2[[#This Row],[Amplitute RADIAL stress  (MPa)]]), Tabella2[[#This Row],[Amplitute RADIAL stress  (MPa)]],"")</f>
        <v>0</v>
      </c>
      <c r="AJ23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23" s="27">
        <f>IF(ISNUMBER(Tabella2[[#This Row],[Amplitute AXIAL stress  (MPa)]]),    IF(Tabella2[[#This Row],[derived from (AXIAL/BENDING) load]]="AXIAL",Tabella2[[#This Row],[Amplitute AXIAL stress  (MPa)]]*Tabella2[[#This Row],[Area (mm^2)]],"Null"), "")</f>
        <v>7360.4328413702515</v>
      </c>
      <c r="AL23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23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27973.749127787651</v>
      </c>
      <c r="AP23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1.9950433705080544</v>
      </c>
      <c r="AQ23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580.60482257728449</v>
      </c>
    </row>
    <row r="24" spans="1:43" ht="20.100000000000001" customHeight="1" x14ac:dyDescent="0.25">
      <c r="A24" s="1" t="s">
        <v>68</v>
      </c>
      <c r="B24" s="1">
        <v>1962</v>
      </c>
      <c r="C24" s="45" t="s">
        <v>65</v>
      </c>
      <c r="D24" s="1" t="s">
        <v>69</v>
      </c>
      <c r="E24" s="66">
        <v>10000022</v>
      </c>
      <c r="F24" s="1" t="s">
        <v>32</v>
      </c>
      <c r="G24" s="67" t="s">
        <v>41</v>
      </c>
      <c r="H24" s="82" t="e" vm="1">
        <v>#VALUE!</v>
      </c>
      <c r="I24" s="1" t="s">
        <v>27</v>
      </c>
      <c r="J24" s="1" t="s">
        <v>20</v>
      </c>
      <c r="K24" s="1" t="s">
        <v>21</v>
      </c>
      <c r="L24" s="1" t="s">
        <v>21</v>
      </c>
      <c r="M24" s="1">
        <v>0</v>
      </c>
      <c r="N24" s="71">
        <v>7.62</v>
      </c>
      <c r="O24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4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4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4" s="1">
        <v>0</v>
      </c>
      <c r="S24" s="1">
        <v>0</v>
      </c>
      <c r="T24" s="1">
        <v>0</v>
      </c>
      <c r="U24" s="26">
        <v>36</v>
      </c>
      <c r="V24" s="31">
        <v>36</v>
      </c>
      <c r="W24" s="31">
        <v>36</v>
      </c>
      <c r="X24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0.10838360723944242</v>
      </c>
      <c r="Z24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0.47848537005163516</v>
      </c>
      <c r="AA24" s="52">
        <v>0</v>
      </c>
      <c r="AB24" s="27">
        <v>0</v>
      </c>
      <c r="AC24" s="1">
        <v>532.79999999999995</v>
      </c>
      <c r="AD24" s="1">
        <v>428.6</v>
      </c>
      <c r="AE24" s="31" t="s">
        <v>61</v>
      </c>
      <c r="AF24" s="1">
        <v>343.6</v>
      </c>
      <c r="AG24" s="1">
        <v>121.2</v>
      </c>
      <c r="AH24" s="52">
        <f>IF(ISNUMBER(Tabella2[[#This Row],[Mean RADIAL stress  (MPa)]]), Tabella2[[#This Row],[Mean RADIAL stress  (MPa)]],"")</f>
        <v>0</v>
      </c>
      <c r="AI24" s="27">
        <f>IF(ISNUMBER(Tabella2[[#This Row],[Amplitute RADIAL stress  (MPa)]]), Tabella2[[#This Row],[Amplitute RADIAL stress  (MPa)]],"")</f>
        <v>0</v>
      </c>
      <c r="AJ24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24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19545.734298706877</v>
      </c>
      <c r="AL24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24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10529.24967170144</v>
      </c>
      <c r="AP24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0.28278114792347175</v>
      </c>
      <c r="AQ24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477.24865636269737</v>
      </c>
    </row>
    <row r="25" spans="1:43" ht="20.100000000000001" customHeight="1" x14ac:dyDescent="0.25">
      <c r="A25" s="1" t="s">
        <v>68</v>
      </c>
      <c r="B25" s="1">
        <v>1963</v>
      </c>
      <c r="C25" s="45" t="s">
        <v>65</v>
      </c>
      <c r="D25" s="1" t="s">
        <v>69</v>
      </c>
      <c r="E25" s="66">
        <v>10000023</v>
      </c>
      <c r="F25" s="1" t="s">
        <v>32</v>
      </c>
      <c r="G25" s="67" t="s">
        <v>41</v>
      </c>
      <c r="H25" s="82" t="e" vm="1">
        <v>#VALUE!</v>
      </c>
      <c r="I25" s="1" t="s">
        <v>27</v>
      </c>
      <c r="J25" s="1" t="s">
        <v>20</v>
      </c>
      <c r="K25" s="1" t="s">
        <v>21</v>
      </c>
      <c r="L25" s="1" t="s">
        <v>21</v>
      </c>
      <c r="M25" s="1">
        <v>0</v>
      </c>
      <c r="N25" s="71">
        <v>7.62</v>
      </c>
      <c r="O25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5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5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5" s="1">
        <v>0</v>
      </c>
      <c r="S25" s="1">
        <v>0</v>
      </c>
      <c r="T25" s="1">
        <v>0</v>
      </c>
      <c r="U25" s="26">
        <v>36</v>
      </c>
      <c r="V25" s="31">
        <v>36</v>
      </c>
      <c r="W25" s="31">
        <v>36</v>
      </c>
      <c r="X25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0.25675197546880518</v>
      </c>
      <c r="Z25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0.24132947976878616</v>
      </c>
      <c r="AA25" s="52">
        <v>0</v>
      </c>
      <c r="AB25" s="27">
        <v>0</v>
      </c>
      <c r="AC25" s="1">
        <v>532.79999999999995</v>
      </c>
      <c r="AD25" s="1">
        <v>315.10000000000002</v>
      </c>
      <c r="AE25" s="31" t="s">
        <v>61</v>
      </c>
      <c r="AF25" s="1">
        <v>343.6</v>
      </c>
      <c r="AG25" s="1">
        <v>210</v>
      </c>
      <c r="AH25" s="52">
        <f>IF(ISNUMBER(Tabella2[[#This Row],[Mean RADIAL stress  (MPa)]]), Tabella2[[#This Row],[Mean RADIAL stress  (MPa)]],"")</f>
        <v>0</v>
      </c>
      <c r="AI25" s="27">
        <f>IF(ISNUMBER(Tabella2[[#This Row],[Amplitute RADIAL stress  (MPa)]]), Tabella2[[#This Row],[Amplitute RADIAL stress  (MPa)]],"")</f>
        <v>0</v>
      </c>
      <c r="AJ25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25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14369.717399725938</v>
      </c>
      <c r="AL25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25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18243.749431165859</v>
      </c>
      <c r="AP25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0.66645509362107258</v>
      </c>
      <c r="AQ25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481.23591927452799</v>
      </c>
    </row>
    <row r="26" spans="1:43" ht="20.100000000000001" customHeight="1" x14ac:dyDescent="0.25">
      <c r="A26" s="1" t="s">
        <v>68</v>
      </c>
      <c r="B26" s="1">
        <v>1964</v>
      </c>
      <c r="C26" s="45" t="s">
        <v>65</v>
      </c>
      <c r="D26" s="1" t="s">
        <v>69</v>
      </c>
      <c r="E26" s="66">
        <v>10000024</v>
      </c>
      <c r="F26" s="1" t="s">
        <v>32</v>
      </c>
      <c r="G26" s="67" t="s">
        <v>41</v>
      </c>
      <c r="H26" s="82" t="e" vm="1">
        <v>#VALUE!</v>
      </c>
      <c r="I26" s="1" t="s">
        <v>27</v>
      </c>
      <c r="J26" s="1" t="s">
        <v>20</v>
      </c>
      <c r="K26" s="1" t="s">
        <v>21</v>
      </c>
      <c r="L26" s="1" t="s">
        <v>21</v>
      </c>
      <c r="M26" s="1">
        <v>0</v>
      </c>
      <c r="N26" s="71">
        <v>7.62</v>
      </c>
      <c r="O26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6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6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6" s="1">
        <v>0</v>
      </c>
      <c r="S26" s="1">
        <v>0</v>
      </c>
      <c r="T26" s="1">
        <v>0</v>
      </c>
      <c r="U26" s="26">
        <v>36</v>
      </c>
      <c r="V26" s="31">
        <v>36</v>
      </c>
      <c r="W26" s="31">
        <v>36</v>
      </c>
      <c r="X26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0.61601455868971788</v>
      </c>
      <c r="Z26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0.15437594490173029</v>
      </c>
      <c r="AA26" s="52">
        <v>0</v>
      </c>
      <c r="AB26" s="27">
        <v>0</v>
      </c>
      <c r="AC26" s="1">
        <v>532.79999999999995</v>
      </c>
      <c r="AD26" s="1">
        <v>126.6</v>
      </c>
      <c r="AE26" s="31" t="s">
        <v>61</v>
      </c>
      <c r="AF26" s="1">
        <v>343.6</v>
      </c>
      <c r="AG26" s="1">
        <v>251.7</v>
      </c>
      <c r="AH26" s="52">
        <f>IF(ISNUMBER(Tabella2[[#This Row],[Mean RADIAL stress  (MPa)]]), Tabella2[[#This Row],[Mean RADIAL stress  (MPa)]],"")</f>
        <v>0</v>
      </c>
      <c r="AI26" s="27">
        <f>IF(ISNUMBER(Tabella2[[#This Row],[Amplitute RADIAL stress  (MPa)]]), Tabella2[[#This Row],[Amplitute RADIAL stress  (MPa)]],"")</f>
        <v>0</v>
      </c>
      <c r="AJ26" s="27">
        <f>IF(ISNUMBER(Tabella2[[#This Row],[Mean AXIAL stress  (MPa)]]), IF(Tabella2[[#This Row],[derived from (AXIAL/BENDING) load]]="AXIAL",Tabella2[[#This Row],[Mean AXIAL stress  (MPa)]]*Tabella2[[#This Row],[Area (mm^2)]],"Null"), "")</f>
        <v>24297.637037683209</v>
      </c>
      <c r="AK26" s="27">
        <f>IF(ISNUMBER(Tabella2[[#This Row],[Amplitute AXIAL stress  (MPa)]]),    IF(Tabella2[[#This Row],[derived from (AXIAL/BENDING) load]]="AXIAL",Tabella2[[#This Row],[Amplitute AXIAL stress  (MPa)]]*Tabella2[[#This Row],[Area (mm^2)]],"Null"), "")</f>
        <v>5773.425016836889</v>
      </c>
      <c r="AL26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29850.249069278994</v>
      </c>
      <c r="AO26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21866.436818211649</v>
      </c>
      <c r="AP26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1.9881516587677726</v>
      </c>
      <c r="AQ26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453.96721247244272</v>
      </c>
    </row>
    <row r="27" spans="1:43" ht="20.100000000000001" customHeight="1" x14ac:dyDescent="0.25">
      <c r="A27" s="1" t="s">
        <v>68</v>
      </c>
      <c r="B27" s="1">
        <v>1965</v>
      </c>
      <c r="C27" s="45" t="s">
        <v>65</v>
      </c>
      <c r="D27" s="1" t="s">
        <v>69</v>
      </c>
      <c r="E27" s="66">
        <v>10000025</v>
      </c>
      <c r="F27" s="1" t="s">
        <v>32</v>
      </c>
      <c r="G27" s="67" t="s">
        <v>41</v>
      </c>
      <c r="H27" s="82" t="e" vm="1">
        <v>#VALUE!</v>
      </c>
      <c r="I27" s="1" t="s">
        <v>27</v>
      </c>
      <c r="J27" s="1" t="s">
        <v>20</v>
      </c>
      <c r="K27" s="1" t="s">
        <v>21</v>
      </c>
      <c r="L27" s="1" t="s">
        <v>21</v>
      </c>
      <c r="M27" s="1">
        <v>0</v>
      </c>
      <c r="N27" s="71">
        <v>7.62</v>
      </c>
      <c r="O27" s="26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7" s="26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7" s="23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7" s="1">
        <v>0</v>
      </c>
      <c r="S27" s="1">
        <v>0</v>
      </c>
      <c r="T27" s="1">
        <v>0</v>
      </c>
      <c r="U27" s="26">
        <v>36</v>
      </c>
      <c r="V27" s="31">
        <v>36</v>
      </c>
      <c r="W27" s="31">
        <v>36</v>
      </c>
      <c r="X27" s="1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14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-0.18344827586206905</v>
      </c>
      <c r="Z27" s="14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27" s="52">
        <v>0</v>
      </c>
      <c r="AB27" s="27">
        <v>0</v>
      </c>
      <c r="AC27" s="1">
        <v>266.39999999999998</v>
      </c>
      <c r="AD27" s="1">
        <v>386.1</v>
      </c>
      <c r="AE27" s="31" t="s">
        <v>61</v>
      </c>
      <c r="AF27" s="1">
        <v>0</v>
      </c>
      <c r="AG27" s="1">
        <v>257.10000000000002</v>
      </c>
      <c r="AH27" s="52">
        <f>IF(ISNUMBER(Tabella2[[#This Row],[Mean RADIAL stress  (MPa)]]), Tabella2[[#This Row],[Mean RADIAL stress  (MPa)]],"")</f>
        <v>0</v>
      </c>
      <c r="AI27" s="27">
        <f>IF(ISNUMBER(Tabella2[[#This Row],[Amplitute RADIAL stress  (MPa)]]), Tabella2[[#This Row],[Amplitute RADIAL stress  (MPa)]],"")</f>
        <v>0</v>
      </c>
      <c r="AJ27" s="27">
        <f>IF(ISNUMBER(Tabella2[[#This Row],[Mean AXIAL stress  (MPa)]]), IF(Tabella2[[#This Row],[derived from (AXIAL/BENDING) load]]="AXIAL",Tabella2[[#This Row],[Mean AXIAL stress  (MPa)]]*Tabella2[[#This Row],[Area (mm^2)]],"Null"), "")</f>
        <v>12148.818518841605</v>
      </c>
      <c r="AK27" s="27">
        <f>IF(ISNUMBER(Tabella2[[#This Row],[Amplitute AXIAL stress  (MPa)]]),    IF(Tabella2[[#This Row],[derived from (AXIAL/BENDING) load]]="AXIAL",Tabella2[[#This Row],[Amplitute AXIAL stress  (MPa)]]*Tabella2[[#This Row],[Area (mm^2)]],"Null"), "")</f>
        <v>17607.578191158947</v>
      </c>
      <c r="AL27" s="27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27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27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22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22335.561803584489</v>
      </c>
      <c r="AP27" s="41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0.66588966588966592</v>
      </c>
      <c r="AQ27" s="1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589.38479790371252</v>
      </c>
    </row>
    <row r="28" spans="1:43" s="17" customFormat="1" ht="20.100000000000001" customHeight="1" thickBot="1" x14ac:dyDescent="0.3">
      <c r="A28" s="17" t="s">
        <v>68</v>
      </c>
      <c r="B28" s="17">
        <v>1966</v>
      </c>
      <c r="C28" s="68" t="s">
        <v>65</v>
      </c>
      <c r="D28" s="17" t="s">
        <v>69</v>
      </c>
      <c r="E28" s="69">
        <v>10000026</v>
      </c>
      <c r="F28" s="17" t="s">
        <v>32</v>
      </c>
      <c r="G28" s="70" t="s">
        <v>41</v>
      </c>
      <c r="H28" s="83" t="e" vm="1">
        <v>#VALUE!</v>
      </c>
      <c r="I28" s="17" t="s">
        <v>27</v>
      </c>
      <c r="J28" s="17" t="s">
        <v>20</v>
      </c>
      <c r="K28" s="17" t="s">
        <v>21</v>
      </c>
      <c r="L28" s="17" t="s">
        <v>21</v>
      </c>
      <c r="M28" s="17">
        <v>0</v>
      </c>
      <c r="N28" s="72">
        <v>7.62</v>
      </c>
      <c r="O28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45.603673118774793</v>
      </c>
      <c r="P28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165.49686983986172</v>
      </c>
      <c r="Q28" s="34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330.99373967972343</v>
      </c>
      <c r="R28" s="17">
        <v>0</v>
      </c>
      <c r="S28" s="17">
        <v>0</v>
      </c>
      <c r="T28" s="17">
        <v>0</v>
      </c>
      <c r="U28" s="18">
        <v>36</v>
      </c>
      <c r="V28" s="32">
        <v>36</v>
      </c>
      <c r="W28" s="32">
        <v>36</v>
      </c>
      <c r="X28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20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8" s="20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-0.20141010575793181</v>
      </c>
      <c r="AA28" s="54">
        <v>0</v>
      </c>
      <c r="AB28" s="19">
        <v>0</v>
      </c>
      <c r="AC28" s="17">
        <v>0</v>
      </c>
      <c r="AD28" s="17">
        <v>383.8</v>
      </c>
      <c r="AE28" s="32" t="s">
        <v>61</v>
      </c>
      <c r="AF28" s="17">
        <v>169.9</v>
      </c>
      <c r="AG28" s="17">
        <v>255.6</v>
      </c>
      <c r="AH28" s="54">
        <f>IF(ISNUMBER(Tabella2[[#This Row],[Mean RADIAL stress  (MPa)]]), Tabella2[[#This Row],[Mean RADIAL stress  (MPa)]],"")</f>
        <v>0</v>
      </c>
      <c r="AI28" s="19">
        <f>IF(ISNUMBER(Tabella2[[#This Row],[Amplitute RADIAL stress  (MPa)]]), Tabella2[[#This Row],[Amplitute RADIAL stress  (MPa)]],"")</f>
        <v>0</v>
      </c>
      <c r="AJ28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19">
        <f>IF(ISNUMBER(Tabella2[[#This Row],[Amplitute AXIAL stress  (MPa)]]),    IF(Tabella2[[#This Row],[derived from (AXIAL/BENDING) load]]="AXIAL",Tabella2[[#This Row],[Amplitute AXIAL stress  (MPa)]]*Tabella2[[#This Row],[Area (mm^2)]],"Null"), "")</f>
        <v>17502.689742985767</v>
      </c>
      <c r="AL28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14760.062039786093</v>
      </c>
      <c r="AO28" s="39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22205.249307647588</v>
      </c>
      <c r="AP28" s="42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0.66597186034392908</v>
      </c>
      <c r="AQ28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585.91511330567334</v>
      </c>
    </row>
    <row r="29" spans="1:43" ht="20.100000000000001" customHeight="1" x14ac:dyDescent="0.25">
      <c r="A29"/>
      <c r="B29"/>
      <c r="C29"/>
      <c r="D29"/>
      <c r="E29"/>
      <c r="F29"/>
      <c r="G29"/>
      <c r="H29" s="7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 s="74"/>
      <c r="Z29" s="74"/>
      <c r="AA29"/>
      <c r="AB29"/>
      <c r="AC29"/>
      <c r="AD29"/>
      <c r="AE29"/>
      <c r="AF29"/>
      <c r="AG29"/>
      <c r="AH29" s="79"/>
      <c r="AI29"/>
      <c r="AJ29"/>
      <c r="AK29"/>
      <c r="AL29"/>
      <c r="AM29"/>
      <c r="AN29"/>
      <c r="AO29"/>
      <c r="AP29"/>
      <c r="AQ29"/>
    </row>
    <row r="30" spans="1:43" ht="20.100000000000001" customHeight="1" x14ac:dyDescent="0.25">
      <c r="A30"/>
      <c r="B30"/>
      <c r="C30"/>
      <c r="D30"/>
      <c r="E30"/>
      <c r="F30"/>
      <c r="G30"/>
      <c r="H30" s="7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 s="74"/>
      <c r="Z30" s="74"/>
      <c r="AA30"/>
      <c r="AB30"/>
      <c r="AC30"/>
      <c r="AD30"/>
      <c r="AE30"/>
      <c r="AF30"/>
      <c r="AG30"/>
      <c r="AH30" s="79"/>
      <c r="AI30"/>
      <c r="AJ30"/>
      <c r="AK30"/>
      <c r="AL30"/>
      <c r="AM30"/>
      <c r="AN30"/>
      <c r="AO30"/>
      <c r="AP30"/>
      <c r="AQ30"/>
    </row>
    <row r="31" spans="1:43" s="35" customFormat="1" ht="20.100000000000001" customHeight="1" x14ac:dyDescent="0.25">
      <c r="A31"/>
      <c r="B31"/>
      <c r="C31"/>
      <c r="D31"/>
      <c r="E31"/>
      <c r="F31"/>
      <c r="G31"/>
      <c r="H31" s="7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 s="74"/>
      <c r="Z31" s="74"/>
      <c r="AA31"/>
      <c r="AB31"/>
      <c r="AC31"/>
      <c r="AD31"/>
      <c r="AE31"/>
      <c r="AF31"/>
      <c r="AG31"/>
      <c r="AH31" s="79"/>
      <c r="AI31"/>
      <c r="AJ31"/>
      <c r="AK31"/>
      <c r="AL31"/>
      <c r="AM31"/>
      <c r="AN31"/>
      <c r="AO31"/>
      <c r="AP31"/>
      <c r="AQ31"/>
    </row>
    <row r="32" spans="1:43" ht="20.100000000000001" customHeight="1" x14ac:dyDescent="0.25">
      <c r="A32"/>
      <c r="B32"/>
      <c r="C32"/>
      <c r="D32"/>
      <c r="E32"/>
      <c r="F32"/>
      <c r="G32"/>
      <c r="H32" s="7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 s="74"/>
      <c r="Z32" s="74"/>
      <c r="AA32"/>
      <c r="AB32"/>
      <c r="AC32"/>
      <c r="AD32"/>
      <c r="AE32"/>
      <c r="AF32"/>
      <c r="AG32"/>
      <c r="AH32" s="79"/>
      <c r="AI32"/>
      <c r="AJ32"/>
      <c r="AK32"/>
      <c r="AL32"/>
      <c r="AM32"/>
      <c r="AN32"/>
      <c r="AO32"/>
      <c r="AP32"/>
      <c r="AQ32"/>
    </row>
    <row r="33" spans="1:43" ht="20.100000000000001" customHeight="1" x14ac:dyDescent="0.25">
      <c r="A33"/>
      <c r="B33"/>
      <c r="C33"/>
      <c r="D33"/>
      <c r="E33"/>
      <c r="F33"/>
      <c r="G33"/>
      <c r="H33" s="7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s="74"/>
      <c r="Z33" s="74"/>
      <c r="AA33"/>
      <c r="AB33"/>
      <c r="AC33"/>
      <c r="AD33"/>
      <c r="AE33"/>
      <c r="AF33"/>
      <c r="AG33"/>
      <c r="AH33" s="79"/>
      <c r="AI33"/>
      <c r="AJ33"/>
      <c r="AK33"/>
      <c r="AL33"/>
      <c r="AM33"/>
      <c r="AN33"/>
      <c r="AO33"/>
      <c r="AP33"/>
      <c r="AQ33"/>
    </row>
    <row r="34" spans="1:43" ht="20.100000000000001" customHeight="1" x14ac:dyDescent="0.25">
      <c r="A34"/>
      <c r="B34"/>
      <c r="C34"/>
      <c r="D34"/>
      <c r="E34"/>
      <c r="F34"/>
      <c r="G34"/>
      <c r="H34" s="7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 s="74"/>
      <c r="Z34" s="74"/>
      <c r="AA34"/>
      <c r="AB34"/>
      <c r="AC34"/>
      <c r="AD34"/>
      <c r="AE34"/>
      <c r="AF34"/>
      <c r="AG34"/>
      <c r="AH34" s="79"/>
      <c r="AI34"/>
      <c r="AJ34"/>
      <c r="AK34"/>
      <c r="AL34"/>
      <c r="AM34"/>
      <c r="AN34"/>
      <c r="AO34"/>
      <c r="AP34"/>
      <c r="AQ34"/>
    </row>
    <row r="35" spans="1:43" ht="20.100000000000001" customHeight="1" x14ac:dyDescent="0.25">
      <c r="A35"/>
      <c r="B35"/>
      <c r="C35"/>
      <c r="D35"/>
      <c r="E35"/>
      <c r="F35"/>
      <c r="G35"/>
      <c r="H35" s="79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s="74"/>
      <c r="Z35" s="74"/>
      <c r="AA35"/>
      <c r="AB35"/>
      <c r="AC35"/>
      <c r="AD35"/>
      <c r="AE35"/>
      <c r="AF35"/>
      <c r="AG35"/>
      <c r="AH35" s="79"/>
      <c r="AI35"/>
      <c r="AJ35"/>
      <c r="AK35"/>
      <c r="AL35"/>
      <c r="AM35"/>
      <c r="AN35"/>
      <c r="AO35"/>
      <c r="AP35"/>
      <c r="AQ35"/>
    </row>
    <row r="36" spans="1:43" ht="20.100000000000001" customHeight="1" x14ac:dyDescent="0.25">
      <c r="A36"/>
      <c r="B36"/>
      <c r="C36"/>
      <c r="D36"/>
      <c r="E36"/>
      <c r="F36"/>
      <c r="G36"/>
      <c r="H36" s="79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s="74"/>
      <c r="Z36" s="74"/>
      <c r="AA36"/>
      <c r="AB36"/>
      <c r="AC36"/>
      <c r="AD36"/>
      <c r="AE36"/>
      <c r="AF36"/>
      <c r="AG36"/>
      <c r="AH36" s="79"/>
      <c r="AI36"/>
      <c r="AJ36"/>
      <c r="AK36"/>
      <c r="AL36"/>
      <c r="AM36"/>
      <c r="AN36"/>
      <c r="AO36"/>
      <c r="AP36"/>
      <c r="AQ36"/>
    </row>
    <row r="37" spans="1:43" ht="20.100000000000001" customHeight="1" x14ac:dyDescent="0.25">
      <c r="A37"/>
      <c r="B37"/>
      <c r="C37"/>
      <c r="D37"/>
      <c r="E37"/>
      <c r="F37"/>
      <c r="G37"/>
      <c r="H37" s="79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s="74"/>
      <c r="Z37" s="74"/>
      <c r="AA37"/>
      <c r="AB37"/>
      <c r="AC37"/>
      <c r="AD37"/>
      <c r="AE37"/>
      <c r="AF37"/>
      <c r="AG37"/>
      <c r="AH37" s="79"/>
      <c r="AI37"/>
      <c r="AJ37"/>
      <c r="AK37"/>
      <c r="AL37"/>
      <c r="AM37"/>
      <c r="AN37"/>
      <c r="AO37"/>
      <c r="AP37"/>
      <c r="AQ37"/>
    </row>
    <row r="38" spans="1:43" ht="20.100000000000001" customHeight="1" x14ac:dyDescent="0.25">
      <c r="A38"/>
      <c r="B38"/>
      <c r="C38"/>
      <c r="D38"/>
      <c r="E38"/>
      <c r="F38"/>
      <c r="G38"/>
      <c r="H38" s="79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s="74"/>
      <c r="Z38" s="74"/>
      <c r="AA38"/>
      <c r="AB38"/>
      <c r="AC38"/>
      <c r="AD38"/>
      <c r="AE38"/>
      <c r="AF38"/>
      <c r="AG38"/>
      <c r="AH38" s="79"/>
      <c r="AI38"/>
      <c r="AJ38"/>
      <c r="AK38"/>
      <c r="AL38"/>
      <c r="AM38"/>
      <c r="AN38"/>
      <c r="AO38"/>
      <c r="AP38"/>
      <c r="AQ38"/>
    </row>
    <row r="39" spans="1:43" ht="20.100000000000001" customHeight="1" x14ac:dyDescent="0.25">
      <c r="A39"/>
      <c r="B39"/>
      <c r="C39"/>
      <c r="D39"/>
      <c r="E39"/>
      <c r="F39"/>
      <c r="G39"/>
      <c r="H39" s="7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s="74"/>
      <c r="Z39" s="74"/>
      <c r="AA39"/>
      <c r="AB39"/>
      <c r="AC39"/>
      <c r="AD39"/>
      <c r="AE39"/>
      <c r="AF39"/>
      <c r="AG39"/>
      <c r="AH39" s="79"/>
      <c r="AI39"/>
      <c r="AJ39"/>
      <c r="AK39"/>
      <c r="AL39"/>
      <c r="AM39"/>
      <c r="AN39"/>
      <c r="AO39"/>
      <c r="AP39"/>
      <c r="AQ39"/>
    </row>
    <row r="40" spans="1:43" ht="20.100000000000001" customHeight="1" x14ac:dyDescent="0.25">
      <c r="A40"/>
      <c r="B40"/>
      <c r="C40"/>
      <c r="D40"/>
      <c r="E40"/>
      <c r="F40"/>
      <c r="G40"/>
      <c r="H40" s="79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s="74"/>
      <c r="Z40" s="74"/>
      <c r="AA40"/>
      <c r="AB40"/>
      <c r="AC40"/>
      <c r="AD40"/>
      <c r="AE40"/>
      <c r="AF40"/>
      <c r="AG40"/>
      <c r="AH40" s="79"/>
      <c r="AI40"/>
      <c r="AJ40"/>
      <c r="AK40"/>
      <c r="AL40"/>
      <c r="AM40"/>
      <c r="AN40"/>
      <c r="AO40"/>
      <c r="AP40"/>
      <c r="AQ40"/>
    </row>
    <row r="41" spans="1:43" ht="20.100000000000001" customHeight="1" x14ac:dyDescent="0.25">
      <c r="A41"/>
      <c r="B41"/>
      <c r="C41"/>
      <c r="D41"/>
      <c r="E41"/>
      <c r="F41"/>
      <c r="G41"/>
      <c r="H41" s="79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s="74"/>
      <c r="Z41" s="74"/>
      <c r="AA41"/>
      <c r="AB41"/>
      <c r="AC41"/>
      <c r="AD41"/>
      <c r="AE41"/>
      <c r="AF41"/>
      <c r="AG41"/>
      <c r="AH41" s="79"/>
      <c r="AI41"/>
      <c r="AJ41"/>
      <c r="AK41"/>
      <c r="AL41"/>
      <c r="AM41"/>
      <c r="AN41"/>
      <c r="AO41"/>
      <c r="AP41"/>
      <c r="AQ41"/>
    </row>
    <row r="42" spans="1:43" ht="20.100000000000001" customHeight="1" x14ac:dyDescent="0.25">
      <c r="A42"/>
      <c r="B42"/>
      <c r="C42"/>
      <c r="D42"/>
      <c r="E42"/>
      <c r="F42"/>
      <c r="G42"/>
      <c r="H42" s="79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s="74"/>
      <c r="Z42" s="74"/>
      <c r="AA42"/>
      <c r="AB42"/>
      <c r="AC42"/>
      <c r="AD42"/>
      <c r="AE42"/>
      <c r="AF42"/>
      <c r="AG42"/>
      <c r="AH42" s="79"/>
      <c r="AI42"/>
      <c r="AJ42"/>
      <c r="AK42"/>
      <c r="AL42"/>
      <c r="AM42"/>
      <c r="AN42"/>
      <c r="AO42"/>
      <c r="AP42"/>
      <c r="AQ42"/>
    </row>
    <row r="43" spans="1:43" ht="20.100000000000001" customHeight="1" x14ac:dyDescent="0.25">
      <c r="A43"/>
      <c r="B43"/>
      <c r="C43"/>
      <c r="D43"/>
      <c r="E43"/>
      <c r="F43"/>
      <c r="G43"/>
      <c r="H43" s="79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s="74"/>
      <c r="Z43" s="74"/>
      <c r="AA43"/>
      <c r="AB43"/>
      <c r="AC43"/>
      <c r="AD43"/>
      <c r="AE43"/>
      <c r="AF43"/>
      <c r="AG43"/>
      <c r="AH43" s="79"/>
      <c r="AI43"/>
      <c r="AJ43"/>
      <c r="AK43"/>
      <c r="AL43"/>
      <c r="AM43"/>
      <c r="AN43"/>
      <c r="AO43"/>
      <c r="AP43"/>
      <c r="AQ43"/>
    </row>
    <row r="44" spans="1:43" ht="20.100000000000001" customHeight="1" x14ac:dyDescent="0.25">
      <c r="A44"/>
      <c r="B44"/>
      <c r="C44"/>
      <c r="D44"/>
      <c r="E44"/>
      <c r="F44"/>
      <c r="G44"/>
      <c r="H44" s="79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s="74"/>
      <c r="Z44" s="74"/>
      <c r="AA44"/>
      <c r="AB44"/>
      <c r="AC44"/>
      <c r="AD44"/>
      <c r="AE44"/>
      <c r="AF44"/>
      <c r="AG44"/>
      <c r="AH44" s="79"/>
      <c r="AI44"/>
      <c r="AJ44"/>
      <c r="AK44"/>
      <c r="AL44"/>
      <c r="AM44"/>
      <c r="AN44"/>
      <c r="AO44"/>
      <c r="AP44"/>
      <c r="AQ44"/>
    </row>
    <row r="45" spans="1:43" ht="20.100000000000001" customHeight="1" x14ac:dyDescent="0.25">
      <c r="A45"/>
      <c r="B45"/>
      <c r="C45"/>
      <c r="D45"/>
      <c r="E45"/>
      <c r="F45"/>
      <c r="G45"/>
      <c r="H45" s="79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 s="74"/>
      <c r="Z45" s="74"/>
      <c r="AA45"/>
      <c r="AB45"/>
      <c r="AC45"/>
      <c r="AD45"/>
      <c r="AE45"/>
      <c r="AF45"/>
      <c r="AG45"/>
      <c r="AH45" s="79"/>
      <c r="AI45"/>
      <c r="AJ45"/>
      <c r="AK45"/>
      <c r="AL45"/>
      <c r="AM45"/>
      <c r="AN45"/>
      <c r="AO45"/>
      <c r="AP45"/>
      <c r="AQ45"/>
    </row>
    <row r="46" spans="1:43" ht="20.100000000000001" customHeight="1" x14ac:dyDescent="0.25">
      <c r="A46"/>
      <c r="B46"/>
      <c r="C46"/>
      <c r="D46"/>
      <c r="E46"/>
      <c r="F46"/>
      <c r="G46"/>
      <c r="H46" s="79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 s="74"/>
      <c r="Z46" s="74"/>
      <c r="AA46"/>
      <c r="AB46"/>
      <c r="AC46"/>
      <c r="AD46"/>
      <c r="AE46"/>
      <c r="AF46"/>
      <c r="AG46"/>
      <c r="AH46" s="79"/>
      <c r="AI46"/>
      <c r="AJ46"/>
      <c r="AK46"/>
      <c r="AL46"/>
      <c r="AM46"/>
      <c r="AN46"/>
      <c r="AO46"/>
      <c r="AP46"/>
      <c r="AQ46"/>
    </row>
    <row r="47" spans="1:43" ht="20.100000000000001" customHeight="1" x14ac:dyDescent="0.25">
      <c r="A47"/>
      <c r="B47"/>
      <c r="C47"/>
      <c r="D47"/>
      <c r="E47"/>
      <c r="F47"/>
      <c r="G47"/>
      <c r="H47" s="79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 s="74"/>
      <c r="Z47" s="74"/>
      <c r="AA47"/>
      <c r="AB47"/>
      <c r="AC47"/>
      <c r="AD47"/>
      <c r="AE47"/>
      <c r="AF47"/>
      <c r="AG47"/>
      <c r="AH47" s="79"/>
      <c r="AI47"/>
      <c r="AJ47"/>
      <c r="AK47"/>
      <c r="AL47"/>
      <c r="AM47"/>
      <c r="AN47"/>
      <c r="AO47"/>
      <c r="AP47"/>
      <c r="AQ47"/>
    </row>
    <row r="48" spans="1:43" ht="20.100000000000001" customHeight="1" x14ac:dyDescent="0.25">
      <c r="A48"/>
      <c r="B48"/>
      <c r="C48"/>
      <c r="D48"/>
      <c r="E48"/>
      <c r="F48"/>
      <c r="G48"/>
      <c r="H48" s="79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 s="74"/>
      <c r="Z48" s="74"/>
      <c r="AA48"/>
      <c r="AB48"/>
      <c r="AC48"/>
      <c r="AD48"/>
      <c r="AE48"/>
      <c r="AF48"/>
      <c r="AG48"/>
      <c r="AH48" s="79"/>
      <c r="AI48"/>
      <c r="AJ48"/>
      <c r="AK48"/>
      <c r="AL48"/>
      <c r="AM48"/>
      <c r="AN48"/>
      <c r="AO48"/>
      <c r="AP48"/>
      <c r="AQ48"/>
    </row>
    <row r="49" spans="1:43" ht="20.100000000000001" customHeight="1" x14ac:dyDescent="0.25">
      <c r="A49"/>
      <c r="B49"/>
      <c r="C49"/>
      <c r="D49"/>
      <c r="E49"/>
      <c r="F49"/>
      <c r="G49"/>
      <c r="H49" s="7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s="74"/>
      <c r="Z49" s="74"/>
      <c r="AA49"/>
      <c r="AB49"/>
      <c r="AC49"/>
      <c r="AD49"/>
      <c r="AE49"/>
      <c r="AF49"/>
      <c r="AG49"/>
      <c r="AH49" s="79"/>
      <c r="AI49"/>
      <c r="AJ49"/>
      <c r="AK49"/>
      <c r="AL49"/>
      <c r="AM49"/>
      <c r="AN49"/>
      <c r="AO49"/>
      <c r="AP49"/>
      <c r="AQ49"/>
    </row>
    <row r="50" spans="1:43" ht="20.100000000000001" customHeight="1" x14ac:dyDescent="0.25">
      <c r="A50"/>
      <c r="B50"/>
      <c r="C50"/>
      <c r="D50"/>
      <c r="E50"/>
      <c r="F50"/>
      <c r="G50"/>
      <c r="H50" s="79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s="74"/>
      <c r="Z50" s="74"/>
      <c r="AA50"/>
      <c r="AB50"/>
      <c r="AC50"/>
      <c r="AD50"/>
      <c r="AE50"/>
      <c r="AF50"/>
      <c r="AG50"/>
      <c r="AH50" s="79"/>
      <c r="AI50"/>
      <c r="AJ50"/>
      <c r="AK50"/>
      <c r="AL50"/>
      <c r="AM50"/>
      <c r="AN50"/>
      <c r="AO50"/>
      <c r="AP50"/>
      <c r="AQ50"/>
    </row>
    <row r="51" spans="1:43" ht="20.100000000000001" customHeight="1" x14ac:dyDescent="0.25">
      <c r="A51"/>
      <c r="B51"/>
      <c r="C51"/>
      <c r="D51"/>
      <c r="E51"/>
      <c r="F51"/>
      <c r="G51"/>
      <c r="H51" s="79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s="74"/>
      <c r="Z51" s="74"/>
      <c r="AA51"/>
      <c r="AB51"/>
      <c r="AC51"/>
      <c r="AD51"/>
      <c r="AE51"/>
      <c r="AF51"/>
      <c r="AG51"/>
      <c r="AH51" s="79"/>
      <c r="AI51"/>
      <c r="AJ51"/>
      <c r="AK51"/>
      <c r="AL51"/>
      <c r="AM51"/>
      <c r="AN51"/>
      <c r="AO51"/>
      <c r="AP51"/>
      <c r="AQ51"/>
    </row>
    <row r="52" spans="1:43" ht="20.100000000000001" customHeight="1" x14ac:dyDescent="0.25">
      <c r="A52"/>
      <c r="B52"/>
      <c r="C52"/>
      <c r="D52"/>
      <c r="E52"/>
      <c r="F52"/>
      <c r="G52"/>
      <c r="H52" s="79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s="74"/>
      <c r="Z52" s="74"/>
      <c r="AA52"/>
      <c r="AB52"/>
      <c r="AC52"/>
      <c r="AD52"/>
      <c r="AE52"/>
      <c r="AF52"/>
      <c r="AG52"/>
      <c r="AH52" s="79"/>
      <c r="AI52"/>
      <c r="AJ52"/>
      <c r="AK52"/>
      <c r="AL52"/>
      <c r="AM52"/>
      <c r="AN52"/>
      <c r="AO52"/>
      <c r="AP52"/>
      <c r="AQ52"/>
    </row>
    <row r="53" spans="1:43" ht="20.100000000000001" customHeight="1" x14ac:dyDescent="0.25">
      <c r="A53"/>
      <c r="B53"/>
      <c r="C53"/>
      <c r="D53"/>
      <c r="E53"/>
      <c r="F53"/>
      <c r="G53"/>
      <c r="H53" s="79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s="74"/>
      <c r="Z53" s="74"/>
      <c r="AA53"/>
      <c r="AB53"/>
      <c r="AC53"/>
      <c r="AD53"/>
      <c r="AE53"/>
      <c r="AF53"/>
      <c r="AG53"/>
      <c r="AH53" s="79"/>
      <c r="AI53"/>
      <c r="AJ53"/>
      <c r="AK53"/>
      <c r="AL53"/>
      <c r="AM53"/>
      <c r="AN53"/>
      <c r="AO53"/>
      <c r="AP53"/>
      <c r="AQ53"/>
    </row>
    <row r="54" spans="1:43" ht="20.100000000000001" customHeight="1" x14ac:dyDescent="0.25">
      <c r="A54"/>
      <c r="B54"/>
      <c r="C54"/>
      <c r="D54"/>
      <c r="E54"/>
      <c r="F54"/>
      <c r="G54"/>
      <c r="H54" s="79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74"/>
      <c r="Z54" s="74"/>
      <c r="AA54"/>
      <c r="AB54"/>
      <c r="AC54"/>
      <c r="AD54"/>
      <c r="AE54"/>
      <c r="AF54"/>
      <c r="AG54"/>
      <c r="AH54" s="79"/>
      <c r="AI54"/>
      <c r="AJ54"/>
      <c r="AK54"/>
      <c r="AL54"/>
      <c r="AM54"/>
      <c r="AN54"/>
      <c r="AO54"/>
      <c r="AP54"/>
      <c r="AQ54"/>
    </row>
    <row r="55" spans="1:43" ht="20.100000000000001" customHeight="1" x14ac:dyDescent="0.25">
      <c r="A55"/>
      <c r="B55"/>
      <c r="C55"/>
      <c r="D55"/>
      <c r="E55"/>
      <c r="F55"/>
      <c r="G55"/>
      <c r="H55" s="79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74"/>
      <c r="Z55" s="74"/>
      <c r="AA55"/>
      <c r="AB55"/>
      <c r="AC55"/>
      <c r="AD55"/>
      <c r="AE55"/>
      <c r="AF55"/>
      <c r="AG55"/>
      <c r="AH55" s="79"/>
      <c r="AI55"/>
      <c r="AJ55"/>
      <c r="AK55"/>
      <c r="AL55"/>
      <c r="AM55"/>
      <c r="AN55"/>
      <c r="AO55"/>
      <c r="AP55"/>
      <c r="AQ55"/>
    </row>
    <row r="56" spans="1:43" ht="19.5" customHeight="1" x14ac:dyDescent="0.25">
      <c r="A56"/>
      <c r="B56"/>
      <c r="C56"/>
      <c r="D56"/>
      <c r="E56"/>
      <c r="F56"/>
      <c r="G56"/>
      <c r="H56" s="79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 s="74"/>
      <c r="Z56" s="74"/>
      <c r="AA56"/>
      <c r="AB56"/>
      <c r="AC56"/>
      <c r="AD56"/>
      <c r="AE56"/>
      <c r="AF56"/>
      <c r="AG56"/>
      <c r="AH56" s="79"/>
      <c r="AI56"/>
      <c r="AJ56"/>
      <c r="AK56"/>
      <c r="AL56"/>
      <c r="AM56"/>
      <c r="AN56"/>
      <c r="AO56"/>
      <c r="AP56"/>
      <c r="AQ56"/>
    </row>
    <row r="57" spans="1:43" s="17" customFormat="1" ht="20.100000000000001" customHeight="1" thickBot="1" x14ac:dyDescent="0.3">
      <c r="A57"/>
      <c r="B57"/>
      <c r="C57"/>
      <c r="D57"/>
      <c r="E57"/>
      <c r="F57"/>
      <c r="G57"/>
      <c r="H57" s="79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 s="74"/>
      <c r="Z57" s="74"/>
      <c r="AA57"/>
      <c r="AB57"/>
      <c r="AC57"/>
      <c r="AD57"/>
      <c r="AE57"/>
      <c r="AF57"/>
      <c r="AG57"/>
      <c r="AH57" s="79"/>
      <c r="AI57"/>
      <c r="AJ57"/>
      <c r="AK57"/>
      <c r="AL57"/>
      <c r="AM57"/>
      <c r="AN57"/>
      <c r="AO57"/>
      <c r="AP57"/>
      <c r="AQ57"/>
    </row>
    <row r="58" spans="1:43" ht="20.100000000000001" customHeight="1" x14ac:dyDescent="0.25">
      <c r="A58"/>
      <c r="B58"/>
      <c r="C58"/>
      <c r="D58"/>
      <c r="E58"/>
      <c r="F58"/>
      <c r="G58"/>
      <c r="H58" s="79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 s="74"/>
      <c r="Z58" s="74"/>
      <c r="AA58"/>
      <c r="AB58"/>
      <c r="AC58"/>
      <c r="AD58"/>
      <c r="AE58"/>
      <c r="AF58"/>
      <c r="AG58"/>
      <c r="AH58" s="79"/>
      <c r="AI58"/>
      <c r="AJ58"/>
      <c r="AK58"/>
      <c r="AL58"/>
      <c r="AM58"/>
      <c r="AN58"/>
      <c r="AO58"/>
      <c r="AP58"/>
      <c r="AQ58"/>
    </row>
    <row r="59" spans="1:43" ht="20.100000000000001" customHeight="1" x14ac:dyDescent="0.25">
      <c r="A59"/>
      <c r="B59"/>
      <c r="C59"/>
      <c r="D59"/>
      <c r="E59"/>
      <c r="F59"/>
      <c r="G59"/>
      <c r="H59" s="7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 s="74"/>
      <c r="Z59" s="74"/>
      <c r="AA59"/>
      <c r="AB59"/>
      <c r="AC59"/>
      <c r="AD59"/>
      <c r="AE59"/>
      <c r="AF59"/>
      <c r="AG59"/>
      <c r="AH59" s="79"/>
      <c r="AI59"/>
      <c r="AJ59"/>
      <c r="AK59"/>
      <c r="AL59"/>
      <c r="AM59"/>
      <c r="AN59"/>
      <c r="AO59"/>
      <c r="AP59"/>
      <c r="AQ59"/>
    </row>
    <row r="60" spans="1:43" ht="20.100000000000001" customHeight="1" x14ac:dyDescent="0.25">
      <c r="A60"/>
      <c r="B60"/>
      <c r="C60"/>
      <c r="D60"/>
      <c r="E60"/>
      <c r="F60"/>
      <c r="G60"/>
      <c r="H60" s="79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 s="74"/>
      <c r="Z60" s="74"/>
      <c r="AA60"/>
      <c r="AB60"/>
      <c r="AC60"/>
      <c r="AD60"/>
      <c r="AE60"/>
      <c r="AF60"/>
      <c r="AG60"/>
      <c r="AH60" s="79"/>
      <c r="AI60"/>
      <c r="AJ60"/>
      <c r="AK60"/>
      <c r="AL60"/>
      <c r="AM60"/>
      <c r="AN60"/>
      <c r="AO60"/>
      <c r="AP60"/>
      <c r="AQ60"/>
    </row>
    <row r="61" spans="1:43" s="17" customFormat="1" ht="20.100000000000001" customHeight="1" thickBot="1" x14ac:dyDescent="0.3">
      <c r="A61"/>
      <c r="B61"/>
      <c r="C61"/>
      <c r="D61"/>
      <c r="E61"/>
      <c r="F61"/>
      <c r="G61"/>
      <c r="H61" s="79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 s="74"/>
      <c r="Z61" s="74"/>
      <c r="AA61"/>
      <c r="AB61"/>
      <c r="AC61"/>
      <c r="AD61"/>
      <c r="AE61"/>
      <c r="AF61"/>
      <c r="AG61"/>
      <c r="AH61" s="79"/>
      <c r="AI61"/>
      <c r="AJ61"/>
      <c r="AK61"/>
      <c r="AL61"/>
      <c r="AM61"/>
      <c r="AN61"/>
      <c r="AO61"/>
      <c r="AP61"/>
      <c r="AQ61"/>
    </row>
    <row r="62" spans="1:43" x14ac:dyDescent="0.25">
      <c r="O62" s="26"/>
      <c r="P62" s="26"/>
      <c r="AG62" s="76"/>
    </row>
    <row r="63" spans="1:43" x14ac:dyDescent="0.25">
      <c r="O63" s="26"/>
      <c r="P63" s="26"/>
      <c r="AG63" s="76"/>
    </row>
    <row r="64" spans="1:43" x14ac:dyDescent="0.25">
      <c r="O64" s="26"/>
      <c r="P64" s="26"/>
      <c r="AG64" s="76"/>
    </row>
    <row r="65" spans="15:33" x14ac:dyDescent="0.25">
      <c r="O65" s="26"/>
      <c r="P65" s="26"/>
      <c r="AG65" s="76"/>
    </row>
    <row r="66" spans="15:33" x14ac:dyDescent="0.25">
      <c r="O66" s="26"/>
      <c r="P66" s="26"/>
      <c r="AG66" s="76"/>
    </row>
    <row r="67" spans="15:33" x14ac:dyDescent="0.25">
      <c r="O67" s="26"/>
      <c r="P67" s="26"/>
      <c r="AG67" s="76"/>
    </row>
    <row r="68" spans="15:33" ht="13.5" customHeight="1" x14ac:dyDescent="0.25">
      <c r="O68" s="26"/>
      <c r="P68" s="26"/>
      <c r="AG68" s="76"/>
    </row>
    <row r="69" spans="15:33" x14ac:dyDescent="0.25">
      <c r="O69" s="26"/>
      <c r="P69" s="26"/>
      <c r="AG69" s="76"/>
    </row>
    <row r="70" spans="15:33" x14ac:dyDescent="0.25">
      <c r="O70" s="26"/>
      <c r="P70" s="26"/>
      <c r="AG70" s="76"/>
    </row>
    <row r="71" spans="15:33" x14ac:dyDescent="0.25">
      <c r="O71" s="26"/>
      <c r="P71" s="26"/>
      <c r="AG71" s="76"/>
    </row>
    <row r="72" spans="15:33" x14ac:dyDescent="0.25">
      <c r="O72" s="26"/>
      <c r="P72" s="26"/>
      <c r="AG72" s="76"/>
    </row>
    <row r="73" spans="15:33" x14ac:dyDescent="0.25">
      <c r="O73" s="26"/>
      <c r="P73" s="26"/>
      <c r="AG73" s="76"/>
    </row>
    <row r="74" spans="15:33" x14ac:dyDescent="0.25">
      <c r="O74" s="26"/>
      <c r="P74" s="26"/>
      <c r="AG74" s="76"/>
    </row>
    <row r="75" spans="15:33" x14ac:dyDescent="0.25">
      <c r="O75" s="26"/>
      <c r="P75" s="26"/>
      <c r="AG75" s="76"/>
    </row>
    <row r="76" spans="15:33" x14ac:dyDescent="0.25">
      <c r="O76" s="26"/>
      <c r="P76" s="26"/>
      <c r="AG76" s="76"/>
    </row>
    <row r="77" spans="15:33" x14ac:dyDescent="0.25">
      <c r="O77" s="26"/>
      <c r="P77" s="26"/>
      <c r="AG77" s="76"/>
    </row>
    <row r="78" spans="15:33" x14ac:dyDescent="0.25">
      <c r="O78" s="26"/>
      <c r="P78" s="26"/>
      <c r="AG78" s="76"/>
    </row>
    <row r="79" spans="15:33" x14ac:dyDescent="0.25">
      <c r="O79" s="26"/>
      <c r="P79" s="26"/>
      <c r="AG79" s="76"/>
    </row>
    <row r="80" spans="15:33" x14ac:dyDescent="0.25">
      <c r="O80" s="26"/>
      <c r="P80" s="26"/>
      <c r="AG80" s="76"/>
    </row>
    <row r="81" spans="15:33" x14ac:dyDescent="0.25">
      <c r="O81" s="26"/>
      <c r="P81" s="26"/>
      <c r="AG81" s="76"/>
    </row>
    <row r="82" spans="15:33" x14ac:dyDescent="0.25">
      <c r="O82" s="26"/>
      <c r="P82" s="26"/>
      <c r="AG82" s="76"/>
    </row>
    <row r="83" spans="15:33" x14ac:dyDescent="0.25">
      <c r="O83" s="26"/>
      <c r="P83" s="26"/>
      <c r="AG83" s="76"/>
    </row>
    <row r="84" spans="15:33" x14ac:dyDescent="0.25">
      <c r="O84" s="26"/>
      <c r="P84" s="26"/>
      <c r="AG84" s="76"/>
    </row>
    <row r="85" spans="15:33" x14ac:dyDescent="0.25">
      <c r="O85" s="26"/>
      <c r="P85" s="26"/>
      <c r="AG85" s="76"/>
    </row>
    <row r="86" spans="15:33" x14ac:dyDescent="0.25">
      <c r="O86" s="26"/>
      <c r="P86" s="26"/>
      <c r="AG86" s="76"/>
    </row>
    <row r="87" spans="15:33" ht="17.45" customHeight="1" x14ac:dyDescent="0.25">
      <c r="O87" s="26"/>
      <c r="P87" s="26"/>
      <c r="AG87" s="76"/>
    </row>
    <row r="88" spans="15:33" x14ac:dyDescent="0.25">
      <c r="O88" s="26"/>
      <c r="P88" s="26"/>
      <c r="AG88" s="76"/>
    </row>
    <row r="89" spans="15:33" x14ac:dyDescent="0.25">
      <c r="O89" s="26"/>
      <c r="P89" s="26"/>
      <c r="AG89" s="76"/>
    </row>
    <row r="90" spans="15:33" x14ac:dyDescent="0.25">
      <c r="O90" s="26"/>
      <c r="P90" s="26"/>
      <c r="AG90" s="76"/>
    </row>
    <row r="91" spans="15:33" x14ac:dyDescent="0.25">
      <c r="O91" s="26"/>
      <c r="P91" s="26"/>
      <c r="AG91" s="76"/>
    </row>
    <row r="92" spans="15:33" x14ac:dyDescent="0.25">
      <c r="O92" s="26"/>
      <c r="P92" s="26"/>
      <c r="AG92" s="76"/>
    </row>
    <row r="93" spans="15:33" x14ac:dyDescent="0.25">
      <c r="O93" s="26"/>
      <c r="P93" s="26"/>
      <c r="AG93" s="76"/>
    </row>
    <row r="94" spans="15:33" x14ac:dyDescent="0.25">
      <c r="O94" s="26"/>
      <c r="P94" s="26"/>
      <c r="AG94" s="76"/>
    </row>
    <row r="95" spans="15:33" x14ac:dyDescent="0.25">
      <c r="O95" s="26"/>
      <c r="P95" s="26"/>
      <c r="AG95" s="76"/>
    </row>
    <row r="96" spans="15:33" ht="17.45" customHeight="1" x14ac:dyDescent="0.25">
      <c r="O96" s="26"/>
      <c r="P96" s="26"/>
      <c r="AG96" s="76"/>
    </row>
    <row r="97" spans="15:33" x14ac:dyDescent="0.25">
      <c r="O97" s="26"/>
      <c r="P97" s="26"/>
      <c r="AG97" s="76"/>
    </row>
    <row r="98" spans="15:33" x14ac:dyDescent="0.25">
      <c r="O98" s="26"/>
      <c r="P98" s="26"/>
      <c r="AG98" s="76"/>
    </row>
    <row r="99" spans="15:33" x14ac:dyDescent="0.25">
      <c r="O99" s="26"/>
      <c r="P99" s="26"/>
      <c r="AG99" s="76"/>
    </row>
    <row r="100" spans="15:33" x14ac:dyDescent="0.25">
      <c r="O100" s="26"/>
      <c r="P100" s="26"/>
      <c r="AB100" s="47"/>
      <c r="AC100" s="47"/>
      <c r="AG100" s="76"/>
    </row>
    <row r="101" spans="15:33" x14ac:dyDescent="0.25">
      <c r="O101" s="26"/>
      <c r="P101" s="26"/>
      <c r="AB101" s="47"/>
      <c r="AC101" s="47"/>
      <c r="AG101" s="76"/>
    </row>
    <row r="102" spans="15:33" x14ac:dyDescent="0.25">
      <c r="O102" s="26"/>
      <c r="P102" s="26"/>
      <c r="AB102" s="47"/>
      <c r="AC102" s="47"/>
      <c r="AG102" s="76"/>
    </row>
    <row r="103" spans="15:33" x14ac:dyDescent="0.25">
      <c r="O103" s="26"/>
      <c r="P103" s="26"/>
      <c r="AB103" s="47"/>
      <c r="AC103" s="47"/>
      <c r="AG103" s="76"/>
    </row>
    <row r="104" spans="15:33" x14ac:dyDescent="0.25">
      <c r="O104" s="26"/>
      <c r="P104" s="26"/>
      <c r="AG104" s="76"/>
    </row>
    <row r="105" spans="15:33" x14ac:dyDescent="0.25">
      <c r="O105" s="26"/>
      <c r="P105" s="26"/>
      <c r="AG105" s="76"/>
    </row>
    <row r="106" spans="15:33" x14ac:dyDescent="0.25">
      <c r="O106" s="26"/>
      <c r="P106" s="26"/>
      <c r="AG106" s="76"/>
    </row>
    <row r="107" spans="15:33" x14ac:dyDescent="0.25">
      <c r="O107" s="26"/>
      <c r="P107" s="26"/>
      <c r="AG107" s="76"/>
    </row>
    <row r="108" spans="15:33" x14ac:dyDescent="0.25">
      <c r="O108" s="26"/>
      <c r="P108" s="26"/>
      <c r="AG108" s="76"/>
    </row>
    <row r="109" spans="15:33" x14ac:dyDescent="0.25">
      <c r="O109" s="26"/>
      <c r="P109" s="26"/>
      <c r="AG109" s="76"/>
    </row>
    <row r="110" spans="15:33" x14ac:dyDescent="0.25">
      <c r="O110" s="26"/>
      <c r="P110" s="26"/>
      <c r="AG110" s="76"/>
    </row>
    <row r="111" spans="15:33" x14ac:dyDescent="0.25">
      <c r="O111" s="26"/>
      <c r="P111" s="26"/>
      <c r="AG111" s="76"/>
    </row>
    <row r="112" spans="15:33" x14ac:dyDescent="0.25">
      <c r="O112" s="26"/>
      <c r="P112" s="26"/>
      <c r="AG112" s="76"/>
    </row>
    <row r="113" spans="15:33" x14ac:dyDescent="0.25">
      <c r="O113" s="26"/>
      <c r="P113" s="26"/>
      <c r="AG113" s="76"/>
    </row>
    <row r="114" spans="15:33" x14ac:dyDescent="0.25">
      <c r="O114" s="26"/>
      <c r="P114" s="26"/>
      <c r="AG114" s="76"/>
    </row>
    <row r="115" spans="15:33" x14ac:dyDescent="0.25">
      <c r="O115" s="26"/>
      <c r="P115" s="26"/>
      <c r="AG115" s="76"/>
    </row>
    <row r="116" spans="15:33" x14ac:dyDescent="0.25">
      <c r="O116" s="26"/>
      <c r="P116" s="26"/>
      <c r="AG116" s="76"/>
    </row>
    <row r="117" spans="15:33" x14ac:dyDescent="0.25">
      <c r="O117" s="26"/>
      <c r="P117" s="26"/>
      <c r="AG117" s="76"/>
    </row>
    <row r="118" spans="15:33" x14ac:dyDescent="0.25">
      <c r="O118" s="26"/>
      <c r="P118" s="26"/>
      <c r="AG118" s="76"/>
    </row>
    <row r="119" spans="15:33" x14ac:dyDescent="0.25">
      <c r="O119" s="26"/>
      <c r="P119" s="26"/>
      <c r="AG119" s="76"/>
    </row>
    <row r="120" spans="15:33" x14ac:dyDescent="0.25">
      <c r="O120" s="26"/>
      <c r="P120" s="26"/>
      <c r="AG120" s="76"/>
    </row>
    <row r="121" spans="15:33" x14ac:dyDescent="0.25">
      <c r="O121" s="26"/>
      <c r="P121" s="26"/>
      <c r="AG121" s="76"/>
    </row>
    <row r="122" spans="15:33" x14ac:dyDescent="0.25">
      <c r="O122" s="26"/>
      <c r="P122" s="26"/>
      <c r="AG122" s="76"/>
    </row>
    <row r="123" spans="15:33" x14ac:dyDescent="0.25">
      <c r="O123" s="26"/>
      <c r="P123" s="26"/>
      <c r="AG123" s="76"/>
    </row>
    <row r="124" spans="15:33" x14ac:dyDescent="0.25">
      <c r="O124" s="26"/>
      <c r="P124" s="26"/>
      <c r="AG124" s="76"/>
    </row>
    <row r="125" spans="15:33" x14ac:dyDescent="0.25">
      <c r="O125" s="26"/>
      <c r="P125" s="26"/>
      <c r="AG125" s="76"/>
    </row>
    <row r="126" spans="15:33" x14ac:dyDescent="0.25">
      <c r="O126" s="26"/>
      <c r="P126" s="26"/>
      <c r="AG126" s="76"/>
    </row>
    <row r="127" spans="15:33" x14ac:dyDescent="0.25">
      <c r="O127" s="26"/>
      <c r="P127" s="26"/>
      <c r="AG127" s="76"/>
    </row>
    <row r="128" spans="15:33" x14ac:dyDescent="0.25">
      <c r="O128" s="26"/>
      <c r="P128" s="26"/>
      <c r="AG128" s="76"/>
    </row>
    <row r="129" spans="15:33" x14ac:dyDescent="0.25">
      <c r="O129" s="26"/>
      <c r="P129" s="26"/>
      <c r="AG129" s="76"/>
    </row>
    <row r="130" spans="15:33" x14ac:dyDescent="0.25">
      <c r="O130" s="26"/>
      <c r="P130" s="26"/>
      <c r="AG130" s="76"/>
    </row>
    <row r="131" spans="15:33" x14ac:dyDescent="0.25">
      <c r="O131" s="26"/>
      <c r="P131" s="26"/>
      <c r="AG131" s="76"/>
    </row>
    <row r="132" spans="15:33" x14ac:dyDescent="0.25">
      <c r="O132" s="26"/>
      <c r="P132" s="26"/>
      <c r="AG132" s="76"/>
    </row>
    <row r="133" spans="15:33" x14ac:dyDescent="0.25">
      <c r="O133" s="26"/>
      <c r="P133" s="26"/>
      <c r="AG133" s="76"/>
    </row>
    <row r="134" spans="15:33" x14ac:dyDescent="0.25">
      <c r="O134" s="26"/>
      <c r="P134" s="26"/>
      <c r="AG134" s="76"/>
    </row>
    <row r="135" spans="15:33" x14ac:dyDescent="0.25">
      <c r="O135" s="26"/>
      <c r="P135" s="26"/>
      <c r="AG135" s="76"/>
    </row>
    <row r="136" spans="15:33" x14ac:dyDescent="0.25">
      <c r="O136" s="26"/>
      <c r="P136" s="26"/>
      <c r="AG136" s="76"/>
    </row>
    <row r="137" spans="15:33" x14ac:dyDescent="0.25">
      <c r="O137" s="26"/>
      <c r="P137" s="26"/>
      <c r="AG137" s="76"/>
    </row>
    <row r="138" spans="15:33" x14ac:dyDescent="0.25">
      <c r="O138" s="26"/>
      <c r="P138" s="26"/>
      <c r="AG138" s="76"/>
    </row>
    <row r="139" spans="15:33" x14ac:dyDescent="0.25">
      <c r="O139" s="26"/>
      <c r="P139" s="26"/>
      <c r="AG139" s="76"/>
    </row>
    <row r="140" spans="15:33" x14ac:dyDescent="0.25">
      <c r="O140" s="26"/>
      <c r="P140" s="26"/>
      <c r="AG140" s="76"/>
    </row>
    <row r="141" spans="15:33" x14ac:dyDescent="0.25">
      <c r="O141" s="26"/>
      <c r="P141" s="26"/>
      <c r="AG141" s="76"/>
    </row>
    <row r="142" spans="15:33" x14ac:dyDescent="0.25">
      <c r="O142" s="26"/>
      <c r="P142" s="26"/>
      <c r="AG142" s="76"/>
    </row>
    <row r="143" spans="15:33" x14ac:dyDescent="0.25">
      <c r="O143" s="26"/>
      <c r="P143" s="26"/>
      <c r="AG143" s="76"/>
    </row>
    <row r="144" spans="15:33" x14ac:dyDescent="0.25">
      <c r="O144" s="26"/>
      <c r="P144" s="26"/>
      <c r="AG144" s="76"/>
    </row>
    <row r="145" spans="15:33" x14ac:dyDescent="0.25">
      <c r="O145" s="26"/>
      <c r="P145" s="26"/>
      <c r="AG145" s="76"/>
    </row>
    <row r="146" spans="15:33" x14ac:dyDescent="0.25">
      <c r="O146" s="26"/>
      <c r="P146" s="26"/>
      <c r="AG146" s="76"/>
    </row>
    <row r="147" spans="15:33" x14ac:dyDescent="0.25">
      <c r="O147" s="26"/>
      <c r="P147" s="26"/>
      <c r="AG147" s="76"/>
    </row>
    <row r="148" spans="15:33" x14ac:dyDescent="0.25">
      <c r="O148" s="26"/>
      <c r="P148" s="26"/>
      <c r="AG148" s="76"/>
    </row>
    <row r="149" spans="15:33" ht="13.15" customHeight="1" x14ac:dyDescent="0.25">
      <c r="O149" s="26"/>
      <c r="P149" s="26"/>
      <c r="AG149" s="76"/>
    </row>
    <row r="150" spans="15:33" x14ac:dyDescent="0.25">
      <c r="O150" s="26"/>
      <c r="P150" s="26"/>
      <c r="AG150" s="76"/>
    </row>
    <row r="151" spans="15:33" x14ac:dyDescent="0.25">
      <c r="O151" s="26"/>
      <c r="P151" s="26"/>
      <c r="AG151" s="76"/>
    </row>
    <row r="152" spans="15:33" x14ac:dyDescent="0.25">
      <c r="O152" s="26"/>
      <c r="P152" s="26"/>
      <c r="AG152" s="76"/>
    </row>
    <row r="153" spans="15:33" x14ac:dyDescent="0.25">
      <c r="O153" s="26"/>
      <c r="P153" s="26"/>
      <c r="AG153" s="76"/>
    </row>
    <row r="154" spans="15:33" x14ac:dyDescent="0.25">
      <c r="O154" s="26"/>
      <c r="P154" s="26"/>
      <c r="AG154" s="76"/>
    </row>
    <row r="155" spans="15:33" x14ac:dyDescent="0.25">
      <c r="O155" s="26"/>
      <c r="P155" s="26"/>
      <c r="AG155" s="76"/>
    </row>
    <row r="156" spans="15:33" x14ac:dyDescent="0.25">
      <c r="O156" s="26"/>
      <c r="P156" s="26"/>
      <c r="AG156" s="76"/>
    </row>
    <row r="157" spans="15:33" x14ac:dyDescent="0.25">
      <c r="O157" s="26"/>
      <c r="P157" s="26"/>
      <c r="AG157" s="76"/>
    </row>
    <row r="158" spans="15:33" ht="13.9" customHeight="1" x14ac:dyDescent="0.25">
      <c r="O158" s="26"/>
      <c r="P158" s="26"/>
      <c r="AG158" s="76"/>
    </row>
    <row r="159" spans="15:33" x14ac:dyDescent="0.25">
      <c r="O159" s="26"/>
      <c r="P159" s="26"/>
      <c r="AG159" s="76"/>
    </row>
    <row r="160" spans="15:33" x14ac:dyDescent="0.25">
      <c r="O160" s="26"/>
      <c r="P160" s="26"/>
      <c r="AG160" s="76"/>
    </row>
    <row r="161" spans="15:33" x14ac:dyDescent="0.25">
      <c r="O161" s="26"/>
      <c r="P161" s="26"/>
      <c r="AG161" s="76"/>
    </row>
    <row r="162" spans="15:33" x14ac:dyDescent="0.25">
      <c r="O162" s="26"/>
      <c r="P162" s="26"/>
      <c r="AG162" s="76"/>
    </row>
    <row r="163" spans="15:33" x14ac:dyDescent="0.25">
      <c r="O163" s="26"/>
      <c r="P163" s="26"/>
      <c r="AG163" s="76"/>
    </row>
    <row r="164" spans="15:33" x14ac:dyDescent="0.25">
      <c r="O164" s="26"/>
      <c r="P164" s="26"/>
      <c r="AG164" s="76"/>
    </row>
    <row r="165" spans="15:33" x14ac:dyDescent="0.25">
      <c r="O165" s="26"/>
      <c r="P165" s="26"/>
      <c r="AG165" s="76"/>
    </row>
    <row r="166" spans="15:33" x14ac:dyDescent="0.25">
      <c r="O166" s="26"/>
      <c r="P166" s="26"/>
      <c r="AG166" s="76"/>
    </row>
    <row r="167" spans="15:33" x14ac:dyDescent="0.25">
      <c r="O167" s="26"/>
      <c r="P167" s="26"/>
      <c r="AG167" s="76"/>
    </row>
    <row r="168" spans="15:33" x14ac:dyDescent="0.25">
      <c r="O168" s="26"/>
      <c r="P168" s="26"/>
      <c r="AG168" s="76"/>
    </row>
    <row r="169" spans="15:33" x14ac:dyDescent="0.25">
      <c r="O169" s="26"/>
      <c r="P169" s="26"/>
      <c r="AG169" s="76"/>
    </row>
    <row r="170" spans="15:33" x14ac:dyDescent="0.25">
      <c r="O170" s="26"/>
      <c r="P170" s="26"/>
      <c r="AG170" s="76"/>
    </row>
    <row r="171" spans="15:33" x14ac:dyDescent="0.25">
      <c r="O171" s="26"/>
      <c r="P171" s="26"/>
      <c r="AG171" s="76"/>
    </row>
    <row r="172" spans="15:33" x14ac:dyDescent="0.25">
      <c r="O172" s="26"/>
      <c r="P172" s="26"/>
      <c r="AG172" s="76"/>
    </row>
    <row r="173" spans="15:33" x14ac:dyDescent="0.25">
      <c r="O173" s="26"/>
      <c r="P173" s="26"/>
      <c r="AG173" s="76"/>
    </row>
    <row r="174" spans="15:33" x14ac:dyDescent="0.25">
      <c r="O174" s="26"/>
      <c r="P174" s="26"/>
      <c r="AG174" s="76"/>
    </row>
    <row r="175" spans="15:33" x14ac:dyDescent="0.25">
      <c r="O175" s="26"/>
      <c r="P175" s="26"/>
      <c r="AG175" s="76"/>
    </row>
    <row r="176" spans="15:33" x14ac:dyDescent="0.25">
      <c r="O176" s="26"/>
      <c r="P176" s="26"/>
      <c r="AG176" s="76"/>
    </row>
    <row r="177" spans="15:33" x14ac:dyDescent="0.25">
      <c r="O177" s="26"/>
      <c r="P177" s="26"/>
      <c r="AG177" s="76"/>
    </row>
    <row r="178" spans="15:33" x14ac:dyDescent="0.25">
      <c r="O178" s="26"/>
      <c r="P178" s="26"/>
      <c r="AG178" s="76"/>
    </row>
    <row r="179" spans="15:33" x14ac:dyDescent="0.25">
      <c r="O179" s="26"/>
      <c r="P179" s="26"/>
      <c r="AG179" s="76"/>
    </row>
    <row r="180" spans="15:33" x14ac:dyDescent="0.25">
      <c r="O180" s="26"/>
      <c r="P180" s="26"/>
      <c r="AG180" s="76"/>
    </row>
    <row r="181" spans="15:33" x14ac:dyDescent="0.25">
      <c r="O181" s="26"/>
      <c r="P181" s="26"/>
      <c r="AG181" s="76"/>
    </row>
    <row r="182" spans="15:33" x14ac:dyDescent="0.25">
      <c r="O182" s="26"/>
      <c r="P182" s="26"/>
      <c r="AG182" s="76"/>
    </row>
    <row r="183" spans="15:33" x14ac:dyDescent="0.25">
      <c r="O183" s="26"/>
      <c r="P183" s="26"/>
      <c r="AG183" s="76"/>
    </row>
    <row r="184" spans="15:33" x14ac:dyDescent="0.25">
      <c r="O184" s="26"/>
      <c r="P184" s="26"/>
      <c r="AG184" s="76"/>
    </row>
    <row r="185" spans="15:33" x14ac:dyDescent="0.25">
      <c r="O185" s="26"/>
      <c r="P185" s="26"/>
      <c r="AG185" s="76"/>
    </row>
    <row r="186" spans="15:33" x14ac:dyDescent="0.25">
      <c r="O186" s="26"/>
      <c r="P186" s="26"/>
      <c r="AG186" s="76"/>
    </row>
    <row r="187" spans="15:33" x14ac:dyDescent="0.25">
      <c r="O187" s="26"/>
      <c r="P187" s="26"/>
      <c r="AG187" s="76"/>
    </row>
    <row r="188" spans="15:33" x14ac:dyDescent="0.25">
      <c r="O188" s="26"/>
      <c r="P188" s="26"/>
      <c r="AG188" s="76"/>
    </row>
    <row r="189" spans="15:33" x14ac:dyDescent="0.25">
      <c r="O189" s="26"/>
      <c r="P189" s="26"/>
      <c r="AG189" s="76"/>
    </row>
    <row r="190" spans="15:33" x14ac:dyDescent="0.25">
      <c r="O190" s="26"/>
      <c r="P190" s="26"/>
      <c r="AG190" s="76"/>
    </row>
    <row r="191" spans="15:33" x14ac:dyDescent="0.25">
      <c r="O191" s="26"/>
      <c r="P191" s="26"/>
      <c r="AG191" s="76"/>
    </row>
    <row r="192" spans="15:33" x14ac:dyDescent="0.25">
      <c r="O192" s="26"/>
      <c r="P192" s="26"/>
      <c r="AG192" s="76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2026-10-01T10:44:08Z</dcterms:modified>
</cp:coreProperties>
</file>