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imula\Desktop\DATA_SET\"/>
    </mc:Choice>
  </mc:AlternateContent>
  <xr:revisionPtr revIDLastSave="0" documentId="13_ncr:1_{F309D3DE-48B4-48CC-9188-00F91AB1554C}" xr6:coauthVersionLast="47" xr6:coauthVersionMax="47" xr10:uidLastSave="{00000000-0000-0000-0000-000000000000}"/>
  <bookViews>
    <workbookView xWindow="28680" yWindow="-120" windowWidth="29040" windowHeight="15840" tabRatio="189" xr2:uid="{00000000-000D-0000-FFFF-FFFF00000000}"/>
  </bookViews>
  <sheets>
    <sheet name="Summary" sheetId="1" r:id="rId1"/>
    <sheet name="Data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78" i="2" l="1"/>
  <c r="Z174" i="2"/>
  <c r="AN172" i="2"/>
  <c r="AN169" i="2"/>
  <c r="AN166" i="2"/>
  <c r="Z163" i="2"/>
  <c r="AN162" i="2"/>
  <c r="Z158" i="2"/>
  <c r="AN156" i="2"/>
  <c r="AN153" i="2"/>
  <c r="AN150" i="2"/>
  <c r="Z147" i="2"/>
  <c r="AN146" i="2"/>
  <c r="Z142" i="2"/>
  <c r="AN140" i="2"/>
  <c r="AN137" i="2"/>
  <c r="AN134" i="2"/>
  <c r="Z131" i="2"/>
  <c r="AN130" i="2"/>
  <c r="Z126" i="2"/>
  <c r="AN124" i="2"/>
  <c r="AN121" i="2"/>
  <c r="AN118" i="2"/>
  <c r="Z115" i="2"/>
  <c r="AN114" i="2"/>
  <c r="Z110" i="2"/>
  <c r="AN108" i="2"/>
  <c r="AN105" i="2"/>
  <c r="AN102" i="2"/>
  <c r="Z99" i="2"/>
  <c r="AN98" i="2"/>
  <c r="Z94" i="2"/>
  <c r="AN92" i="2"/>
  <c r="AN89" i="2"/>
  <c r="AN86" i="2"/>
  <c r="Z83" i="2"/>
  <c r="AN82" i="2"/>
  <c r="Z78" i="2"/>
  <c r="AN76" i="2"/>
  <c r="AN73" i="2"/>
  <c r="AN70" i="2"/>
  <c r="Z67" i="2"/>
  <c r="AN66" i="2"/>
  <c r="Z62" i="2"/>
  <c r="Z57" i="2"/>
  <c r="Z41" i="2"/>
  <c r="Z25" i="2"/>
  <c r="Z9" i="2"/>
  <c r="Z3" i="2"/>
  <c r="Y175" i="2"/>
  <c r="Y174" i="2"/>
  <c r="Y166" i="2"/>
  <c r="AL164" i="2"/>
  <c r="AJ163" i="2"/>
  <c r="Y159" i="2"/>
  <c r="Y158" i="2"/>
  <c r="Y150" i="2"/>
  <c r="AL148" i="2"/>
  <c r="AJ147" i="2"/>
  <c r="Y143" i="2"/>
  <c r="Y142" i="2"/>
  <c r="Y134" i="2"/>
  <c r="AL132" i="2"/>
  <c r="AL131" i="2"/>
  <c r="Y127" i="2"/>
  <c r="Y126" i="2"/>
  <c r="Y118" i="2"/>
  <c r="AL116" i="2"/>
  <c r="AJ115" i="2"/>
  <c r="Y111" i="2"/>
  <c r="Y110" i="2"/>
  <c r="Y102" i="2"/>
  <c r="AL100" i="2"/>
  <c r="AJ99" i="2"/>
  <c r="Y95" i="2"/>
  <c r="Y94" i="2"/>
  <c r="Y86" i="2"/>
  <c r="AL84" i="2"/>
  <c r="AJ83" i="2"/>
  <c r="Y79" i="2"/>
  <c r="Y78" i="2"/>
  <c r="Y70" i="2"/>
  <c r="AL68" i="2"/>
  <c r="AJ67" i="2"/>
  <c r="Y63" i="2"/>
  <c r="Y62" i="2"/>
  <c r="Y52" i="2"/>
  <c r="Y51" i="2"/>
  <c r="Y36" i="2"/>
  <c r="Y35" i="2"/>
  <c r="AJ20" i="2"/>
  <c r="Y19" i="2"/>
  <c r="AJ4" i="2"/>
  <c r="Y3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Y64" i="2"/>
  <c r="Y65" i="2"/>
  <c r="Y66" i="2"/>
  <c r="Y69" i="2"/>
  <c r="Y71" i="2"/>
  <c r="Y72" i="2"/>
  <c r="Y73" i="2"/>
  <c r="Y74" i="2"/>
  <c r="Y75" i="2"/>
  <c r="Y76" i="2"/>
  <c r="Y77" i="2"/>
  <c r="Y80" i="2"/>
  <c r="Y81" i="2"/>
  <c r="Y82" i="2"/>
  <c r="Y85" i="2"/>
  <c r="Y87" i="2"/>
  <c r="Y88" i="2"/>
  <c r="Y89" i="2"/>
  <c r="Y90" i="2"/>
  <c r="Y91" i="2"/>
  <c r="Y92" i="2"/>
  <c r="Y93" i="2"/>
  <c r="Y96" i="2"/>
  <c r="Y97" i="2"/>
  <c r="Y98" i="2"/>
  <c r="Y101" i="2"/>
  <c r="Y103" i="2"/>
  <c r="Y104" i="2"/>
  <c r="Y105" i="2"/>
  <c r="Y106" i="2"/>
  <c r="Y107" i="2"/>
  <c r="Y108" i="2"/>
  <c r="Y109" i="2"/>
  <c r="Y112" i="2"/>
  <c r="Y113" i="2"/>
  <c r="Y114" i="2"/>
  <c r="Y117" i="2"/>
  <c r="Y119" i="2"/>
  <c r="Y120" i="2"/>
  <c r="Y121" i="2"/>
  <c r="Y122" i="2"/>
  <c r="Y123" i="2"/>
  <c r="Y124" i="2"/>
  <c r="Y125" i="2"/>
  <c r="Y128" i="2"/>
  <c r="Y129" i="2"/>
  <c r="Y130" i="2"/>
  <c r="Y133" i="2"/>
  <c r="Y135" i="2"/>
  <c r="Y136" i="2"/>
  <c r="Y137" i="2"/>
  <c r="Y138" i="2"/>
  <c r="Y139" i="2"/>
  <c r="Y140" i="2"/>
  <c r="Y141" i="2"/>
  <c r="Y144" i="2"/>
  <c r="Y145" i="2"/>
  <c r="Y146" i="2"/>
  <c r="Y149" i="2"/>
  <c r="Y151" i="2"/>
  <c r="Y152" i="2"/>
  <c r="Y153" i="2"/>
  <c r="Y154" i="2"/>
  <c r="Y155" i="2"/>
  <c r="Y156" i="2"/>
  <c r="Y157" i="2"/>
  <c r="Y160" i="2"/>
  <c r="Y161" i="2"/>
  <c r="Y162" i="2"/>
  <c r="Y165" i="2"/>
  <c r="Y167" i="2"/>
  <c r="Y168" i="2"/>
  <c r="Y169" i="2"/>
  <c r="Y170" i="2"/>
  <c r="Y171" i="2"/>
  <c r="Y172" i="2"/>
  <c r="Y173" i="2"/>
  <c r="Y176" i="2"/>
  <c r="Y177" i="2"/>
  <c r="Y178" i="2"/>
  <c r="Z63" i="2"/>
  <c r="Z64" i="2"/>
  <c r="Z65" i="2"/>
  <c r="Z66" i="2"/>
  <c r="Z68" i="2"/>
  <c r="Z69" i="2"/>
  <c r="Z71" i="2"/>
  <c r="Z72" i="2"/>
  <c r="Z74" i="2"/>
  <c r="Z75" i="2"/>
  <c r="Z76" i="2"/>
  <c r="Z77" i="2"/>
  <c r="Z79" i="2"/>
  <c r="Z80" i="2"/>
  <c r="Z81" i="2"/>
  <c r="Z82" i="2"/>
  <c r="Z84" i="2"/>
  <c r="Z85" i="2"/>
  <c r="Z87" i="2"/>
  <c r="Z88" i="2"/>
  <c r="Z90" i="2"/>
  <c r="Z91" i="2"/>
  <c r="Z92" i="2"/>
  <c r="Z93" i="2"/>
  <c r="Z95" i="2"/>
  <c r="Z96" i="2"/>
  <c r="Z97" i="2"/>
  <c r="Z98" i="2"/>
  <c r="Z100" i="2"/>
  <c r="Z101" i="2"/>
  <c r="Z103" i="2"/>
  <c r="Z104" i="2"/>
  <c r="Z106" i="2"/>
  <c r="Z107" i="2"/>
  <c r="Z108" i="2"/>
  <c r="Z109" i="2"/>
  <c r="Z111" i="2"/>
  <c r="Z112" i="2"/>
  <c r="Z113" i="2"/>
  <c r="Z114" i="2"/>
  <c r="Z116" i="2"/>
  <c r="Z117" i="2"/>
  <c r="Z119" i="2"/>
  <c r="Z120" i="2"/>
  <c r="Z122" i="2"/>
  <c r="Z123" i="2"/>
  <c r="Z124" i="2"/>
  <c r="Z125" i="2"/>
  <c r="Z127" i="2"/>
  <c r="Z128" i="2"/>
  <c r="Z129" i="2"/>
  <c r="Z130" i="2"/>
  <c r="Z132" i="2"/>
  <c r="Z133" i="2"/>
  <c r="Z135" i="2"/>
  <c r="Z136" i="2"/>
  <c r="Z138" i="2"/>
  <c r="Z139" i="2"/>
  <c r="Z140" i="2"/>
  <c r="Z141" i="2"/>
  <c r="Z143" i="2"/>
  <c r="Z144" i="2"/>
  <c r="Z145" i="2"/>
  <c r="Z146" i="2"/>
  <c r="Z148" i="2"/>
  <c r="Z149" i="2"/>
  <c r="Z151" i="2"/>
  <c r="Z152" i="2"/>
  <c r="Z154" i="2"/>
  <c r="Z155" i="2"/>
  <c r="Z156" i="2"/>
  <c r="Z157" i="2"/>
  <c r="Z159" i="2"/>
  <c r="Z160" i="2"/>
  <c r="Z161" i="2"/>
  <c r="Z162" i="2"/>
  <c r="Z164" i="2"/>
  <c r="Z165" i="2"/>
  <c r="Z167" i="2"/>
  <c r="Z168" i="2"/>
  <c r="Z170" i="2"/>
  <c r="Z171" i="2"/>
  <c r="Z172" i="2"/>
  <c r="Z173" i="2"/>
  <c r="Z175" i="2"/>
  <c r="Z176" i="2"/>
  <c r="Z177" i="2"/>
  <c r="Z178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J62" i="2"/>
  <c r="AJ64" i="2"/>
  <c r="AJ65" i="2"/>
  <c r="AJ66" i="2"/>
  <c r="AJ68" i="2"/>
  <c r="AJ69" i="2"/>
  <c r="AJ70" i="2"/>
  <c r="AJ71" i="2"/>
  <c r="AJ72" i="2"/>
  <c r="AJ73" i="2"/>
  <c r="AJ74" i="2"/>
  <c r="AJ75" i="2"/>
  <c r="AJ76" i="2"/>
  <c r="AJ77" i="2"/>
  <c r="AJ78" i="2"/>
  <c r="AJ80" i="2"/>
  <c r="AJ81" i="2"/>
  <c r="AJ82" i="2"/>
  <c r="AJ84" i="2"/>
  <c r="AJ85" i="2"/>
  <c r="AJ86" i="2"/>
  <c r="AJ87" i="2"/>
  <c r="AJ88" i="2"/>
  <c r="AJ89" i="2"/>
  <c r="AJ90" i="2"/>
  <c r="AJ91" i="2"/>
  <c r="AJ92" i="2"/>
  <c r="AJ93" i="2"/>
  <c r="AJ94" i="2"/>
  <c r="AJ96" i="2"/>
  <c r="AJ97" i="2"/>
  <c r="AJ98" i="2"/>
  <c r="AJ100" i="2"/>
  <c r="AJ101" i="2"/>
  <c r="AJ102" i="2"/>
  <c r="AJ103" i="2"/>
  <c r="AJ104" i="2"/>
  <c r="AJ105" i="2"/>
  <c r="AJ106" i="2"/>
  <c r="AJ107" i="2"/>
  <c r="AJ108" i="2"/>
  <c r="AJ109" i="2"/>
  <c r="AJ110" i="2"/>
  <c r="AJ112" i="2"/>
  <c r="AJ113" i="2"/>
  <c r="AJ114" i="2"/>
  <c r="AJ116" i="2"/>
  <c r="AJ117" i="2"/>
  <c r="AJ118" i="2"/>
  <c r="AJ119" i="2"/>
  <c r="AJ120" i="2"/>
  <c r="AJ121" i="2"/>
  <c r="AJ122" i="2"/>
  <c r="AJ123" i="2"/>
  <c r="AJ124" i="2"/>
  <c r="AJ125" i="2"/>
  <c r="AJ126" i="2"/>
  <c r="AJ128" i="2"/>
  <c r="AJ129" i="2"/>
  <c r="AJ130" i="2"/>
  <c r="AJ132" i="2"/>
  <c r="AJ133" i="2"/>
  <c r="AJ134" i="2"/>
  <c r="AJ135" i="2"/>
  <c r="AJ136" i="2"/>
  <c r="AJ137" i="2"/>
  <c r="AJ138" i="2"/>
  <c r="AJ139" i="2"/>
  <c r="AJ140" i="2"/>
  <c r="AJ141" i="2"/>
  <c r="AJ142" i="2"/>
  <c r="AJ144" i="2"/>
  <c r="AJ145" i="2"/>
  <c r="AJ146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L62" i="2"/>
  <c r="AL63" i="2"/>
  <c r="AL64" i="2"/>
  <c r="AL65" i="2"/>
  <c r="AL66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3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M166" i="2"/>
  <c r="AM167" i="2"/>
  <c r="AM168" i="2"/>
  <c r="AM169" i="2"/>
  <c r="AM170" i="2"/>
  <c r="AM171" i="2"/>
  <c r="AM172" i="2"/>
  <c r="AM173" i="2"/>
  <c r="AM174" i="2"/>
  <c r="AM175" i="2"/>
  <c r="AM176" i="2"/>
  <c r="AM177" i="2"/>
  <c r="AM178" i="2"/>
  <c r="AN63" i="2"/>
  <c r="AN64" i="2"/>
  <c r="AN65" i="2"/>
  <c r="AN67" i="2"/>
  <c r="AN68" i="2"/>
  <c r="AN69" i="2"/>
  <c r="AN71" i="2"/>
  <c r="AN72" i="2"/>
  <c r="AN74" i="2"/>
  <c r="AN75" i="2"/>
  <c r="AN77" i="2"/>
  <c r="AN79" i="2"/>
  <c r="AN80" i="2"/>
  <c r="AN81" i="2"/>
  <c r="AN83" i="2"/>
  <c r="AN84" i="2"/>
  <c r="AN85" i="2"/>
  <c r="AN87" i="2"/>
  <c r="AN88" i="2"/>
  <c r="AN90" i="2"/>
  <c r="AN91" i="2"/>
  <c r="AN93" i="2"/>
  <c r="AN95" i="2"/>
  <c r="AN96" i="2"/>
  <c r="AN97" i="2"/>
  <c r="AN99" i="2"/>
  <c r="AN100" i="2"/>
  <c r="AN101" i="2"/>
  <c r="AN103" i="2"/>
  <c r="AN104" i="2"/>
  <c r="AN106" i="2"/>
  <c r="AN107" i="2"/>
  <c r="AN109" i="2"/>
  <c r="AN111" i="2"/>
  <c r="AN112" i="2"/>
  <c r="AN113" i="2"/>
  <c r="AN115" i="2"/>
  <c r="AN116" i="2"/>
  <c r="AN117" i="2"/>
  <c r="AN119" i="2"/>
  <c r="AN120" i="2"/>
  <c r="AN122" i="2"/>
  <c r="AN123" i="2"/>
  <c r="AN125" i="2"/>
  <c r="AN127" i="2"/>
  <c r="AN128" i="2"/>
  <c r="AN129" i="2"/>
  <c r="AN131" i="2"/>
  <c r="AN132" i="2"/>
  <c r="AN133" i="2"/>
  <c r="AN135" i="2"/>
  <c r="AN136" i="2"/>
  <c r="AN138" i="2"/>
  <c r="AN139" i="2"/>
  <c r="AN141" i="2"/>
  <c r="AN143" i="2"/>
  <c r="AN144" i="2"/>
  <c r="AN145" i="2"/>
  <c r="AN147" i="2"/>
  <c r="AN148" i="2"/>
  <c r="AN149" i="2"/>
  <c r="AN151" i="2"/>
  <c r="AN152" i="2"/>
  <c r="AN154" i="2"/>
  <c r="AN155" i="2"/>
  <c r="AN157" i="2"/>
  <c r="AN159" i="2"/>
  <c r="AN160" i="2"/>
  <c r="AN161" i="2"/>
  <c r="AN163" i="2"/>
  <c r="AN164" i="2"/>
  <c r="AN165" i="2"/>
  <c r="AN167" i="2"/>
  <c r="AN168" i="2"/>
  <c r="AN170" i="2"/>
  <c r="AN171" i="2"/>
  <c r="AN173" i="2"/>
  <c r="AN175" i="2"/>
  <c r="AN176" i="2"/>
  <c r="AN177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O108" i="2"/>
  <c r="AO109" i="2"/>
  <c r="AO110" i="2"/>
  <c r="AO111" i="2"/>
  <c r="AO112" i="2"/>
  <c r="AO113" i="2"/>
  <c r="AO114" i="2"/>
  <c r="AO115" i="2"/>
  <c r="AO116" i="2"/>
  <c r="AO117" i="2"/>
  <c r="AO118" i="2"/>
  <c r="AO119" i="2"/>
  <c r="AO120" i="2"/>
  <c r="AO121" i="2"/>
  <c r="AO122" i="2"/>
  <c r="AO123" i="2"/>
  <c r="AO124" i="2"/>
  <c r="AO125" i="2"/>
  <c r="AO126" i="2"/>
  <c r="AO127" i="2"/>
  <c r="AO128" i="2"/>
  <c r="AO129" i="2"/>
  <c r="AO130" i="2"/>
  <c r="AO131" i="2"/>
  <c r="AO132" i="2"/>
  <c r="AO133" i="2"/>
  <c r="AO134" i="2"/>
  <c r="AO135" i="2"/>
  <c r="AO136" i="2"/>
  <c r="AO137" i="2"/>
  <c r="AO138" i="2"/>
  <c r="AO139" i="2"/>
  <c r="AO140" i="2"/>
  <c r="AO141" i="2"/>
  <c r="AO142" i="2"/>
  <c r="AO143" i="2"/>
  <c r="AO144" i="2"/>
  <c r="AO145" i="2"/>
  <c r="AO146" i="2"/>
  <c r="AO147" i="2"/>
  <c r="AO148" i="2"/>
  <c r="AO149" i="2"/>
  <c r="AO150" i="2"/>
  <c r="AO151" i="2"/>
  <c r="AO152" i="2"/>
  <c r="AO153" i="2"/>
  <c r="AO154" i="2"/>
  <c r="AO155" i="2"/>
  <c r="AO156" i="2"/>
  <c r="AO157" i="2"/>
  <c r="AO158" i="2"/>
  <c r="AO159" i="2"/>
  <c r="AO160" i="2"/>
  <c r="AO161" i="2"/>
  <c r="AO162" i="2"/>
  <c r="AO163" i="2"/>
  <c r="AO164" i="2"/>
  <c r="AO165" i="2"/>
  <c r="AO166" i="2"/>
  <c r="AO167" i="2"/>
  <c r="AO168" i="2"/>
  <c r="AO169" i="2"/>
  <c r="AO170" i="2"/>
  <c r="AO171" i="2"/>
  <c r="AO172" i="2"/>
  <c r="AO173" i="2"/>
  <c r="AO174" i="2"/>
  <c r="AO175" i="2"/>
  <c r="AO176" i="2"/>
  <c r="AO177" i="2"/>
  <c r="AO178" i="2"/>
  <c r="AP62" i="2"/>
  <c r="AP63" i="2"/>
  <c r="AP64" i="2"/>
  <c r="AP65" i="2"/>
  <c r="AP66" i="2"/>
  <c r="AP67" i="2"/>
  <c r="AP68" i="2"/>
  <c r="AP69" i="2"/>
  <c r="AP70" i="2"/>
  <c r="AP71" i="2"/>
  <c r="AP72" i="2"/>
  <c r="AP73" i="2"/>
  <c r="AP74" i="2"/>
  <c r="AP75" i="2"/>
  <c r="AP76" i="2"/>
  <c r="AP77" i="2"/>
  <c r="AP78" i="2"/>
  <c r="AP79" i="2"/>
  <c r="AP80" i="2"/>
  <c r="AP81" i="2"/>
  <c r="AP82" i="2"/>
  <c r="AP83" i="2"/>
  <c r="AP84" i="2"/>
  <c r="AP85" i="2"/>
  <c r="AP86" i="2"/>
  <c r="AP87" i="2"/>
  <c r="AP88" i="2"/>
  <c r="AP89" i="2"/>
  <c r="AP90" i="2"/>
  <c r="AP91" i="2"/>
  <c r="AP92" i="2"/>
  <c r="AP93" i="2"/>
  <c r="AP94" i="2"/>
  <c r="AP95" i="2"/>
  <c r="AP96" i="2"/>
  <c r="AP97" i="2"/>
  <c r="AP98" i="2"/>
  <c r="AP99" i="2"/>
  <c r="AP100" i="2"/>
  <c r="AP101" i="2"/>
  <c r="AP102" i="2"/>
  <c r="AP103" i="2"/>
  <c r="AP104" i="2"/>
  <c r="AP105" i="2"/>
  <c r="AP106" i="2"/>
  <c r="AP107" i="2"/>
  <c r="AP108" i="2"/>
  <c r="AP109" i="2"/>
  <c r="AP110" i="2"/>
  <c r="AP111" i="2"/>
  <c r="AP112" i="2"/>
  <c r="AP113" i="2"/>
  <c r="AP114" i="2"/>
  <c r="AP115" i="2"/>
  <c r="AP116" i="2"/>
  <c r="AP117" i="2"/>
  <c r="AP118" i="2"/>
  <c r="AP119" i="2"/>
  <c r="AP120" i="2"/>
  <c r="AP121" i="2"/>
  <c r="AP122" i="2"/>
  <c r="AP123" i="2"/>
  <c r="AP124" i="2"/>
  <c r="AP125" i="2"/>
  <c r="AP126" i="2"/>
  <c r="AP127" i="2"/>
  <c r="AP128" i="2"/>
  <c r="AP129" i="2"/>
  <c r="AP130" i="2"/>
  <c r="AP131" i="2"/>
  <c r="AP132" i="2"/>
  <c r="AP133" i="2"/>
  <c r="AP134" i="2"/>
  <c r="AP135" i="2"/>
  <c r="AP136" i="2"/>
  <c r="AP137" i="2"/>
  <c r="AP138" i="2"/>
  <c r="AP139" i="2"/>
  <c r="AP140" i="2"/>
  <c r="AP141" i="2"/>
  <c r="AP142" i="2"/>
  <c r="AP143" i="2"/>
  <c r="AP144" i="2"/>
  <c r="AP145" i="2"/>
  <c r="AP146" i="2"/>
  <c r="AP147" i="2"/>
  <c r="AP148" i="2"/>
  <c r="AP149" i="2"/>
  <c r="AP150" i="2"/>
  <c r="AP151" i="2"/>
  <c r="AP152" i="2"/>
  <c r="AP153" i="2"/>
  <c r="AP154" i="2"/>
  <c r="AP155" i="2"/>
  <c r="AP156" i="2"/>
  <c r="AP157" i="2"/>
  <c r="AP158" i="2"/>
  <c r="AP159" i="2"/>
  <c r="AP160" i="2"/>
  <c r="AP161" i="2"/>
  <c r="AP162" i="2"/>
  <c r="AP163" i="2"/>
  <c r="AP164" i="2"/>
  <c r="AP165" i="2"/>
  <c r="AP166" i="2"/>
  <c r="AP167" i="2"/>
  <c r="AP168" i="2"/>
  <c r="AP169" i="2"/>
  <c r="AP170" i="2"/>
  <c r="AP171" i="2"/>
  <c r="AP172" i="2"/>
  <c r="AP173" i="2"/>
  <c r="AP174" i="2"/>
  <c r="AP175" i="2"/>
  <c r="AP176" i="2"/>
  <c r="AP177" i="2"/>
  <c r="AP178" i="2"/>
  <c r="AQ62" i="2"/>
  <c r="AQ63" i="2"/>
  <c r="AQ64" i="2"/>
  <c r="AQ65" i="2"/>
  <c r="AQ66" i="2"/>
  <c r="AQ67" i="2"/>
  <c r="AQ68" i="2"/>
  <c r="AQ69" i="2"/>
  <c r="AQ70" i="2"/>
  <c r="AQ71" i="2"/>
  <c r="AQ72" i="2"/>
  <c r="AQ73" i="2"/>
  <c r="AQ74" i="2"/>
  <c r="AQ75" i="2"/>
  <c r="AQ76" i="2"/>
  <c r="AQ77" i="2"/>
  <c r="AQ78" i="2"/>
  <c r="AQ79" i="2"/>
  <c r="AQ80" i="2"/>
  <c r="AQ81" i="2"/>
  <c r="AQ82" i="2"/>
  <c r="AQ83" i="2"/>
  <c r="AQ84" i="2"/>
  <c r="AQ85" i="2"/>
  <c r="AQ86" i="2"/>
  <c r="AQ87" i="2"/>
  <c r="AQ88" i="2"/>
  <c r="AQ89" i="2"/>
  <c r="AQ90" i="2"/>
  <c r="AQ91" i="2"/>
  <c r="AQ92" i="2"/>
  <c r="AQ93" i="2"/>
  <c r="AQ94" i="2"/>
  <c r="AQ95" i="2"/>
  <c r="AQ96" i="2"/>
  <c r="AQ97" i="2"/>
  <c r="AQ98" i="2"/>
  <c r="AQ99" i="2"/>
  <c r="AQ100" i="2"/>
  <c r="AQ101" i="2"/>
  <c r="AQ102" i="2"/>
  <c r="AQ103" i="2"/>
  <c r="AQ104" i="2"/>
  <c r="AQ105" i="2"/>
  <c r="AQ106" i="2"/>
  <c r="AQ107" i="2"/>
  <c r="AQ108" i="2"/>
  <c r="AQ109" i="2"/>
  <c r="AQ110" i="2"/>
  <c r="AQ111" i="2"/>
  <c r="AQ112" i="2"/>
  <c r="AQ113" i="2"/>
  <c r="AQ114" i="2"/>
  <c r="AQ115" i="2"/>
  <c r="AQ116" i="2"/>
  <c r="AQ117" i="2"/>
  <c r="AQ118" i="2"/>
  <c r="AQ119" i="2"/>
  <c r="AQ120" i="2"/>
  <c r="AQ121" i="2"/>
  <c r="AQ122" i="2"/>
  <c r="AQ123" i="2"/>
  <c r="AQ124" i="2"/>
  <c r="AQ125" i="2"/>
  <c r="AQ126" i="2"/>
  <c r="AQ127" i="2"/>
  <c r="AQ128" i="2"/>
  <c r="AQ129" i="2"/>
  <c r="AQ130" i="2"/>
  <c r="AQ131" i="2"/>
  <c r="AQ132" i="2"/>
  <c r="AQ133" i="2"/>
  <c r="AQ134" i="2"/>
  <c r="AQ135" i="2"/>
  <c r="AQ136" i="2"/>
  <c r="AQ137" i="2"/>
  <c r="AQ138" i="2"/>
  <c r="AQ139" i="2"/>
  <c r="AQ140" i="2"/>
  <c r="AQ141" i="2"/>
  <c r="AQ142" i="2"/>
  <c r="AQ143" i="2"/>
  <c r="AQ144" i="2"/>
  <c r="AQ145" i="2"/>
  <c r="AQ146" i="2"/>
  <c r="AQ147" i="2"/>
  <c r="AQ148" i="2"/>
  <c r="AQ149" i="2"/>
  <c r="AQ150" i="2"/>
  <c r="AQ151" i="2"/>
  <c r="AQ152" i="2"/>
  <c r="AQ153" i="2"/>
  <c r="AQ154" i="2"/>
  <c r="AQ155" i="2"/>
  <c r="AQ156" i="2"/>
  <c r="AQ157" i="2"/>
  <c r="AQ158" i="2"/>
  <c r="AQ159" i="2"/>
  <c r="AQ160" i="2"/>
  <c r="AQ161" i="2"/>
  <c r="AQ162" i="2"/>
  <c r="AQ163" i="2"/>
  <c r="AQ164" i="2"/>
  <c r="AQ165" i="2"/>
  <c r="AQ166" i="2"/>
  <c r="AQ167" i="2"/>
  <c r="AQ168" i="2"/>
  <c r="AQ169" i="2"/>
  <c r="AQ170" i="2"/>
  <c r="AQ171" i="2"/>
  <c r="AQ172" i="2"/>
  <c r="AQ173" i="2"/>
  <c r="AQ174" i="2"/>
  <c r="AQ175" i="2"/>
  <c r="AQ176" i="2"/>
  <c r="AQ177" i="2"/>
  <c r="AQ178" i="2"/>
  <c r="AQ2" i="2"/>
  <c r="AL32" i="2"/>
  <c r="AL33" i="2"/>
  <c r="AL34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3" i="2"/>
  <c r="AL54" i="2"/>
  <c r="AL55" i="2"/>
  <c r="AL56" i="2"/>
  <c r="AL57" i="2"/>
  <c r="AL58" i="2"/>
  <c r="AL59" i="2"/>
  <c r="AL60" i="2"/>
  <c r="AL61" i="2"/>
  <c r="AQ44" i="2"/>
  <c r="AP7" i="2"/>
  <c r="AM61" i="2"/>
  <c r="AM60" i="2"/>
  <c r="AM59" i="2"/>
  <c r="AM58" i="2"/>
  <c r="AM57" i="2"/>
  <c r="AM56" i="2"/>
  <c r="AM55" i="2"/>
  <c r="AM54" i="2"/>
  <c r="AM53" i="2"/>
  <c r="AM52" i="2"/>
  <c r="AM51" i="2"/>
  <c r="AM50" i="2"/>
  <c r="AM49" i="2"/>
  <c r="AM48" i="2"/>
  <c r="AM47" i="2"/>
  <c r="AM46" i="2"/>
  <c r="AM45" i="2"/>
  <c r="AM44" i="2"/>
  <c r="AM43" i="2"/>
  <c r="AM42" i="2"/>
  <c r="AM41" i="2"/>
  <c r="AM40" i="2"/>
  <c r="AM39" i="2"/>
  <c r="AM38" i="2"/>
  <c r="AM37" i="2"/>
  <c r="AM36" i="2"/>
  <c r="AM35" i="2"/>
  <c r="AM34" i="2"/>
  <c r="AM33" i="2"/>
  <c r="AM32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J2" i="2"/>
  <c r="AJ3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1" i="2"/>
  <c r="AJ22" i="2"/>
  <c r="AJ23" i="2"/>
  <c r="AJ24" i="2"/>
  <c r="AJ25" i="2"/>
  <c r="AJ26" i="2"/>
  <c r="AJ27" i="2"/>
  <c r="AJ28" i="2"/>
  <c r="AJ29" i="2"/>
  <c r="AJ30" i="2"/>
  <c r="AJ31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H61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Z2" i="2"/>
  <c r="Z4" i="2"/>
  <c r="Z5" i="2"/>
  <c r="Z6" i="2"/>
  <c r="Z7" i="2"/>
  <c r="Z8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8" i="2"/>
  <c r="Z59" i="2"/>
  <c r="Z60" i="2"/>
  <c r="Z61" i="2"/>
  <c r="Y2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3" i="2"/>
  <c r="Y54" i="2"/>
  <c r="Y55" i="2"/>
  <c r="Y56" i="2"/>
  <c r="Y57" i="2"/>
  <c r="Y58" i="2"/>
  <c r="Y59" i="2"/>
  <c r="Y60" i="2"/>
  <c r="Y61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O32" i="2"/>
  <c r="AJ32" i="2" s="1"/>
  <c r="O33" i="2"/>
  <c r="AK33" i="2" s="1"/>
  <c r="O34" i="2"/>
  <c r="AJ34" i="2" s="1"/>
  <c r="O35" i="2"/>
  <c r="O36" i="2"/>
  <c r="O37" i="2"/>
  <c r="AJ37" i="2" s="1"/>
  <c r="O38" i="2"/>
  <c r="AJ38" i="2" s="1"/>
  <c r="O39" i="2"/>
  <c r="AJ39" i="2" s="1"/>
  <c r="O40" i="2"/>
  <c r="AJ40" i="2" s="1"/>
  <c r="O41" i="2"/>
  <c r="AK41" i="2" s="1"/>
  <c r="O42" i="2"/>
  <c r="AK42" i="2" s="1"/>
  <c r="O43" i="2"/>
  <c r="AJ43" i="2" s="1"/>
  <c r="O44" i="2"/>
  <c r="AJ44" i="2" s="1"/>
  <c r="O45" i="2"/>
  <c r="AK45" i="2" s="1"/>
  <c r="O46" i="2"/>
  <c r="AJ46" i="2" s="1"/>
  <c r="O47" i="2"/>
  <c r="AJ47" i="2" s="1"/>
  <c r="O48" i="2"/>
  <c r="AJ48" i="2" s="1"/>
  <c r="O49" i="2"/>
  <c r="AK49" i="2" s="1"/>
  <c r="O50" i="2"/>
  <c r="AJ50" i="2" s="1"/>
  <c r="O51" i="2"/>
  <c r="O52" i="2"/>
  <c r="O53" i="2"/>
  <c r="AJ53" i="2" s="1"/>
  <c r="O54" i="2"/>
  <c r="AJ54" i="2" s="1"/>
  <c r="O55" i="2"/>
  <c r="AJ55" i="2" s="1"/>
  <c r="O56" i="2"/>
  <c r="AJ56" i="2" s="1"/>
  <c r="O57" i="2"/>
  <c r="AK57" i="2" s="1"/>
  <c r="O58" i="2"/>
  <c r="AK58" i="2" s="1"/>
  <c r="O59" i="2"/>
  <c r="AJ59" i="2" s="1"/>
  <c r="O60" i="2"/>
  <c r="AJ60" i="2" s="1"/>
  <c r="O61" i="2"/>
  <c r="AK61" i="2" s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2" i="2"/>
  <c r="Q2" i="2"/>
  <c r="AO2" i="2" s="1"/>
  <c r="AQ3" i="2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5" i="2"/>
  <c r="AQ46" i="2"/>
  <c r="AQ47" i="2"/>
  <c r="AQ48" i="2"/>
  <c r="AQ49" i="2"/>
  <c r="AQ50" i="2"/>
  <c r="AQ51" i="2"/>
  <c r="AQ52" i="2"/>
  <c r="AQ53" i="2"/>
  <c r="AQ54" i="2"/>
  <c r="AQ55" i="2"/>
  <c r="AQ56" i="2"/>
  <c r="AQ57" i="2"/>
  <c r="AQ58" i="2"/>
  <c r="AQ59" i="2"/>
  <c r="AQ60" i="2"/>
  <c r="AQ6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5" i="2"/>
  <c r="AP46" i="2"/>
  <c r="AP47" i="2"/>
  <c r="AP48" i="2"/>
  <c r="AP49" i="2"/>
  <c r="AP50" i="2"/>
  <c r="AP51" i="2"/>
  <c r="AP52" i="2"/>
  <c r="AP53" i="2"/>
  <c r="AP54" i="2"/>
  <c r="AP55" i="2"/>
  <c r="AP56" i="2"/>
  <c r="AP57" i="2"/>
  <c r="AP58" i="2"/>
  <c r="AP59" i="2"/>
  <c r="AP60" i="2"/>
  <c r="AP61" i="2"/>
  <c r="Q32" i="2"/>
  <c r="AN32" i="2" s="1"/>
  <c r="Q33" i="2"/>
  <c r="AN33" i="2" s="1"/>
  <c r="Q34" i="2"/>
  <c r="AN34" i="2" s="1"/>
  <c r="Q35" i="2"/>
  <c r="AN35" i="2" s="1"/>
  <c r="Q36" i="2"/>
  <c r="AO36" i="2" s="1"/>
  <c r="Q37" i="2"/>
  <c r="AO37" i="2" s="1"/>
  <c r="Q38" i="2"/>
  <c r="AO38" i="2" s="1"/>
  <c r="Q39" i="2"/>
  <c r="AO39" i="2" s="1"/>
  <c r="Q40" i="2"/>
  <c r="AO40" i="2" s="1"/>
  <c r="Q41" i="2"/>
  <c r="AO41" i="2" s="1"/>
  <c r="Q42" i="2"/>
  <c r="AO42" i="2" s="1"/>
  <c r="Q43" i="2"/>
  <c r="AO43" i="2" s="1"/>
  <c r="Q44" i="2"/>
  <c r="AO44" i="2" s="1"/>
  <c r="Q45" i="2"/>
  <c r="AO45" i="2" s="1"/>
  <c r="Q46" i="2"/>
  <c r="AO46" i="2" s="1"/>
  <c r="Q47" i="2"/>
  <c r="AO47" i="2" s="1"/>
  <c r="Q48" i="2"/>
  <c r="AN48" i="2" s="1"/>
  <c r="Q49" i="2"/>
  <c r="AN49" i="2" s="1"/>
  <c r="Q50" i="2"/>
  <c r="AN50" i="2" s="1"/>
  <c r="Q51" i="2"/>
  <c r="AN51" i="2" s="1"/>
  <c r="Q52" i="2"/>
  <c r="AO52" i="2" s="1"/>
  <c r="Q53" i="2"/>
  <c r="AO53" i="2" s="1"/>
  <c r="Q54" i="2"/>
  <c r="AO54" i="2" s="1"/>
  <c r="Q55" i="2"/>
  <c r="AO55" i="2" s="1"/>
  <c r="Q56" i="2"/>
  <c r="AO56" i="2" s="1"/>
  <c r="Q57" i="2"/>
  <c r="AO57" i="2" s="1"/>
  <c r="Q58" i="2"/>
  <c r="AO58" i="2" s="1"/>
  <c r="Q59" i="2"/>
  <c r="AO59" i="2" s="1"/>
  <c r="Q60" i="2"/>
  <c r="AO60" i="2" s="1"/>
  <c r="Q61" i="2"/>
  <c r="AO61" i="2" s="1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46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Z169" i="2" l="1"/>
  <c r="Z153" i="2"/>
  <c r="Z137" i="2"/>
  <c r="Z121" i="2"/>
  <c r="Z105" i="2"/>
  <c r="Z89" i="2"/>
  <c r="Z73" i="2"/>
  <c r="AN174" i="2"/>
  <c r="AN158" i="2"/>
  <c r="AN142" i="2"/>
  <c r="AN126" i="2"/>
  <c r="AN110" i="2"/>
  <c r="AN94" i="2"/>
  <c r="AN78" i="2"/>
  <c r="AN62" i="2"/>
  <c r="Z166" i="2"/>
  <c r="Z150" i="2"/>
  <c r="Z134" i="2"/>
  <c r="Z118" i="2"/>
  <c r="Z102" i="2"/>
  <c r="Z86" i="2"/>
  <c r="Z70" i="2"/>
  <c r="AJ52" i="2"/>
  <c r="AJ51" i="2"/>
  <c r="AJ35" i="2"/>
  <c r="Y164" i="2"/>
  <c r="Y148" i="2"/>
  <c r="Y132" i="2"/>
  <c r="Y116" i="2"/>
  <c r="Y100" i="2"/>
  <c r="Y84" i="2"/>
  <c r="Y68" i="2"/>
  <c r="AJ131" i="2"/>
  <c r="AJ143" i="2"/>
  <c r="AJ127" i="2"/>
  <c r="AJ111" i="2"/>
  <c r="AJ95" i="2"/>
  <c r="AJ79" i="2"/>
  <c r="AJ63" i="2"/>
  <c r="Y163" i="2"/>
  <c r="Y147" i="2"/>
  <c r="Y131" i="2"/>
  <c r="Y115" i="2"/>
  <c r="Y99" i="2"/>
  <c r="Y83" i="2"/>
  <c r="Y67" i="2"/>
  <c r="AJ36" i="2"/>
  <c r="AL163" i="2"/>
  <c r="AL147" i="2"/>
  <c r="AL115" i="2"/>
  <c r="AL99" i="2"/>
  <c r="AL83" i="2"/>
  <c r="AL67" i="2"/>
  <c r="AL52" i="2"/>
  <c r="AL36" i="2"/>
  <c r="AL51" i="2"/>
  <c r="AL35" i="2"/>
  <c r="Y20" i="2"/>
  <c r="Y4" i="2"/>
  <c r="AO51" i="2"/>
  <c r="AO35" i="2"/>
  <c r="AN47" i="2"/>
  <c r="AN2" i="2"/>
  <c r="AO50" i="2"/>
  <c r="AO34" i="2"/>
  <c r="AN46" i="2"/>
  <c r="AO49" i="2"/>
  <c r="AO33" i="2"/>
  <c r="AN61" i="2"/>
  <c r="AN45" i="2"/>
  <c r="AO48" i="2"/>
  <c r="AO32" i="2"/>
  <c r="AN60" i="2"/>
  <c r="AN44" i="2"/>
  <c r="AN59" i="2"/>
  <c r="AN43" i="2"/>
  <c r="AN58" i="2"/>
  <c r="AN42" i="2"/>
  <c r="AN57" i="2"/>
  <c r="AN41" i="2"/>
  <c r="AN56" i="2"/>
  <c r="AN40" i="2"/>
  <c r="AN55" i="2"/>
  <c r="AN39" i="2"/>
  <c r="AN54" i="2"/>
  <c r="AN38" i="2"/>
  <c r="AN53" i="2"/>
  <c r="AN37" i="2"/>
  <c r="AN52" i="2"/>
  <c r="AN36" i="2"/>
  <c r="AJ42" i="2"/>
  <c r="AK52" i="2"/>
  <c r="AJ41" i="2"/>
  <c r="AK36" i="2"/>
  <c r="AK53" i="2"/>
  <c r="AK44" i="2"/>
  <c r="AK43" i="2"/>
  <c r="AK37" i="2"/>
  <c r="AJ58" i="2"/>
  <c r="AJ57" i="2"/>
  <c r="AJ49" i="2"/>
  <c r="AK60" i="2"/>
  <c r="AJ33" i="2"/>
  <c r="AK59" i="2"/>
  <c r="AJ61" i="2"/>
  <c r="AJ45" i="2"/>
  <c r="AK56" i="2"/>
  <c r="AK40" i="2"/>
  <c r="AK55" i="2"/>
  <c r="AK39" i="2"/>
  <c r="AK54" i="2"/>
  <c r="AK38" i="2"/>
  <c r="AK51" i="2"/>
  <c r="AK35" i="2"/>
  <c r="AK50" i="2"/>
  <c r="AK34" i="2"/>
  <c r="AK48" i="2"/>
  <c r="AK32" i="2"/>
  <c r="AK47" i="2"/>
  <c r="AK46" i="2"/>
  <c r="AP3" i="2" l="1"/>
  <c r="AP4" i="2"/>
  <c r="AP5" i="2"/>
  <c r="AP6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2" i="2"/>
  <c r="Q4" i="2"/>
  <c r="Q3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P2" i="2"/>
  <c r="P3" i="2"/>
  <c r="AL3" i="2" s="1"/>
  <c r="P4" i="2"/>
  <c r="AL4" i="2" s="1"/>
  <c r="P5" i="2"/>
  <c r="AL5" i="2" s="1"/>
  <c r="P6" i="2"/>
  <c r="AL6" i="2" s="1"/>
  <c r="P7" i="2"/>
  <c r="AL7" i="2" s="1"/>
  <c r="P8" i="2"/>
  <c r="AL8" i="2" s="1"/>
  <c r="P9" i="2"/>
  <c r="AL9" i="2" s="1"/>
  <c r="P10" i="2"/>
  <c r="AL10" i="2" s="1"/>
  <c r="P11" i="2"/>
  <c r="AL11" i="2" s="1"/>
  <c r="P12" i="2"/>
  <c r="AL12" i="2" s="1"/>
  <c r="P13" i="2"/>
  <c r="AL13" i="2" s="1"/>
  <c r="P14" i="2"/>
  <c r="AL14" i="2" s="1"/>
  <c r="P15" i="2"/>
  <c r="AL15" i="2" s="1"/>
  <c r="P16" i="2"/>
  <c r="AL16" i="2" s="1"/>
  <c r="P17" i="2"/>
  <c r="AL17" i="2" s="1"/>
  <c r="P18" i="2"/>
  <c r="AL18" i="2" s="1"/>
  <c r="P19" i="2"/>
  <c r="AL19" i="2" s="1"/>
  <c r="P20" i="2"/>
  <c r="AL20" i="2" s="1"/>
  <c r="P21" i="2"/>
  <c r="AL21" i="2" s="1"/>
  <c r="P22" i="2"/>
  <c r="AL22" i="2" s="1"/>
  <c r="P23" i="2"/>
  <c r="AL23" i="2" s="1"/>
  <c r="P24" i="2"/>
  <c r="AL24" i="2" s="1"/>
  <c r="P25" i="2"/>
  <c r="AL25" i="2" s="1"/>
  <c r="P26" i="2"/>
  <c r="AL26" i="2" s="1"/>
  <c r="P27" i="2"/>
  <c r="AL27" i="2" s="1"/>
  <c r="P28" i="2"/>
  <c r="AL28" i="2" s="1"/>
  <c r="P29" i="2"/>
  <c r="AL29" i="2" s="1"/>
  <c r="P30" i="2"/>
  <c r="AL30" i="2" s="1"/>
  <c r="P31" i="2"/>
  <c r="AL31" i="2" s="1"/>
  <c r="M4" i="1"/>
  <c r="AM2" i="2" l="1"/>
  <c r="AL2" i="2"/>
  <c r="AO20" i="2"/>
  <c r="AN20" i="2"/>
  <c r="AN3" i="2"/>
  <c r="AO3" i="2"/>
  <c r="AN17" i="2"/>
  <c r="AO17" i="2"/>
  <c r="AN16" i="2"/>
  <c r="AO16" i="2"/>
  <c r="AO15" i="2"/>
  <c r="AN15" i="2"/>
  <c r="AO14" i="2"/>
  <c r="AN14" i="2"/>
  <c r="AO29" i="2"/>
  <c r="AN29" i="2"/>
  <c r="AO13" i="2"/>
  <c r="AN13" i="2"/>
  <c r="AO28" i="2"/>
  <c r="AN28" i="2"/>
  <c r="AO12" i="2"/>
  <c r="AN12" i="2"/>
  <c r="AO5" i="2"/>
  <c r="AN5" i="2"/>
  <c r="AO27" i="2"/>
  <c r="AN27" i="2"/>
  <c r="AO11" i="2"/>
  <c r="AN11" i="2"/>
  <c r="AO30" i="2"/>
  <c r="AN30" i="2"/>
  <c r="AO26" i="2"/>
  <c r="AN26" i="2"/>
  <c r="AO10" i="2"/>
  <c r="AN10" i="2"/>
  <c r="AO4" i="2"/>
  <c r="AN4" i="2"/>
  <c r="AO25" i="2"/>
  <c r="AN25" i="2"/>
  <c r="AO9" i="2"/>
  <c r="AN9" i="2"/>
  <c r="AO21" i="2"/>
  <c r="AN21" i="2"/>
  <c r="AO24" i="2"/>
  <c r="AN24" i="2"/>
  <c r="AO8" i="2"/>
  <c r="AN8" i="2"/>
  <c r="AN18" i="2"/>
  <c r="AO18" i="2"/>
  <c r="AO23" i="2"/>
  <c r="AN23" i="2"/>
  <c r="AO7" i="2"/>
  <c r="AN7" i="2"/>
  <c r="AN19" i="2"/>
  <c r="AO19" i="2"/>
  <c r="AO31" i="2"/>
  <c r="AN31" i="2"/>
  <c r="AO22" i="2"/>
  <c r="AN22" i="2"/>
  <c r="AO6" i="2"/>
  <c r="AN6" i="2"/>
  <c r="AM26" i="2"/>
  <c r="AM10" i="2"/>
  <c r="AM21" i="2"/>
  <c r="AM5" i="2"/>
  <c r="AM20" i="2"/>
  <c r="AM4" i="2"/>
  <c r="AM11" i="2"/>
  <c r="AM3" i="2"/>
  <c r="AM17" i="2"/>
  <c r="AM16" i="2"/>
  <c r="AM15" i="2"/>
  <c r="AM30" i="2"/>
  <c r="AM19" i="2"/>
  <c r="AM18" i="2"/>
  <c r="AM31" i="2"/>
  <c r="AM14" i="2"/>
  <c r="AM29" i="2"/>
  <c r="AM13" i="2"/>
  <c r="AM28" i="2"/>
  <c r="AM12" i="2"/>
  <c r="AM25" i="2"/>
  <c r="AM24" i="2"/>
  <c r="AM23" i="2"/>
  <c r="AM27" i="2"/>
  <c r="AM9" i="2"/>
  <c r="AM8" i="2"/>
  <c r="AM7" i="2"/>
  <c r="AM22" i="2"/>
  <c r="AM6" i="2"/>
  <c r="F7" i="1" l="1"/>
  <c r="G7" i="1"/>
  <c r="H7" i="1"/>
  <c r="I7" i="1"/>
  <c r="E7" i="1"/>
  <c r="J7" i="1"/>
  <c r="D28" i="1"/>
  <c r="F6" i="1" l="1"/>
  <c r="E6" i="1" l="1"/>
  <c r="M2" i="1" l="1"/>
  <c r="G6" i="1"/>
  <c r="H6" i="1"/>
  <c r="I6" i="1"/>
  <c r="J6" i="1"/>
  <c r="M6" i="1" l="1"/>
  <c r="M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Simula</author>
    <author>Andrea Chiocca</author>
  </authors>
  <commentList>
    <comment ref="K1" authorId="0" shapeId="0" xr:uid="{6F04C3C2-FECD-4FFF-AA88-91952C0B68F1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long side</t>
        </r>
      </text>
    </comment>
    <comment ref="L1" authorId="0" shapeId="0" xr:uid="{66E3A68F-8EB9-44F9-874B-239CE193C68B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short side</t>
        </r>
      </text>
    </comment>
    <comment ref="O1" authorId="1" shapeId="0" xr:uid="{1CC4F29A-57B3-44F7-965B-DA237098AC81}">
      <text>
        <r>
          <rPr>
            <b/>
            <sz val="14"/>
            <color indexed="81"/>
            <rFont val="Tahoma"/>
            <family val="2"/>
          </rPr>
          <t>Net</t>
        </r>
        <r>
          <rPr>
            <sz val="14"/>
            <color indexed="81"/>
            <rFont val="Tahoma"/>
            <family val="2"/>
          </rPr>
          <t xml:space="preserve"> or </t>
        </r>
        <r>
          <rPr>
            <b/>
            <sz val="14"/>
            <color indexed="81"/>
            <rFont val="Tahoma"/>
            <family val="2"/>
          </rPr>
          <t>gross</t>
        </r>
        <r>
          <rPr>
            <sz val="14"/>
            <color indexed="81"/>
            <rFont val="Tahoma"/>
            <family val="2"/>
          </rPr>
          <t xml:space="preserve"> area depending on what the author used to evaluate the nominal stresses</t>
        </r>
      </text>
    </comment>
    <comment ref="P1" authorId="0" shapeId="0" xr:uid="{679AC68E-6E1E-49D7-95C8-CB4738B37734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if Flat with neutral-axis bending // along the long sideo</t>
        </r>
      </text>
    </comment>
    <comment ref="AB1" authorId="0" shapeId="0" xr:uid="{F0DA867F-3D3D-465D-BB43-47CFC5DF21E7}">
      <text>
        <r>
          <rPr>
            <b/>
            <sz val="9"/>
            <color indexed="81"/>
            <rFont val="Tahoma"/>
            <family val="2"/>
          </rPr>
          <t>Simula: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It is hypothesized that the radial stress (second axial stress) can be generated solely by internal pressure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</futureMetadata>
  <valueMetadata count="2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</valueMetadata>
</metadata>
</file>

<file path=xl/sharedStrings.xml><?xml version="1.0" encoding="utf-8"?>
<sst xmlns="http://schemas.openxmlformats.org/spreadsheetml/2006/main" count="2195" uniqueCount="246">
  <si>
    <t>Material name</t>
  </si>
  <si>
    <t>Poisson's ratio (-)</t>
  </si>
  <si>
    <t>Tensile strength (MPa)</t>
  </si>
  <si>
    <t>Yield strength (MPa)</t>
  </si>
  <si>
    <t>K</t>
  </si>
  <si>
    <t>Number of cycles to failure</t>
  </si>
  <si>
    <t>Run out (Yes/No)</t>
  </si>
  <si>
    <t>Mean RADIAL stress  (MPa)</t>
  </si>
  <si>
    <t>Amplitute RADIAL stress  (MPa)</t>
  </si>
  <si>
    <t>Mean SHEAR stress  (MPa)</t>
  </si>
  <si>
    <t>Amplitute SHEAR stress  (MPa)</t>
  </si>
  <si>
    <t>Amplitude TORQUE (Nmm)</t>
  </si>
  <si>
    <t>Mean TORQUE (Nmm)</t>
  </si>
  <si>
    <t>Lambda (tauA/sigmaA)</t>
  </si>
  <si>
    <t>Load ratio (RADIAL)</t>
  </si>
  <si>
    <t>Load ratio (TORSIONAL)</t>
  </si>
  <si>
    <t>Geometry picture</t>
  </si>
  <si>
    <t>Diameter (mm)</t>
  </si>
  <si>
    <t>Failure type (complete rupture/stiffness decrease)</t>
  </si>
  <si>
    <t>Specimen name</t>
  </si>
  <si>
    <t>No</t>
  </si>
  <si>
    <t>Null</t>
  </si>
  <si>
    <t>Young's modulus (MPa)</t>
  </si>
  <si>
    <t>Standard deviation</t>
  </si>
  <si>
    <t>Average</t>
  </si>
  <si>
    <t>Article year</t>
  </si>
  <si>
    <t>Authors</t>
  </si>
  <si>
    <t>cylindrical</t>
  </si>
  <si>
    <t>Notched</t>
  </si>
  <si>
    <t>LEGEND:</t>
  </si>
  <si>
    <r>
      <rPr>
        <b/>
        <u/>
        <sz val="11"/>
        <color theme="0"/>
        <rFont val="Calibri"/>
        <family val="2"/>
        <scheme val="minor"/>
      </rPr>
      <t>INPUT</t>
    </r>
    <r>
      <rPr>
        <b/>
        <sz val="11"/>
        <color theme="0"/>
        <rFont val="Calibri"/>
        <family val="2"/>
        <scheme val="minor"/>
      </rPr>
      <t xml:space="preserve"> to be inserted by the user</t>
    </r>
  </si>
  <si>
    <r>
      <rPr>
        <b/>
        <u/>
        <sz val="11"/>
        <color theme="0"/>
        <rFont val="Calibri"/>
        <family val="2"/>
        <scheme val="minor"/>
      </rPr>
      <t>OUTPUT</t>
    </r>
    <r>
      <rPr>
        <b/>
        <sz val="11"/>
        <color theme="0"/>
        <rFont val="Calibri"/>
        <family val="2"/>
        <scheme val="minor"/>
      </rPr>
      <t xml:space="preserve"> automatically provided by the excel table</t>
    </r>
  </si>
  <si>
    <t>Yes</t>
  </si>
  <si>
    <t>Area (mm^2)</t>
  </si>
  <si>
    <t>Data count</t>
  </si>
  <si>
    <t>Mean BENDING moment (Nmm)</t>
  </si>
  <si>
    <t>Amplitude BENDING moment (Nmm)</t>
  </si>
  <si>
    <t>Number of Cycles (cycles)</t>
  </si>
  <si>
    <t>Stress ratio R</t>
  </si>
  <si>
    <t>Tensile fatigue limit (MPa)</t>
  </si>
  <si>
    <t>Torsional fatigue limit (MPa)</t>
  </si>
  <si>
    <t>A (mm)</t>
  </si>
  <si>
    <t>B (mm)</t>
  </si>
  <si>
    <t>Hole diameter (mm)</t>
  </si>
  <si>
    <t>Geometry type (flat/cylindrical/hollow cylinder)</t>
  </si>
  <si>
    <t>Phase RADIAL load (°)</t>
  </si>
  <si>
    <t>Phase AXIAL load (°)</t>
  </si>
  <si>
    <t>Phase TORSIONAL load (°)</t>
  </si>
  <si>
    <t>Freq RADIAL load [Hz]</t>
  </si>
  <si>
    <t>Freq AXIAL load[Hz]</t>
  </si>
  <si>
    <t>Freq TORSIONAL load [Hz]</t>
  </si>
  <si>
    <t>Load ratio (AXIAL)</t>
  </si>
  <si>
    <t>Mean AXIAL stress  (MPa)</t>
  </si>
  <si>
    <t>Amplitute AXIAL stress  (MPa)</t>
  </si>
  <si>
    <t>Mean internal PRESSURE  (MPa)</t>
  </si>
  <si>
    <t>Amplitute internal PRESSURE (MPa)</t>
  </si>
  <si>
    <t>derived from (AXIAL/BENDING) load</t>
  </si>
  <si>
    <t>torsional momento of inertia (mm^4)</t>
  </si>
  <si>
    <t>flessional momento of inertia (mm^4)</t>
  </si>
  <si>
    <t>Mean AXIAL load (N)</t>
  </si>
  <si>
    <t>AXIAL</t>
  </si>
  <si>
    <t>Article DOI / Reference</t>
  </si>
  <si>
    <t>Amplitude von Mises (MPa)</t>
  </si>
  <si>
    <t>Amplitute AXIAL load (N)</t>
  </si>
  <si>
    <t xml:space="preserve">10.1016/j.ijfatigue.2023.107824 </t>
  </si>
  <si>
    <t>Pedranz et al.</t>
  </si>
  <si>
    <t>GJS600</t>
  </si>
  <si>
    <t>Blunt_axial_1</t>
  </si>
  <si>
    <t>complete rupture</t>
  </si>
  <si>
    <t>Blunt_axial_2</t>
  </si>
  <si>
    <t>Blunt_axial_3</t>
  </si>
  <si>
    <t>Blunt_axial_4</t>
  </si>
  <si>
    <t>Blunt_axial_5</t>
  </si>
  <si>
    <t>Blunt_axial_6</t>
  </si>
  <si>
    <t>Blunt_axial_7</t>
  </si>
  <si>
    <t>Blunt_axial_8</t>
  </si>
  <si>
    <t>Blunt_axial_9</t>
  </si>
  <si>
    <t>Blunt_axial_10</t>
  </si>
  <si>
    <t>Blunt_axial_11</t>
  </si>
  <si>
    <t>Blunt_axial_12</t>
  </si>
  <si>
    <t>Blunt_axial_13</t>
  </si>
  <si>
    <t>Blunt_axial_14</t>
  </si>
  <si>
    <t>Blunt_axial_15</t>
  </si>
  <si>
    <t>Blunt_axial_16</t>
  </si>
  <si>
    <t>Blunt_axial_17</t>
  </si>
  <si>
    <t>Blunt_axial_18</t>
  </si>
  <si>
    <t>Blunt_axial_19</t>
  </si>
  <si>
    <t>Blunt_axial_20</t>
  </si>
  <si>
    <t>Blunt_axial_21</t>
  </si>
  <si>
    <t>Sharp_axial_1</t>
  </si>
  <si>
    <t>Sharp_axial_2</t>
  </si>
  <si>
    <t>Sharp_axial_3</t>
  </si>
  <si>
    <t>Sharp_axial_4</t>
  </si>
  <si>
    <t>Sharp_axial_5</t>
  </si>
  <si>
    <t>Sharp_axial_6</t>
  </si>
  <si>
    <t>Sharp_axial_7</t>
  </si>
  <si>
    <t>Sharp_axial_8</t>
  </si>
  <si>
    <t>Sharp_axial_9</t>
  </si>
  <si>
    <t>Sharp_axial_10</t>
  </si>
  <si>
    <t>Sharp_axial_11</t>
  </si>
  <si>
    <t>Sharp_axial_12</t>
  </si>
  <si>
    <t>Sharp_axial_13</t>
  </si>
  <si>
    <t>Sharp_axial_14</t>
  </si>
  <si>
    <t>Sharp_axial_15</t>
  </si>
  <si>
    <t>Sharp_axial_16</t>
  </si>
  <si>
    <t>Sharp_axial_17</t>
  </si>
  <si>
    <t>Sharp_axial_18</t>
  </si>
  <si>
    <t>Sharp_axial_19</t>
  </si>
  <si>
    <t>Sharp_axial_20</t>
  </si>
  <si>
    <t>Sharp_axial_21</t>
  </si>
  <si>
    <t>Sharp_axial_22</t>
  </si>
  <si>
    <t>Sharp_axial_23</t>
  </si>
  <si>
    <t>Sharp_axial_24</t>
  </si>
  <si>
    <t>Sharp_axial_25</t>
  </si>
  <si>
    <t>Sharp_axial_26</t>
  </si>
  <si>
    <t>Sharp_axial_27</t>
  </si>
  <si>
    <t>Sharp_axial_28</t>
  </si>
  <si>
    <t>Sharp_axial_29</t>
  </si>
  <si>
    <t>Sharp_axial_30</t>
  </si>
  <si>
    <t>Sharp_axial_31</t>
  </si>
  <si>
    <t>Sharp_axial_32</t>
  </si>
  <si>
    <t>Sharp_axial_33</t>
  </si>
  <si>
    <t>Sharp_axial_34</t>
  </si>
  <si>
    <t>Sharp_axial_35</t>
  </si>
  <si>
    <t>Sharp_axial_36</t>
  </si>
  <si>
    <t>Blunt_torsion_1</t>
  </si>
  <si>
    <t>Blunt_torsion_2</t>
  </si>
  <si>
    <t>Blunt_torsion_3</t>
  </si>
  <si>
    <t>Blunt_torsion_4</t>
  </si>
  <si>
    <t>Blunt_torsion_5</t>
  </si>
  <si>
    <t>Blunt_torsion_6</t>
  </si>
  <si>
    <t>Blunt_torsion_7</t>
  </si>
  <si>
    <t>Blunt_torsion_8</t>
  </si>
  <si>
    <t>Blunt_torsion_9</t>
  </si>
  <si>
    <t>Blunt_torsion_10</t>
  </si>
  <si>
    <t>Blunt_torsion_11</t>
  </si>
  <si>
    <t>Blunt_torsion_12</t>
  </si>
  <si>
    <t>Blunt_torsion_13</t>
  </si>
  <si>
    <t>Blunt_torsion_14</t>
  </si>
  <si>
    <t>Blunt_torsion_15</t>
  </si>
  <si>
    <t>Blunt_torsion_16</t>
  </si>
  <si>
    <t>Blunt_torsion_17</t>
  </si>
  <si>
    <t>Blunt_torsion_18</t>
  </si>
  <si>
    <t>Blunt_torsion_19</t>
  </si>
  <si>
    <t>Blunt_torsion_20</t>
  </si>
  <si>
    <t>Blunt_torsion_21</t>
  </si>
  <si>
    <t>Blunt_torsion_22</t>
  </si>
  <si>
    <t>Blunt_torsion_23</t>
  </si>
  <si>
    <t>Sharp_torsion_1</t>
  </si>
  <si>
    <t>Sharp_torsion_2</t>
  </si>
  <si>
    <t>Sharp_torsion_3</t>
  </si>
  <si>
    <t>Sharp_torsion_4</t>
  </si>
  <si>
    <t>Sharp_torsion_5</t>
  </si>
  <si>
    <t>Sharp_torsion_6</t>
  </si>
  <si>
    <t>Sharp_torsion_7</t>
  </si>
  <si>
    <t>Sharp_torsion_8</t>
  </si>
  <si>
    <t>Sharp_torsion_9</t>
  </si>
  <si>
    <t>Sharp_torsion_10</t>
  </si>
  <si>
    <t>Sharp_torsion_11</t>
  </si>
  <si>
    <t>Sharp_torsion_12</t>
  </si>
  <si>
    <t>Sharp_torsion_13</t>
  </si>
  <si>
    <t>Sharp_torsion_14</t>
  </si>
  <si>
    <t>Sharp_torsion_15</t>
  </si>
  <si>
    <t>Sharp_torsion_16</t>
  </si>
  <si>
    <t>Blunt_multi_1</t>
  </si>
  <si>
    <t>Blunt_multi_2</t>
  </si>
  <si>
    <t>Blunt_multi_3</t>
  </si>
  <si>
    <t>Blunt_multi_4</t>
  </si>
  <si>
    <t>Blunt_multi_5</t>
  </si>
  <si>
    <t>Blunt_multi_6</t>
  </si>
  <si>
    <t>Blunt_multi_7</t>
  </si>
  <si>
    <t>Blunt_multi_8</t>
  </si>
  <si>
    <t>Blunt_multi_9</t>
  </si>
  <si>
    <t>Blunt_multi_10</t>
  </si>
  <si>
    <t>Blunt_multi_11</t>
  </si>
  <si>
    <t>Blunt_multi_12</t>
  </si>
  <si>
    <t>Blunt_multi_13</t>
  </si>
  <si>
    <t>Blunt_multi_14</t>
  </si>
  <si>
    <t>Blunt_multi_15</t>
  </si>
  <si>
    <t>Blunt_multi_16</t>
  </si>
  <si>
    <t>Blunt_multi_17</t>
  </si>
  <si>
    <t>Blunt_multi_18</t>
  </si>
  <si>
    <t>Blunt_multi_19</t>
  </si>
  <si>
    <t>Blunt_multi_20</t>
  </si>
  <si>
    <t>Blunt_multi_21</t>
  </si>
  <si>
    <t>Blunt_multi_22</t>
  </si>
  <si>
    <t>Blunt_multi_23</t>
  </si>
  <si>
    <t>Blunt_multi_24</t>
  </si>
  <si>
    <t>Blunt_multi_25</t>
  </si>
  <si>
    <t>Blunt_multi_26</t>
  </si>
  <si>
    <t>Blunt_multi_27</t>
  </si>
  <si>
    <t>Blunt_multi_28</t>
  </si>
  <si>
    <t>Blunt_multi_29</t>
  </si>
  <si>
    <t>Blunt_multi_30</t>
  </si>
  <si>
    <t>Blunt_multi_31</t>
  </si>
  <si>
    <t>Blunt_multi_32</t>
  </si>
  <si>
    <t>Blunt_multi_33</t>
  </si>
  <si>
    <t>Blunt_multi_34</t>
  </si>
  <si>
    <t>Blunt_multi_35</t>
  </si>
  <si>
    <t>Blunt_multi_36</t>
  </si>
  <si>
    <t>Blunt_multi_37</t>
  </si>
  <si>
    <t>Blunt_multi_38</t>
  </si>
  <si>
    <t>Blunt_multi_39</t>
  </si>
  <si>
    <t>Blunt_multi_40</t>
  </si>
  <si>
    <t>Blunt_multi_41</t>
  </si>
  <si>
    <t>Blunt_multi_42</t>
  </si>
  <si>
    <t>Blunt_multi_43</t>
  </si>
  <si>
    <t>Blunt_multi_44</t>
  </si>
  <si>
    <t>Blunt_multi_45</t>
  </si>
  <si>
    <t>Blunt_multi_46</t>
  </si>
  <si>
    <t>Blunt_multi_47</t>
  </si>
  <si>
    <t>Blunt_multi_48</t>
  </si>
  <si>
    <t>Sharp_multi_1</t>
  </si>
  <si>
    <t>Sharp_multi_2</t>
  </si>
  <si>
    <t>Sharp_multi_3</t>
  </si>
  <si>
    <t>Sharp_multi_4</t>
  </si>
  <si>
    <t>Sharp_multi_5</t>
  </si>
  <si>
    <t>Sharp_multi_6</t>
  </si>
  <si>
    <t>Sharp_multi_7</t>
  </si>
  <si>
    <t>Sharp_multi_8</t>
  </si>
  <si>
    <t>Sharp_multi_9</t>
  </si>
  <si>
    <t>Sharp_multi_10</t>
  </si>
  <si>
    <t>Sharp_multi_11</t>
  </si>
  <si>
    <t>Sharp_multi_12</t>
  </si>
  <si>
    <t>Sharp_multi_13</t>
  </si>
  <si>
    <t>Sharp_multi_14</t>
  </si>
  <si>
    <t>Sharp_multi_15</t>
  </si>
  <si>
    <t>Sharp_multi_16</t>
  </si>
  <si>
    <t>Sharp_multi_17</t>
  </si>
  <si>
    <t>Sharp_multi_18</t>
  </si>
  <si>
    <t>Sharp_multi_19</t>
  </si>
  <si>
    <t>Sharp_multi_20</t>
  </si>
  <si>
    <t>Sharp_multi_21</t>
  </si>
  <si>
    <t>Sharp_multi_22</t>
  </si>
  <si>
    <t>Sharp_multi_23</t>
  </si>
  <si>
    <t>Sharp_multi_24</t>
  </si>
  <si>
    <t>Sharp_multi_25</t>
  </si>
  <si>
    <t>Sharp_multi_26</t>
  </si>
  <si>
    <t>Sharp_multi_27</t>
  </si>
  <si>
    <t>Sharp_multi_28</t>
  </si>
  <si>
    <t>Sharp_multi_29</t>
  </si>
  <si>
    <t>Sharp_multi_30</t>
  </si>
  <si>
    <t>Sharp_multi_31</t>
  </si>
  <si>
    <t>Sharp_multi_32</t>
  </si>
  <si>
    <t>Sharp_multi_33</t>
  </si>
  <si>
    <t>15-20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</si>
</sst>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u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indexed="81"/>
      <name val="Tahoma"/>
      <family val="2"/>
    </font>
    <font>
      <sz val="14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42A2A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2" xfId="0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12" xfId="0" applyNumberFormat="1" applyBorder="1" applyAlignment="1">
      <alignment horizontal="center" vertical="center"/>
    </xf>
    <xf numFmtId="11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2" fontId="0" fillId="0" borderId="0" xfId="0" applyNumberFormat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49" fontId="8" fillId="13" borderId="0" xfId="0" applyNumberFormat="1" applyFont="1" applyFill="1" applyAlignment="1">
      <alignment horizontal="center" vertical="center" wrapText="1"/>
    </xf>
    <xf numFmtId="2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164" fontId="0" fillId="9" borderId="0" xfId="0" applyNumberFormat="1" applyFill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164" fontId="7" fillId="10" borderId="0" xfId="0" applyNumberFormat="1" applyFont="1" applyFill="1" applyAlignment="1">
      <alignment horizontal="center" vertical="center" wrapText="1"/>
    </xf>
    <xf numFmtId="49" fontId="7" fillId="11" borderId="0" xfId="0" applyNumberFormat="1" applyFont="1" applyFill="1" applyAlignment="1">
      <alignment horizontal="center" vertical="center" wrapText="1"/>
    </xf>
    <xf numFmtId="164" fontId="7" fillId="12" borderId="0" xfId="0" applyNumberFormat="1" applyFont="1" applyFill="1" applyAlignment="1">
      <alignment horizontal="center" vertical="center" wrapText="1"/>
    </xf>
    <xf numFmtId="164" fontId="7" fillId="7" borderId="0" xfId="0" applyNumberFormat="1" applyFont="1" applyFill="1" applyAlignment="1">
      <alignment horizontal="center" vertical="center" wrapText="1"/>
    </xf>
    <xf numFmtId="164" fontId="0" fillId="0" borderId="16" xfId="0" applyNumberFormat="1" applyBorder="1" applyAlignment="1">
      <alignment horizontal="center" vertical="center"/>
    </xf>
    <xf numFmtId="1" fontId="8" fillId="13" borderId="0" xfId="0" applyNumberFormat="1" applyFont="1" applyFill="1" applyAlignment="1">
      <alignment horizontal="center" vertical="center" wrapText="1"/>
    </xf>
    <xf numFmtId="164" fontId="0" fillId="0" borderId="17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164" fontId="7" fillId="0" borderId="0" xfId="0" applyNumberFormat="1" applyFont="1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/>
    </xf>
    <xf numFmtId="0" fontId="0" fillId="2" borderId="0" xfId="0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9" borderId="0" xfId="0" applyFill="1" applyBorder="1" applyAlignment="1">
      <alignment horizontal="center" vertical="center" wrapText="1"/>
    </xf>
    <xf numFmtId="164" fontId="7" fillId="12" borderId="16" xfId="0" applyNumberFormat="1" applyFont="1" applyFill="1" applyBorder="1" applyAlignment="1">
      <alignment horizontal="center" vertical="center" wrapText="1"/>
    </xf>
    <xf numFmtId="164" fontId="7" fillId="7" borderId="0" xfId="0" applyNumberFormat="1" applyFont="1" applyFill="1" applyBorder="1" applyAlignment="1">
      <alignment horizontal="center" vertical="center" wrapText="1"/>
    </xf>
    <xf numFmtId="2" fontId="0" fillId="0" borderId="17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 wrapText="1"/>
    </xf>
  </cellXfs>
  <cellStyles count="1">
    <cellStyle name="Normale" xfId="0" builtinId="0"/>
  </cellStyles>
  <dxfs count="60"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vertical/>
      </border>
    </dxf>
    <dxf>
      <numFmt numFmtId="164" formatCode="0.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vertical/>
      </border>
    </dxf>
    <dxf>
      <numFmt numFmtId="164" formatCode="0.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vertical/>
      </border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vertic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vertical/>
      </border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5" formatCode="0.00E+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i val="0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42A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Summary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Dataset!$E$2:$E$195</c:f>
              <c:numCache>
                <c:formatCode>General</c:formatCode>
                <c:ptCount val="194"/>
                <c:pt idx="0">
                  <c:v>281968</c:v>
                </c:pt>
                <c:pt idx="1">
                  <c:v>2459220</c:v>
                </c:pt>
                <c:pt idx="2">
                  <c:v>1946112</c:v>
                </c:pt>
                <c:pt idx="3">
                  <c:v>705742</c:v>
                </c:pt>
                <c:pt idx="4">
                  <c:v>5000000</c:v>
                </c:pt>
                <c:pt idx="5">
                  <c:v>178690</c:v>
                </c:pt>
                <c:pt idx="6">
                  <c:v>881573</c:v>
                </c:pt>
                <c:pt idx="7">
                  <c:v>273488</c:v>
                </c:pt>
                <c:pt idx="8">
                  <c:v>3548471</c:v>
                </c:pt>
                <c:pt idx="9">
                  <c:v>539448</c:v>
                </c:pt>
                <c:pt idx="10">
                  <c:v>260000</c:v>
                </c:pt>
                <c:pt idx="11">
                  <c:v>5000000</c:v>
                </c:pt>
                <c:pt idx="12">
                  <c:v>1631007</c:v>
                </c:pt>
                <c:pt idx="13">
                  <c:v>1058112</c:v>
                </c:pt>
                <c:pt idx="14">
                  <c:v>812422</c:v>
                </c:pt>
                <c:pt idx="15">
                  <c:v>3742955</c:v>
                </c:pt>
                <c:pt idx="16">
                  <c:v>2712425</c:v>
                </c:pt>
                <c:pt idx="17">
                  <c:v>5000000</c:v>
                </c:pt>
                <c:pt idx="18">
                  <c:v>455808</c:v>
                </c:pt>
                <c:pt idx="19">
                  <c:v>5000000</c:v>
                </c:pt>
                <c:pt idx="20">
                  <c:v>5000000</c:v>
                </c:pt>
                <c:pt idx="21">
                  <c:v>407693</c:v>
                </c:pt>
                <c:pt idx="22">
                  <c:v>368488</c:v>
                </c:pt>
                <c:pt idx="23">
                  <c:v>2327507</c:v>
                </c:pt>
                <c:pt idx="24">
                  <c:v>5000000</c:v>
                </c:pt>
                <c:pt idx="25">
                  <c:v>282475</c:v>
                </c:pt>
                <c:pt idx="26">
                  <c:v>228978</c:v>
                </c:pt>
                <c:pt idx="27">
                  <c:v>5000000</c:v>
                </c:pt>
                <c:pt idx="28">
                  <c:v>4701773</c:v>
                </c:pt>
                <c:pt idx="29">
                  <c:v>5000000</c:v>
                </c:pt>
                <c:pt idx="30">
                  <c:v>417018</c:v>
                </c:pt>
                <c:pt idx="31">
                  <c:v>273662</c:v>
                </c:pt>
                <c:pt idx="32">
                  <c:v>100000</c:v>
                </c:pt>
                <c:pt idx="33">
                  <c:v>682557</c:v>
                </c:pt>
                <c:pt idx="34">
                  <c:v>2204029</c:v>
                </c:pt>
                <c:pt idx="35">
                  <c:v>5000000</c:v>
                </c:pt>
                <c:pt idx="36">
                  <c:v>454439</c:v>
                </c:pt>
                <c:pt idx="37">
                  <c:v>2265509</c:v>
                </c:pt>
                <c:pt idx="38">
                  <c:v>1625713</c:v>
                </c:pt>
                <c:pt idx="39">
                  <c:v>2656910</c:v>
                </c:pt>
                <c:pt idx="40">
                  <c:v>2901015</c:v>
                </c:pt>
                <c:pt idx="41">
                  <c:v>1352330</c:v>
                </c:pt>
                <c:pt idx="42">
                  <c:v>5000000</c:v>
                </c:pt>
                <c:pt idx="43">
                  <c:v>5000000</c:v>
                </c:pt>
                <c:pt idx="44">
                  <c:v>5000000</c:v>
                </c:pt>
                <c:pt idx="45">
                  <c:v>2410301</c:v>
                </c:pt>
                <c:pt idx="46">
                  <c:v>2777083</c:v>
                </c:pt>
                <c:pt idx="47">
                  <c:v>891311</c:v>
                </c:pt>
                <c:pt idx="48">
                  <c:v>273768</c:v>
                </c:pt>
                <c:pt idx="49">
                  <c:v>299783</c:v>
                </c:pt>
                <c:pt idx="50">
                  <c:v>385664</c:v>
                </c:pt>
                <c:pt idx="51">
                  <c:v>185040</c:v>
                </c:pt>
                <c:pt idx="52">
                  <c:v>213037</c:v>
                </c:pt>
                <c:pt idx="53">
                  <c:v>187023</c:v>
                </c:pt>
                <c:pt idx="54">
                  <c:v>101563</c:v>
                </c:pt>
                <c:pt idx="55">
                  <c:v>100282</c:v>
                </c:pt>
                <c:pt idx="56">
                  <c:v>87474</c:v>
                </c:pt>
                <c:pt idx="57">
                  <c:v>1960572</c:v>
                </c:pt>
                <c:pt idx="58">
                  <c:v>471522</c:v>
                </c:pt>
                <c:pt idx="59">
                  <c:v>239157</c:v>
                </c:pt>
                <c:pt idx="60">
                  <c:v>2353571</c:v>
                </c:pt>
                <c:pt idx="61">
                  <c:v>791874</c:v>
                </c:pt>
                <c:pt idx="62">
                  <c:v>214739</c:v>
                </c:pt>
                <c:pt idx="63">
                  <c:v>3000000</c:v>
                </c:pt>
                <c:pt idx="64">
                  <c:v>83000</c:v>
                </c:pt>
                <c:pt idx="65">
                  <c:v>3000000</c:v>
                </c:pt>
                <c:pt idx="66">
                  <c:v>90600</c:v>
                </c:pt>
                <c:pt idx="67">
                  <c:v>690738</c:v>
                </c:pt>
                <c:pt idx="68">
                  <c:v>208668</c:v>
                </c:pt>
                <c:pt idx="69">
                  <c:v>77766</c:v>
                </c:pt>
                <c:pt idx="70">
                  <c:v>1619225</c:v>
                </c:pt>
                <c:pt idx="71">
                  <c:v>460906</c:v>
                </c:pt>
                <c:pt idx="72">
                  <c:v>2301839</c:v>
                </c:pt>
                <c:pt idx="73">
                  <c:v>700891</c:v>
                </c:pt>
                <c:pt idx="74">
                  <c:v>5000000</c:v>
                </c:pt>
                <c:pt idx="75">
                  <c:v>139002</c:v>
                </c:pt>
                <c:pt idx="76">
                  <c:v>286159</c:v>
                </c:pt>
                <c:pt idx="77">
                  <c:v>1245382</c:v>
                </c:pt>
                <c:pt idx="78">
                  <c:v>1260414</c:v>
                </c:pt>
                <c:pt idx="79">
                  <c:v>591800</c:v>
                </c:pt>
                <c:pt idx="80">
                  <c:v>2000000</c:v>
                </c:pt>
                <c:pt idx="81">
                  <c:v>2000000</c:v>
                </c:pt>
                <c:pt idx="82">
                  <c:v>70000</c:v>
                </c:pt>
                <c:pt idx="83">
                  <c:v>2000000</c:v>
                </c:pt>
                <c:pt idx="84">
                  <c:v>5597</c:v>
                </c:pt>
                <c:pt idx="85">
                  <c:v>126125</c:v>
                </c:pt>
                <c:pt idx="86">
                  <c:v>409480</c:v>
                </c:pt>
                <c:pt idx="87">
                  <c:v>2000000</c:v>
                </c:pt>
                <c:pt idx="88">
                  <c:v>17285</c:v>
                </c:pt>
                <c:pt idx="89">
                  <c:v>475383</c:v>
                </c:pt>
                <c:pt idx="90">
                  <c:v>103954</c:v>
                </c:pt>
                <c:pt idx="91">
                  <c:v>763260</c:v>
                </c:pt>
                <c:pt idx="92">
                  <c:v>20038</c:v>
                </c:pt>
                <c:pt idx="93">
                  <c:v>948396</c:v>
                </c:pt>
                <c:pt idx="94">
                  <c:v>775687</c:v>
                </c:pt>
                <c:pt idx="95">
                  <c:v>650000</c:v>
                </c:pt>
                <c:pt idx="96">
                  <c:v>127257</c:v>
                </c:pt>
                <c:pt idx="97">
                  <c:v>319681</c:v>
                </c:pt>
                <c:pt idx="98">
                  <c:v>595380</c:v>
                </c:pt>
                <c:pt idx="99">
                  <c:v>2147533</c:v>
                </c:pt>
                <c:pt idx="100">
                  <c:v>423115</c:v>
                </c:pt>
                <c:pt idx="101">
                  <c:v>5000000</c:v>
                </c:pt>
                <c:pt idx="102">
                  <c:v>108931</c:v>
                </c:pt>
                <c:pt idx="103">
                  <c:v>2475139</c:v>
                </c:pt>
                <c:pt idx="104">
                  <c:v>5000000</c:v>
                </c:pt>
                <c:pt idx="105">
                  <c:v>277923</c:v>
                </c:pt>
                <c:pt idx="106">
                  <c:v>5000000</c:v>
                </c:pt>
                <c:pt idx="107">
                  <c:v>1258058</c:v>
                </c:pt>
                <c:pt idx="108">
                  <c:v>5000000</c:v>
                </c:pt>
                <c:pt idx="109">
                  <c:v>257642</c:v>
                </c:pt>
                <c:pt idx="110">
                  <c:v>518204</c:v>
                </c:pt>
                <c:pt idx="111">
                  <c:v>597006</c:v>
                </c:pt>
                <c:pt idx="112">
                  <c:v>5000000</c:v>
                </c:pt>
                <c:pt idx="113">
                  <c:v>5000000</c:v>
                </c:pt>
                <c:pt idx="114">
                  <c:v>751322</c:v>
                </c:pt>
                <c:pt idx="115">
                  <c:v>61284</c:v>
                </c:pt>
                <c:pt idx="116">
                  <c:v>121961</c:v>
                </c:pt>
                <c:pt idx="117">
                  <c:v>239743</c:v>
                </c:pt>
                <c:pt idx="118">
                  <c:v>2895375</c:v>
                </c:pt>
                <c:pt idx="119">
                  <c:v>197512</c:v>
                </c:pt>
                <c:pt idx="120">
                  <c:v>1020783</c:v>
                </c:pt>
                <c:pt idx="121">
                  <c:v>288376</c:v>
                </c:pt>
                <c:pt idx="122">
                  <c:v>207195</c:v>
                </c:pt>
                <c:pt idx="123">
                  <c:v>79986</c:v>
                </c:pt>
                <c:pt idx="124">
                  <c:v>1215835</c:v>
                </c:pt>
                <c:pt idx="125">
                  <c:v>1032688</c:v>
                </c:pt>
                <c:pt idx="126">
                  <c:v>4103365</c:v>
                </c:pt>
                <c:pt idx="127">
                  <c:v>226605</c:v>
                </c:pt>
                <c:pt idx="128">
                  <c:v>102745</c:v>
                </c:pt>
                <c:pt idx="129">
                  <c:v>419909</c:v>
                </c:pt>
                <c:pt idx="130">
                  <c:v>536213</c:v>
                </c:pt>
                <c:pt idx="131">
                  <c:v>1734162</c:v>
                </c:pt>
                <c:pt idx="132">
                  <c:v>235584</c:v>
                </c:pt>
                <c:pt idx="133">
                  <c:v>177844</c:v>
                </c:pt>
                <c:pt idx="134">
                  <c:v>960957</c:v>
                </c:pt>
                <c:pt idx="135">
                  <c:v>58729</c:v>
                </c:pt>
                <c:pt idx="136">
                  <c:v>1584537</c:v>
                </c:pt>
                <c:pt idx="137">
                  <c:v>366774</c:v>
                </c:pt>
                <c:pt idx="138">
                  <c:v>1510317</c:v>
                </c:pt>
                <c:pt idx="139">
                  <c:v>388806</c:v>
                </c:pt>
                <c:pt idx="140">
                  <c:v>121715</c:v>
                </c:pt>
                <c:pt idx="141">
                  <c:v>2762930</c:v>
                </c:pt>
                <c:pt idx="142">
                  <c:v>120284</c:v>
                </c:pt>
                <c:pt idx="143">
                  <c:v>3089467</c:v>
                </c:pt>
                <c:pt idx="144">
                  <c:v>230649</c:v>
                </c:pt>
                <c:pt idx="145">
                  <c:v>257809</c:v>
                </c:pt>
                <c:pt idx="146">
                  <c:v>121839</c:v>
                </c:pt>
                <c:pt idx="147">
                  <c:v>1672262</c:v>
                </c:pt>
                <c:pt idx="148">
                  <c:v>2000000</c:v>
                </c:pt>
                <c:pt idx="149">
                  <c:v>25443</c:v>
                </c:pt>
                <c:pt idx="150">
                  <c:v>1566089</c:v>
                </c:pt>
                <c:pt idx="151">
                  <c:v>55185</c:v>
                </c:pt>
                <c:pt idx="152">
                  <c:v>5000000</c:v>
                </c:pt>
                <c:pt idx="153">
                  <c:v>234030</c:v>
                </c:pt>
                <c:pt idx="154">
                  <c:v>365066</c:v>
                </c:pt>
                <c:pt idx="155">
                  <c:v>1880865</c:v>
                </c:pt>
                <c:pt idx="156">
                  <c:v>1289763</c:v>
                </c:pt>
                <c:pt idx="157">
                  <c:v>792446</c:v>
                </c:pt>
                <c:pt idx="158">
                  <c:v>249467</c:v>
                </c:pt>
                <c:pt idx="159">
                  <c:v>2000000</c:v>
                </c:pt>
                <c:pt idx="160">
                  <c:v>51000</c:v>
                </c:pt>
                <c:pt idx="161">
                  <c:v>2000000</c:v>
                </c:pt>
                <c:pt idx="162">
                  <c:v>43913</c:v>
                </c:pt>
                <c:pt idx="163">
                  <c:v>448817</c:v>
                </c:pt>
                <c:pt idx="164">
                  <c:v>168000</c:v>
                </c:pt>
                <c:pt idx="165">
                  <c:v>2552155</c:v>
                </c:pt>
                <c:pt idx="166">
                  <c:v>637181</c:v>
                </c:pt>
                <c:pt idx="167">
                  <c:v>83523</c:v>
                </c:pt>
                <c:pt idx="168">
                  <c:v>100028</c:v>
                </c:pt>
                <c:pt idx="169">
                  <c:v>5000000</c:v>
                </c:pt>
                <c:pt idx="170">
                  <c:v>52141</c:v>
                </c:pt>
                <c:pt idx="171">
                  <c:v>1988821</c:v>
                </c:pt>
                <c:pt idx="172">
                  <c:v>2423709</c:v>
                </c:pt>
                <c:pt idx="173">
                  <c:v>367334</c:v>
                </c:pt>
                <c:pt idx="174">
                  <c:v>784273</c:v>
                </c:pt>
                <c:pt idx="175">
                  <c:v>326603</c:v>
                </c:pt>
                <c:pt idx="176">
                  <c:v>733855</c:v>
                </c:pt>
              </c:numCache>
            </c:numRef>
          </c:xVal>
          <c:yVal>
            <c:numRef>
              <c:f>Dataset!$AQ$2:$AQ$195</c:f>
              <c:numCache>
                <c:formatCode>0.00</c:formatCode>
                <c:ptCount val="194"/>
                <c:pt idx="0">
                  <c:v>70</c:v>
                </c:pt>
                <c:pt idx="1">
                  <c:v>50</c:v>
                </c:pt>
                <c:pt idx="2">
                  <c:v>50</c:v>
                </c:pt>
                <c:pt idx="3">
                  <c:v>60</c:v>
                </c:pt>
                <c:pt idx="4">
                  <c:v>45</c:v>
                </c:pt>
                <c:pt idx="5">
                  <c:v>75</c:v>
                </c:pt>
                <c:pt idx="6">
                  <c:v>60</c:v>
                </c:pt>
                <c:pt idx="7">
                  <c:v>70</c:v>
                </c:pt>
                <c:pt idx="8">
                  <c:v>50</c:v>
                </c:pt>
                <c:pt idx="9">
                  <c:v>160</c:v>
                </c:pt>
                <c:pt idx="10">
                  <c:v>160</c:v>
                </c:pt>
                <c:pt idx="11">
                  <c:v>100</c:v>
                </c:pt>
                <c:pt idx="12">
                  <c:v>140</c:v>
                </c:pt>
                <c:pt idx="13">
                  <c:v>140</c:v>
                </c:pt>
                <c:pt idx="14">
                  <c:v>140</c:v>
                </c:pt>
                <c:pt idx="15">
                  <c:v>120</c:v>
                </c:pt>
                <c:pt idx="16">
                  <c:v>120</c:v>
                </c:pt>
                <c:pt idx="17">
                  <c:v>110</c:v>
                </c:pt>
                <c:pt idx="18">
                  <c:v>160</c:v>
                </c:pt>
                <c:pt idx="19">
                  <c:v>110</c:v>
                </c:pt>
                <c:pt idx="20">
                  <c:v>115</c:v>
                </c:pt>
                <c:pt idx="21">
                  <c:v>120</c:v>
                </c:pt>
                <c:pt idx="22">
                  <c:v>120</c:v>
                </c:pt>
                <c:pt idx="23">
                  <c:v>100</c:v>
                </c:pt>
                <c:pt idx="24">
                  <c:v>100</c:v>
                </c:pt>
                <c:pt idx="25">
                  <c:v>140</c:v>
                </c:pt>
                <c:pt idx="26">
                  <c:v>140</c:v>
                </c:pt>
                <c:pt idx="27">
                  <c:v>90</c:v>
                </c:pt>
                <c:pt idx="28">
                  <c:v>95</c:v>
                </c:pt>
                <c:pt idx="29">
                  <c:v>90</c:v>
                </c:pt>
                <c:pt idx="30">
                  <c:v>120</c:v>
                </c:pt>
                <c:pt idx="31">
                  <c:v>140</c:v>
                </c:pt>
                <c:pt idx="32">
                  <c:v>160</c:v>
                </c:pt>
                <c:pt idx="33">
                  <c:v>70</c:v>
                </c:pt>
                <c:pt idx="34">
                  <c:v>60</c:v>
                </c:pt>
                <c:pt idx="35">
                  <c:v>60</c:v>
                </c:pt>
                <c:pt idx="36">
                  <c:v>70</c:v>
                </c:pt>
                <c:pt idx="37">
                  <c:v>60</c:v>
                </c:pt>
                <c:pt idx="38">
                  <c:v>60</c:v>
                </c:pt>
                <c:pt idx="39">
                  <c:v>60</c:v>
                </c:pt>
                <c:pt idx="40">
                  <c:v>60</c:v>
                </c:pt>
                <c:pt idx="41">
                  <c:v>60</c:v>
                </c:pt>
                <c:pt idx="42">
                  <c:v>55</c:v>
                </c:pt>
                <c:pt idx="43">
                  <c:v>55</c:v>
                </c:pt>
                <c:pt idx="44">
                  <c:v>55</c:v>
                </c:pt>
                <c:pt idx="45">
                  <c:v>55</c:v>
                </c:pt>
                <c:pt idx="46">
                  <c:v>55</c:v>
                </c:pt>
                <c:pt idx="47">
                  <c:v>70</c:v>
                </c:pt>
                <c:pt idx="48">
                  <c:v>80</c:v>
                </c:pt>
                <c:pt idx="49">
                  <c:v>80</c:v>
                </c:pt>
                <c:pt idx="50">
                  <c:v>80</c:v>
                </c:pt>
                <c:pt idx="51">
                  <c:v>90</c:v>
                </c:pt>
                <c:pt idx="52">
                  <c:v>90</c:v>
                </c:pt>
                <c:pt idx="53">
                  <c:v>90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346.41016151377545</c:v>
                </c:pt>
                <c:pt idx="58">
                  <c:v>381.05117766515298</c:v>
                </c:pt>
                <c:pt idx="59">
                  <c:v>415.69219381653056</c:v>
                </c:pt>
                <c:pt idx="60">
                  <c:v>346.41016151377545</c:v>
                </c:pt>
                <c:pt idx="61">
                  <c:v>381.05117766515298</c:v>
                </c:pt>
                <c:pt idx="62">
                  <c:v>415.69219381653056</c:v>
                </c:pt>
                <c:pt idx="63">
                  <c:v>329.08965343808671</c:v>
                </c:pt>
                <c:pt idx="64">
                  <c:v>450.33320996790809</c:v>
                </c:pt>
                <c:pt idx="65">
                  <c:v>346.41016151377545</c:v>
                </c:pt>
                <c:pt idx="66">
                  <c:v>450.33320996790809</c:v>
                </c:pt>
                <c:pt idx="67">
                  <c:v>381.05117766515298</c:v>
                </c:pt>
                <c:pt idx="68">
                  <c:v>415.69219381653056</c:v>
                </c:pt>
                <c:pt idx="69">
                  <c:v>450.33320996790809</c:v>
                </c:pt>
                <c:pt idx="70">
                  <c:v>363.73066958946424</c:v>
                </c:pt>
                <c:pt idx="71">
                  <c:v>225.16660498395404</c:v>
                </c:pt>
                <c:pt idx="72">
                  <c:v>190.52558883257649</c:v>
                </c:pt>
                <c:pt idx="73">
                  <c:v>225.16660498395404</c:v>
                </c:pt>
                <c:pt idx="74">
                  <c:v>173.20508075688772</c:v>
                </c:pt>
                <c:pt idx="75">
                  <c:v>259.8076211353316</c:v>
                </c:pt>
                <c:pt idx="76">
                  <c:v>259.8076211353316</c:v>
                </c:pt>
                <c:pt idx="77">
                  <c:v>190.52558883257649</c:v>
                </c:pt>
                <c:pt idx="78">
                  <c:v>190.52558883257649</c:v>
                </c:pt>
                <c:pt idx="79">
                  <c:v>225.16660498395404</c:v>
                </c:pt>
                <c:pt idx="80">
                  <c:v>173.20508075688772</c:v>
                </c:pt>
                <c:pt idx="81">
                  <c:v>259.8076211353316</c:v>
                </c:pt>
                <c:pt idx="82">
                  <c:v>381.05117766515298</c:v>
                </c:pt>
                <c:pt idx="83">
                  <c:v>311.76914536239792</c:v>
                </c:pt>
                <c:pt idx="84">
                  <c:v>467.65371804359688</c:v>
                </c:pt>
                <c:pt idx="85">
                  <c:v>381.05117766515298</c:v>
                </c:pt>
                <c:pt idx="86">
                  <c:v>346.41016151377545</c:v>
                </c:pt>
                <c:pt idx="87">
                  <c:v>311.76914536239792</c:v>
                </c:pt>
                <c:pt idx="88">
                  <c:v>433.0127018922193</c:v>
                </c:pt>
                <c:pt idx="89">
                  <c:v>346.41016151377545</c:v>
                </c:pt>
                <c:pt idx="90">
                  <c:v>381.05117766515298</c:v>
                </c:pt>
                <c:pt idx="91">
                  <c:v>329.08965343808671</c:v>
                </c:pt>
                <c:pt idx="92">
                  <c:v>433.0127018922193</c:v>
                </c:pt>
                <c:pt idx="93">
                  <c:v>329.08965343808671</c:v>
                </c:pt>
                <c:pt idx="94">
                  <c:v>329.08965343808671</c:v>
                </c:pt>
                <c:pt idx="95">
                  <c:v>311.76914536239792</c:v>
                </c:pt>
                <c:pt idx="96">
                  <c:v>280</c:v>
                </c:pt>
                <c:pt idx="97">
                  <c:v>240</c:v>
                </c:pt>
                <c:pt idx="98">
                  <c:v>220</c:v>
                </c:pt>
                <c:pt idx="99">
                  <c:v>200</c:v>
                </c:pt>
                <c:pt idx="100">
                  <c:v>200</c:v>
                </c:pt>
                <c:pt idx="101">
                  <c:v>160</c:v>
                </c:pt>
                <c:pt idx="102">
                  <c:v>280</c:v>
                </c:pt>
                <c:pt idx="103">
                  <c:v>180</c:v>
                </c:pt>
                <c:pt idx="104">
                  <c:v>160</c:v>
                </c:pt>
                <c:pt idx="105">
                  <c:v>240</c:v>
                </c:pt>
                <c:pt idx="106">
                  <c:v>180</c:v>
                </c:pt>
                <c:pt idx="107">
                  <c:v>180</c:v>
                </c:pt>
                <c:pt idx="108">
                  <c:v>200</c:v>
                </c:pt>
                <c:pt idx="109">
                  <c:v>300</c:v>
                </c:pt>
                <c:pt idx="110">
                  <c:v>250</c:v>
                </c:pt>
                <c:pt idx="111">
                  <c:v>250</c:v>
                </c:pt>
                <c:pt idx="112">
                  <c:v>200</c:v>
                </c:pt>
                <c:pt idx="113">
                  <c:v>220</c:v>
                </c:pt>
                <c:pt idx="114">
                  <c:v>250</c:v>
                </c:pt>
                <c:pt idx="115">
                  <c:v>300</c:v>
                </c:pt>
                <c:pt idx="116">
                  <c:v>300</c:v>
                </c:pt>
                <c:pt idx="117">
                  <c:v>275</c:v>
                </c:pt>
                <c:pt idx="118">
                  <c:v>230</c:v>
                </c:pt>
                <c:pt idx="119">
                  <c:v>275</c:v>
                </c:pt>
                <c:pt idx="120">
                  <c:v>230</c:v>
                </c:pt>
                <c:pt idx="121">
                  <c:v>275</c:v>
                </c:pt>
                <c:pt idx="122">
                  <c:v>288.44410203711914</c:v>
                </c:pt>
                <c:pt idx="123">
                  <c:v>324.49961479175903</c:v>
                </c:pt>
                <c:pt idx="124">
                  <c:v>216.33307652783935</c:v>
                </c:pt>
                <c:pt idx="125">
                  <c:v>216.33307652783935</c:v>
                </c:pt>
                <c:pt idx="126">
                  <c:v>180.27756377319946</c:v>
                </c:pt>
                <c:pt idx="127">
                  <c:v>288.44410203711914</c:v>
                </c:pt>
                <c:pt idx="128">
                  <c:v>324.49961479175903</c:v>
                </c:pt>
                <c:pt idx="129">
                  <c:v>288.44410203711914</c:v>
                </c:pt>
                <c:pt idx="130">
                  <c:v>288.44410203711914</c:v>
                </c:pt>
                <c:pt idx="131">
                  <c:v>252.38858928247924</c:v>
                </c:pt>
                <c:pt idx="132">
                  <c:v>324.49961479175903</c:v>
                </c:pt>
                <c:pt idx="133">
                  <c:v>324.49961479175903</c:v>
                </c:pt>
                <c:pt idx="134">
                  <c:v>252.38858928247924</c:v>
                </c:pt>
                <c:pt idx="135">
                  <c:v>360.55512754639892</c:v>
                </c:pt>
                <c:pt idx="136">
                  <c:v>144.22205101855957</c:v>
                </c:pt>
                <c:pt idx="137">
                  <c:v>180.27756377319946</c:v>
                </c:pt>
                <c:pt idx="138">
                  <c:v>144.22205101855957</c:v>
                </c:pt>
                <c:pt idx="139">
                  <c:v>180.27756377319946</c:v>
                </c:pt>
                <c:pt idx="140">
                  <c:v>216.33307652783935</c:v>
                </c:pt>
                <c:pt idx="141">
                  <c:v>126.19429464123962</c:v>
                </c:pt>
                <c:pt idx="142">
                  <c:v>216.33307652783935</c:v>
                </c:pt>
                <c:pt idx="143">
                  <c:v>126.19429464123962</c:v>
                </c:pt>
                <c:pt idx="144">
                  <c:v>190</c:v>
                </c:pt>
                <c:pt idx="145">
                  <c:v>190</c:v>
                </c:pt>
                <c:pt idx="146">
                  <c:v>190</c:v>
                </c:pt>
                <c:pt idx="147">
                  <c:v>160</c:v>
                </c:pt>
                <c:pt idx="148">
                  <c:v>160</c:v>
                </c:pt>
                <c:pt idx="149">
                  <c:v>230</c:v>
                </c:pt>
                <c:pt idx="150">
                  <c:v>160</c:v>
                </c:pt>
                <c:pt idx="151">
                  <c:v>230</c:v>
                </c:pt>
                <c:pt idx="152">
                  <c:v>150</c:v>
                </c:pt>
                <c:pt idx="153">
                  <c:v>190</c:v>
                </c:pt>
                <c:pt idx="154">
                  <c:v>190</c:v>
                </c:pt>
                <c:pt idx="155">
                  <c:v>170</c:v>
                </c:pt>
                <c:pt idx="156">
                  <c:v>170</c:v>
                </c:pt>
                <c:pt idx="157">
                  <c:v>170</c:v>
                </c:pt>
                <c:pt idx="158">
                  <c:v>190</c:v>
                </c:pt>
                <c:pt idx="159">
                  <c:v>160</c:v>
                </c:pt>
                <c:pt idx="160">
                  <c:v>230</c:v>
                </c:pt>
                <c:pt idx="161">
                  <c:v>160</c:v>
                </c:pt>
                <c:pt idx="162">
                  <c:v>230</c:v>
                </c:pt>
                <c:pt idx="163">
                  <c:v>180</c:v>
                </c:pt>
                <c:pt idx="164">
                  <c:v>180</c:v>
                </c:pt>
                <c:pt idx="165">
                  <c:v>200</c:v>
                </c:pt>
                <c:pt idx="166">
                  <c:v>240</c:v>
                </c:pt>
                <c:pt idx="167">
                  <c:v>280</c:v>
                </c:pt>
                <c:pt idx="168">
                  <c:v>280</c:v>
                </c:pt>
                <c:pt idx="169">
                  <c:v>180</c:v>
                </c:pt>
                <c:pt idx="170">
                  <c:v>280</c:v>
                </c:pt>
                <c:pt idx="171">
                  <c:v>200</c:v>
                </c:pt>
                <c:pt idx="172">
                  <c:v>200</c:v>
                </c:pt>
                <c:pt idx="173">
                  <c:v>240</c:v>
                </c:pt>
                <c:pt idx="174">
                  <c:v>220</c:v>
                </c:pt>
                <c:pt idx="175">
                  <c:v>240</c:v>
                </c:pt>
                <c:pt idx="176">
                  <c:v>220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58-439C-BD78-518C8A90A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816096"/>
        <c:axId val="406816456"/>
      </c:scatterChart>
      <c:valAx>
        <c:axId val="406816096"/>
        <c:scaling>
          <c:logBase val="10"/>
          <c:orientation val="minMax"/>
          <c:max val="2500000"/>
          <c:min val="1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cycles to failure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456"/>
        <c:crosses val="autoZero"/>
        <c:crossBetween val="midCat"/>
      </c:valAx>
      <c:valAx>
        <c:axId val="406816456"/>
        <c:scaling>
          <c:logBase val="10"/>
          <c:orientation val="minMax"/>
          <c:max val="300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Amplitude von MIses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26</xdr:row>
      <xdr:rowOff>0</xdr:rowOff>
    </xdr:from>
    <xdr:to>
      <xdr:col>2</xdr:col>
      <xdr:colOff>917865</xdr:colOff>
      <xdr:row>41</xdr:row>
      <xdr:rowOff>72390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60A1232-E067-4380-A306-8D17032AE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B9CA7B-F9F7-4B65-BAF9-0554C4DD3A3C}" name="Tabella1" displayName="Tabella1" ref="A1:M5" totalsRowShown="0" headerRowDxfId="57" dataDxfId="56">
  <autoFilter ref="A1:M5" xr:uid="{7EB9CA7B-F9F7-4B65-BAF9-0554C4DD3A3C}"/>
  <tableColumns count="13">
    <tableColumn id="1" xr3:uid="{8E3D1E9D-FBEE-441F-8710-5037CD4F23F4}" name="Article DOI / Reference" dataDxfId="55"/>
    <tableColumn id="11" xr3:uid="{DB748F3A-E0FD-40A7-AD76-C03A14000D6D}" name="Authors" dataDxfId="54"/>
    <tableColumn id="8" xr3:uid="{5AA73CAD-51B7-41DD-94EB-F60F774B9687}" name="Article year" dataDxfId="53"/>
    <tableColumn id="2" xr3:uid="{06FA6682-59D0-409F-9A0C-E6CD1808F355}" name="Material name" dataDxfId="52"/>
    <tableColumn id="3" xr3:uid="{576FC30A-97BD-425F-92F2-9A2823474F7C}" name="Young's modulus (MPa)" dataDxfId="51"/>
    <tableColumn id="4" xr3:uid="{63CF6BC0-ABE3-408E-84A9-EDA0B421D7E2}" name="Poisson's ratio (-)" dataDxfId="50"/>
    <tableColumn id="5" xr3:uid="{BF08D467-4D62-4CAB-A94F-0030F94E8A2E}" name="Tensile strength (MPa)" dataDxfId="49"/>
    <tableColumn id="6" xr3:uid="{CDCD2563-ECD7-4843-B859-5F7762FE830B}" name="Yield strength (MPa)" dataDxfId="48"/>
    <tableColumn id="7" xr3:uid="{7991DD6F-6040-4C6F-AEB4-2211698F999C}" name="Tensile fatigue limit (MPa)" dataDxfId="47"/>
    <tableColumn id="9" xr3:uid="{C339353B-B530-41A6-97D0-BD9E3EFB3E1B}" name="Torsional fatigue limit (MPa)" dataDxfId="46">
      <calculatedColumnFormula>845/2</calculatedColumnFormula>
    </tableColumn>
    <tableColumn id="13" xr3:uid="{61EEDB63-8EB1-4E68-8C73-6F3D35C9EEF7}" name="Number of Cycles (cycles)" dataDxfId="45"/>
    <tableColumn id="12" xr3:uid="{5EB3D6EA-60A8-471D-AB0E-73C0B9E22DD2}" name="Stress ratio R" dataDxfId="44"/>
    <tableColumn id="10" xr3:uid="{EC242BA9-DE01-42A2-8C6C-75459CDE529E}" name="K" dataDxfId="43">
      <calculatedColumnFormula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243907-AA5D-4F4D-8699-490D77B21127}" name="Tabella2" displayName="Tabella2" ref="A1:AQ178" totalsRowShown="0" headerRowDxfId="59" dataDxfId="58">
  <autoFilter ref="A1:AQ178" xr:uid="{86243907-AA5D-4F4D-8699-490D77B21127}"/>
  <tableColumns count="43">
    <tableColumn id="31" xr3:uid="{05937513-BC98-44D1-A5DC-F19589B15DDF}" name="Authors" dataDxfId="42"/>
    <tableColumn id="32" xr3:uid="{DCBCBA66-A67E-429B-A752-67A81643133E}" name="Article year" dataDxfId="41"/>
    <tableColumn id="1" xr3:uid="{D75788C8-C867-4D50-A818-DADFA5044830}" name="Article DOI / Reference" dataDxfId="40"/>
    <tableColumn id="30" xr3:uid="{FA5CACDD-A594-4207-9BA7-C7F165153D5B}" name="Specimen name" dataDxfId="13"/>
    <tableColumn id="2" xr3:uid="{19DD8629-B305-4804-A689-1057FBADF71C}" name="Number of cycles to failure" dataDxfId="11"/>
    <tableColumn id="4" xr3:uid="{27575528-FAA3-4B4C-8860-7A7CFCB79DBE}" name="Run out (Yes/No)" dataDxfId="12"/>
    <tableColumn id="3" xr3:uid="{0CF78E1F-0EC3-474A-B3FD-519C01702157}" name="Failure type (complete rupture/stiffness decrease)" dataDxfId="39"/>
    <tableColumn id="26" xr3:uid="{05D9D755-9B11-40C9-8DCB-B9E39E20FA04}" name="Geometry picture" dataDxfId="9"/>
    <tableColumn id="33" xr3:uid="{936299CD-E030-4427-B1AB-D5CB204A04BE}" name="Geometry type (flat/cylindrical/hollow cylinder)" dataDxfId="38"/>
    <tableColumn id="34" xr3:uid="{09266E8F-9B14-40D4-88AB-80CC92F93BA2}" name="Notched" dataDxfId="14"/>
    <tableColumn id="39" xr3:uid="{108E1228-D670-44CE-87DA-2A1B0D22E417}" name="A (mm)" dataDxfId="37"/>
    <tableColumn id="38" xr3:uid="{D6414C63-3F42-4BCA-BB3F-506FCA7B7866}" name="B (mm)" dataDxfId="36"/>
    <tableColumn id="37" xr3:uid="{8138AA3A-CE2D-441D-907D-E35AD875EC90}" name="Hole diameter (mm)" dataDxfId="35"/>
    <tableColumn id="27" xr3:uid="{D5A8CCC0-542A-450B-8F88-B47472F29E40}" name="Diameter (mm)" dataDxfId="10"/>
    <tableColumn id="28" xr3:uid="{36725B61-E4CB-4B7E-AF40-7F3BC6BE6CB3}" name="Area (mm^2)" dataDxfId="34">
      <calculatedColumnFormula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calculatedColumnFormula>
    </tableColumn>
    <tableColumn id="45" xr3:uid="{127345D3-F57D-4266-B1E4-4F059E8B31BE}" name="flessional momento of inertia (mm^4)" dataDxfId="33">
      <calculatedColumnFormula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calculatedColumnFormula>
    </tableColumn>
    <tableColumn id="29" xr3:uid="{ADA51E38-565E-4B07-AA7F-4531D7FB559A}" name="torsional momento of inertia (mm^4)" dataDxfId="32">
      <calculatedColumnFormula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calculatedColumnFormula>
    </tableColumn>
    <tableColumn id="21" xr3:uid="{C8363B8B-B0C3-4670-AE9B-A3DF1F1D9748}" name="Phase RADIAL load (°)" dataDxfId="8"/>
    <tableColumn id="40" xr3:uid="{FF54B50E-D6C4-4EF8-BED6-8558889E32B3}" name="Phase AXIAL load (°)" dataDxfId="31"/>
    <tableColumn id="22" xr3:uid="{9A8358C3-645B-4F7B-A800-BF2013564F31}" name="Phase TORSIONAL load (°)" dataDxfId="7"/>
    <tableColumn id="43" xr3:uid="{32E76D00-2B52-4D17-881F-6CB825346CD9}" name="Freq RADIAL load [Hz]" dataDxfId="30"/>
    <tableColumn id="42" xr3:uid="{A0DFAB77-F821-4A7F-A0A1-75075998D45D}" name="Freq AXIAL load[Hz]" dataDxfId="29"/>
    <tableColumn id="41" xr3:uid="{DEC77E42-D985-463A-B500-A8E16CF67856}" name="Freq TORSIONAL load [Hz]" dataDxfId="28"/>
    <tableColumn id="23" xr3:uid="{9724DA05-688A-43E5-9AAC-5035994CD3C7}" name="Load ratio (RADIAL)" dataDxfId="27">
      <calculatedColumnFormula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calculatedColumnFormula>
    </tableColumn>
    <tableColumn id="24" xr3:uid="{5794A9BC-D825-4DEA-82F2-22B1FB825367}" name="Load ratio (AXIAL)" dataDxfId="26">
      <calculatedColumnFormula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calculatedColumnFormula>
    </tableColumn>
    <tableColumn id="25" xr3:uid="{A209A6A1-8B94-4DAE-9AD9-68A32BB08635}" name="Load ratio (TORSIONAL)" dataDxfId="25">
      <calculatedColumnFormula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calculatedColumnFormula>
    </tableColumn>
    <tableColumn id="15" xr3:uid="{79C3F669-131B-420A-8FF5-9D61125EAD7C}" name="Mean RADIAL stress  (MPa)" dataDxfId="3"/>
    <tableColumn id="6" xr3:uid="{CFA41242-20EF-4D5D-9025-FC3F232CBE04}" name="Amplitute RADIAL stress  (MPa)" dataDxfId="24"/>
    <tableColumn id="16" xr3:uid="{F37D511D-F078-4171-84FD-3AE13D4078DC}" name="Mean AXIAL stress  (MPa)" dataDxfId="6"/>
    <tableColumn id="8" xr3:uid="{933ACC34-FA80-47BE-87CF-5D7D742564A2}" name="Amplitute AXIAL stress  (MPa)" dataDxfId="23"/>
    <tableColumn id="44" xr3:uid="{460C3648-EA91-4BC9-8C0D-58B3E19E1ED3}" name="derived from (AXIAL/BENDING) load" dataDxfId="22"/>
    <tableColumn id="19" xr3:uid="{06584471-CEAD-405D-A12E-5A2E79E8CA33}" name="Mean SHEAR stress  (MPa)" dataDxfId="5"/>
    <tableColumn id="10" xr3:uid="{2FCDB52E-3BD8-4D04-8689-303C003D64AE}" name="Amplitute SHEAR stress  (MPa)" dataDxfId="4"/>
    <tableColumn id="36" xr3:uid="{EF2440ED-01F8-493F-BD7F-BDBCFC67F43F}" name="Mean internal PRESSURE  (MPa)" dataDxfId="2">
      <calculatedColumnFormula>IF(ISNUMBER(Tabella2[[#This Row],[Mean RADIAL stress  (MPa)]]), Tabella2[[#This Row],[Mean RADIAL stress  (MPa)]],"")</calculatedColumnFormula>
    </tableColumn>
    <tableColumn id="12" xr3:uid="{A3A206A7-7207-472E-A9D8-013B3CFCAFCB}" name="Amplitute internal PRESSURE (MPa)" dataDxfId="21">
      <calculatedColumnFormula>IF(ISNUMBER(Tabella2[[#This Row],[Amplitute RADIAL stress  (MPa)]]), Tabella2[[#This Row],[Amplitute RADIAL stress  (MPa)]],"")</calculatedColumnFormula>
    </tableColumn>
    <tableColumn id="47" xr3:uid="{2D0E8715-4DDF-44E6-8D9C-9880A8CC9001}" name="Mean AXIAL load (N)" dataDxfId="20">
      <calculatedColumnFormula>IF(ISNUMBER(Tabella2[[#This Row],[Mean AXIAL stress  (MPa)]]), IF(Tabella2[[#This Row],[derived from (AXIAL/BENDING) load]]="AXIAL",Tabella2[[#This Row],[Mean AXIAL stress  (MPa)]]*Tabella2[[#This Row],[Area (mm^2)]],"Null"), "")</calculatedColumnFormula>
    </tableColumn>
    <tableColumn id="46" xr3:uid="{74D06968-9F0E-4F66-B0FC-A6FDF325A23C}" name="Amplitute AXIAL load (N)" dataDxfId="19">
      <calculatedColumnFormula>IF(ISNUMBER(Tabella2[[#This Row],[Amplitute AXIAL stress  (MPa)]]),    IF(Tabella2[[#This Row],[derived from (AXIAL/BENDING) load]]="AXIAL",Tabella2[[#This Row],[Amplitute AXIAL stress  (MPa)]]*Tabella2[[#This Row],[Area (mm^2)]],"Null"), "")</calculatedColumnFormula>
    </tableColumn>
    <tableColumn id="14" xr3:uid="{B1691BE1-3E2F-4716-9F3A-1870C13BFA59}" name="Mean BENDING moment (Nmm)" dataDxfId="18">
      <calculatedColumnFormula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calculatedColumnFormula>
    </tableColumn>
    <tableColumn id="48" xr3:uid="{879D775B-56C1-4C8B-B0F2-AB881BBC76CB}" name="Amplitude BENDING moment (Nmm)" dataDxfId="17">
      <calculatedColumnFormula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calculatedColumnFormula>
    </tableColumn>
    <tableColumn id="17" xr3:uid="{B9FCDDAE-82CF-4FB8-907C-A1558D43EF84}" name="Mean TORQUE (Nmm)" dataDxfId="16">
      <calculatedColumnFormula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calculatedColumnFormula>
    </tableColumn>
    <tableColumn id="18" xr3:uid="{C66D42EC-66DD-4028-A153-9A90E5649F9D}" name="Amplitude TORQUE (Nmm)" dataDxfId="15">
      <calculatedColumnFormula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calculatedColumnFormula>
    </tableColumn>
    <tableColumn id="20" xr3:uid="{D27EA8AC-AA88-4708-8985-FCB1FE48E26F}" name="Lambda (tauA/sigmaA)" dataDxfId="1">
      <calculatedColumnFormula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calculatedColumnFormula>
    </tableColumn>
    <tableColumn id="13" xr3:uid="{202EB95B-F464-428F-A067-490417EBEC52}" name="Amplitude von Mises (MPa)" dataDxfId="0">
      <calculatedColumnFormula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zoomScaleNormal="100" workbookViewId="0">
      <selection activeCell="B12" sqref="B12"/>
    </sheetView>
  </sheetViews>
  <sheetFormatPr defaultRowHeight="15" x14ac:dyDescent="0.25"/>
  <cols>
    <col min="1" max="1" width="29.140625" bestFit="1" customWidth="1"/>
    <col min="2" max="2" width="68.42578125" customWidth="1"/>
    <col min="3" max="3" width="42.28515625" bestFit="1" customWidth="1"/>
    <col min="4" max="4" width="31.7109375" customWidth="1"/>
    <col min="5" max="5" width="41.85546875" customWidth="1"/>
    <col min="6" max="6" width="31.140625" customWidth="1"/>
    <col min="7" max="7" width="35" customWidth="1"/>
    <col min="8" max="8" width="33.140625" customWidth="1"/>
    <col min="9" max="9" width="38" customWidth="1"/>
    <col min="10" max="10" width="40.85546875" customWidth="1"/>
    <col min="11" max="11" width="41.140625" customWidth="1"/>
    <col min="12" max="12" width="30.7109375" customWidth="1"/>
    <col min="13" max="13" width="9.5703125" bestFit="1" customWidth="1"/>
  </cols>
  <sheetData>
    <row r="1" spans="1:13" ht="20.100000000000001" customHeight="1" x14ac:dyDescent="0.25">
      <c r="A1" s="2" t="s">
        <v>61</v>
      </c>
      <c r="B1" s="2" t="s">
        <v>26</v>
      </c>
      <c r="C1" s="2" t="s">
        <v>25</v>
      </c>
      <c r="D1" s="2" t="s">
        <v>0</v>
      </c>
      <c r="E1" s="2" t="s">
        <v>22</v>
      </c>
      <c r="F1" s="2" t="s">
        <v>1</v>
      </c>
      <c r="G1" s="2" t="s">
        <v>2</v>
      </c>
      <c r="H1" s="2" t="s">
        <v>3</v>
      </c>
      <c r="I1" s="2" t="s">
        <v>39</v>
      </c>
      <c r="J1" s="2" t="s">
        <v>40</v>
      </c>
      <c r="K1" s="2" t="s">
        <v>37</v>
      </c>
      <c r="L1" s="2" t="s">
        <v>38</v>
      </c>
      <c r="M1" s="1" t="s">
        <v>4</v>
      </c>
    </row>
    <row r="2" spans="1:13" ht="20.100000000000001" customHeight="1" x14ac:dyDescent="0.25">
      <c r="A2" s="1" t="s">
        <v>64</v>
      </c>
      <c r="B2" s="1" t="s">
        <v>65</v>
      </c>
      <c r="C2" s="1">
        <v>2023</v>
      </c>
      <c r="D2" s="1" t="s">
        <v>66</v>
      </c>
      <c r="E2" s="1">
        <v>174000</v>
      </c>
      <c r="F2" s="1">
        <v>0.27</v>
      </c>
      <c r="G2" s="1">
        <v>485</v>
      </c>
      <c r="H2" s="1">
        <v>363</v>
      </c>
      <c r="I2" s="1">
        <v>156</v>
      </c>
      <c r="J2" s="1">
        <v>175</v>
      </c>
      <c r="K2" s="10">
        <v>2000000</v>
      </c>
      <c r="L2" s="1">
        <v>-1</v>
      </c>
      <c r="M2" s="14">
        <f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f>
        <v>0.89142857142857146</v>
      </c>
    </row>
    <row r="3" spans="1:13" ht="20.100000000000001" customHeight="1" x14ac:dyDescent="0.25">
      <c r="A3" s="13"/>
      <c r="B3" s="1"/>
      <c r="C3" s="1"/>
      <c r="D3" s="1"/>
      <c r="E3" s="1"/>
      <c r="F3" s="1"/>
      <c r="G3" s="1"/>
      <c r="H3" s="1"/>
      <c r="I3" s="1"/>
      <c r="J3" s="1"/>
      <c r="K3" s="10"/>
      <c r="L3" s="1"/>
      <c r="M3" s="14"/>
    </row>
    <row r="4" spans="1:13" ht="20.100000000000001" customHeight="1" x14ac:dyDescent="0.25">
      <c r="A4" s="13"/>
      <c r="B4" s="1"/>
      <c r="C4" s="1"/>
      <c r="D4" s="1"/>
      <c r="E4" s="1"/>
      <c r="F4" s="1"/>
      <c r="G4" s="1"/>
      <c r="H4" s="1"/>
      <c r="I4" s="1"/>
      <c r="J4" s="1"/>
      <c r="K4" s="10"/>
      <c r="L4" s="1"/>
      <c r="M4" s="14" t="str">
        <f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f>
        <v>Null</v>
      </c>
    </row>
    <row r="5" spans="1:13" ht="20.100000000000001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0"/>
      <c r="L5" s="1"/>
      <c r="M5" s="14"/>
    </row>
    <row r="6" spans="1:13" ht="20.100000000000001" customHeight="1" x14ac:dyDescent="0.25">
      <c r="A6" s="44" t="s">
        <v>24</v>
      </c>
      <c r="B6" s="45"/>
      <c r="C6" s="45"/>
      <c r="D6" s="46"/>
      <c r="E6" s="3">
        <f>IF(COUNT(Tabella1[Young''s modulus (MPa)])=0, "Null", AVERAGE(Tabella1[Young''s modulus (MPa)]))</f>
        <v>174000</v>
      </c>
      <c r="F6" s="3">
        <f>IF(COUNT(Tabella1[Poisson''s ratio (-)])=0, "Null", AVERAGE(Tabella1[Poisson''s ratio (-)]))</f>
        <v>0.27</v>
      </c>
      <c r="G6" s="3">
        <f>IF(COUNT(Tabella1[Tensile strength (MPa)])=0, "Null", AVERAGE(Tabella1[Tensile strength (MPa)]))</f>
        <v>485</v>
      </c>
      <c r="H6" s="3">
        <f>IF(COUNT(Tabella1[Yield strength (MPa)])=0, "Null", AVERAGE(Tabella1[Yield strength (MPa)]))</f>
        <v>363</v>
      </c>
      <c r="I6" s="3">
        <f>IF(COUNT(Tabella1[Tensile fatigue limit (MPa)])=0, "Null", AVERAGE(Tabella1[Tensile fatigue limit (MPa)]))</f>
        <v>156</v>
      </c>
      <c r="J6" s="3">
        <f>IF(COUNT(Tabella1[Torsional fatigue limit (MPa)])=0, "Null", AVERAGE(Tabella1[Torsional fatigue limit (MPa)]))</f>
        <v>175</v>
      </c>
      <c r="K6" s="11"/>
      <c r="L6" s="9"/>
      <c r="M6" s="15">
        <f>IF(COUNT(Tabella1[K])=0, "Null", AVERAGE(Tabella1[K]))</f>
        <v>0.89142857142857146</v>
      </c>
    </row>
    <row r="7" spans="1:13" ht="20.100000000000001" customHeight="1" thickBot="1" x14ac:dyDescent="0.3">
      <c r="A7" s="47" t="s">
        <v>23</v>
      </c>
      <c r="B7" s="48"/>
      <c r="C7" s="48"/>
      <c r="D7" s="49"/>
      <c r="E7" s="4">
        <f>IF(COUNT(Tabella1[Young''s modulus (MPa)])=0, "Null", _xlfn.STDEV.P(Tabella1[Young''s modulus (MPa)]))</f>
        <v>0</v>
      </c>
      <c r="F7" s="4">
        <f>IF(COUNT(Tabella1[Poisson''s ratio (-)])=0, "Null", _xlfn.STDEV.P(Tabella1[Poisson''s ratio (-)]))</f>
        <v>0</v>
      </c>
      <c r="G7" s="4">
        <f>IF(COUNT(Tabella1[Tensile strength (MPa)])=0, "Null", _xlfn.STDEV.P(Tabella1[Tensile strength (MPa)]))</f>
        <v>0</v>
      </c>
      <c r="H7" s="4">
        <f>IF(COUNT(Tabella1[Yield strength (MPa)])=0, "Null", _xlfn.STDEV.P(Tabella1[Yield strength (MPa)]))</f>
        <v>0</v>
      </c>
      <c r="I7" s="4">
        <f>IF(COUNT(Tabella1[Tensile fatigue limit (MPa)])=0, "Null", _xlfn.STDEV.P(Tabella1[Tensile fatigue limit (MPa)]))</f>
        <v>0</v>
      </c>
      <c r="J7" s="4">
        <f>IF(COUNT(Tabella1[Torsional fatigue limit (MPa)])=0, "Null", _xlfn.STDEV.P(Tabella1[Torsional fatigue limit (MPa)]))</f>
        <v>0</v>
      </c>
      <c r="K7" s="12"/>
      <c r="L7" s="4"/>
      <c r="M7" s="16">
        <f>IF(COUNT(Tabella1[K])=0, "Null", _xlfn.STDEV.P(Tabella1[K]))</f>
        <v>0</v>
      </c>
    </row>
    <row r="8" spans="1:13" ht="20.100000000000001" customHeight="1" x14ac:dyDescent="0.25"/>
    <row r="9" spans="1:13" ht="20.100000000000001" customHeight="1" x14ac:dyDescent="0.25"/>
    <row r="10" spans="1:13" ht="20.100000000000001" customHeight="1" x14ac:dyDescent="0.25"/>
    <row r="11" spans="1:13" ht="20.100000000000001" customHeight="1" x14ac:dyDescent="0.25"/>
    <row r="12" spans="1:13" ht="20.100000000000001" customHeight="1" thickBot="1" x14ac:dyDescent="0.3"/>
    <row r="13" spans="1:13" ht="20.100000000000001" customHeight="1" x14ac:dyDescent="0.25">
      <c r="A13" s="50" t="s">
        <v>29</v>
      </c>
      <c r="B13" s="5" t="s">
        <v>30</v>
      </c>
    </row>
    <row r="14" spans="1:13" ht="20.100000000000001" customHeight="1" thickBot="1" x14ac:dyDescent="0.3">
      <c r="A14" s="51"/>
      <c r="B14" s="6" t="s">
        <v>31</v>
      </c>
    </row>
    <row r="27" spans="4:4" x14ac:dyDescent="0.25">
      <c r="D27" s="7" t="s">
        <v>34</v>
      </c>
    </row>
    <row r="28" spans="4:4" x14ac:dyDescent="0.25">
      <c r="D28" s="8">
        <f>COUNTA(Tabella2[Authors])</f>
        <v>177</v>
      </c>
    </row>
  </sheetData>
  <mergeCells count="3">
    <mergeCell ref="A6:D6"/>
    <mergeCell ref="A7:D7"/>
    <mergeCell ref="A13:A14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26AA-516E-43B0-A4A2-503832E5DF1E}">
  <dimension ref="A1:AQ192"/>
  <sheetViews>
    <sheetView zoomScale="70" zoomScaleNormal="70" workbookViewId="0">
      <pane ySplit="1" topLeftCell="A155" activePane="bottomLeft" state="frozen"/>
      <selection activeCell="B1" sqref="B1"/>
      <selection pane="bottomLeft" activeCell="AR11" sqref="AR11"/>
    </sheetView>
  </sheetViews>
  <sheetFormatPr defaultColWidth="52.7109375" defaultRowHeight="15" x14ac:dyDescent="0.25"/>
  <cols>
    <col min="1" max="1" width="32.42578125" style="1" customWidth="1"/>
    <col min="2" max="2" width="25.5703125" style="1" customWidth="1"/>
    <col min="3" max="3" width="40.42578125" style="1" customWidth="1"/>
    <col min="4" max="4" width="54" style="1" customWidth="1"/>
    <col min="5" max="5" width="32.85546875" style="14" customWidth="1"/>
    <col min="6" max="6" width="24.5703125" style="1" customWidth="1"/>
    <col min="7" max="7" width="49.140625" style="53" customWidth="1"/>
    <col min="8" max="8" width="28.7109375" style="62" customWidth="1"/>
    <col min="9" max="9" width="37.85546875" style="1" customWidth="1"/>
    <col min="10" max="10" width="31.28515625" style="1" customWidth="1"/>
    <col min="11" max="11" width="26.5703125" style="1" customWidth="1"/>
    <col min="12" max="12" width="28" style="1" customWidth="1"/>
    <col min="13" max="13" width="35" style="1" customWidth="1"/>
    <col min="14" max="14" width="31.85546875" style="1" customWidth="1"/>
    <col min="15" max="15" width="35" style="1" customWidth="1"/>
    <col min="16" max="16" width="49.42578125" style="1" customWidth="1"/>
    <col min="17" max="17" width="53.140625" style="53" customWidth="1"/>
    <col min="18" max="18" width="42.140625" style="62" customWidth="1"/>
    <col min="19" max="19" width="33.5703125" style="1" customWidth="1"/>
    <col min="20" max="20" width="38.42578125" style="1" customWidth="1"/>
    <col min="21" max="21" width="37.140625" style="19" customWidth="1"/>
    <col min="22" max="22" width="40.7109375" style="23" customWidth="1"/>
    <col min="23" max="23" width="40" style="23" customWidth="1"/>
    <col min="24" max="24" width="35.140625" style="1" customWidth="1"/>
    <col min="25" max="25" width="34.28515625" style="1" customWidth="1"/>
    <col min="26" max="26" width="41.42578125" style="1" customWidth="1"/>
    <col min="27" max="27" width="28.7109375" style="40" customWidth="1"/>
    <col min="28" max="28" width="29.5703125" style="20" customWidth="1"/>
    <col min="29" max="29" width="27.42578125" style="20" customWidth="1"/>
    <col min="30" max="30" width="30.140625" style="20" customWidth="1"/>
    <col min="31" max="31" width="30.85546875" style="23" customWidth="1"/>
    <col min="32" max="32" width="25" style="20" customWidth="1"/>
    <col min="33" max="33" width="30.28515625" style="53" customWidth="1"/>
    <col min="34" max="34" width="28.5703125" style="40" customWidth="1"/>
    <col min="35" max="35" width="29.28515625" style="20" customWidth="1"/>
    <col min="36" max="36" width="20.140625" style="20" customWidth="1"/>
    <col min="37" max="37" width="23.140625" style="20" customWidth="1"/>
    <col min="38" max="38" width="23.28515625" style="20" customWidth="1"/>
    <col min="39" max="39" width="25.85546875" style="20" customWidth="1"/>
    <col min="40" max="40" width="23.85546875" style="20" customWidth="1"/>
    <col min="41" max="41" width="24" style="56" customWidth="1"/>
    <col min="42" max="42" width="34" style="62" customWidth="1"/>
    <col min="43" max="43" width="52.7109375" style="32"/>
    <col min="44" max="16384" width="52.7109375" style="1"/>
  </cols>
  <sheetData>
    <row r="1" spans="1:43" s="18" customFormat="1" ht="44.25" customHeight="1" x14ac:dyDescent="0.25">
      <c r="A1" s="17" t="s">
        <v>26</v>
      </c>
      <c r="B1" s="17" t="s">
        <v>25</v>
      </c>
      <c r="C1" s="17" t="s">
        <v>61</v>
      </c>
      <c r="D1" s="17" t="s">
        <v>19</v>
      </c>
      <c r="E1" s="35" t="s">
        <v>5</v>
      </c>
      <c r="F1" s="17" t="s">
        <v>6</v>
      </c>
      <c r="G1" s="60" t="s">
        <v>18</v>
      </c>
      <c r="H1" s="61" t="s">
        <v>16</v>
      </c>
      <c r="I1" s="22" t="s">
        <v>44</v>
      </c>
      <c r="J1" s="22" t="s">
        <v>28</v>
      </c>
      <c r="K1" s="29" t="s">
        <v>41</v>
      </c>
      <c r="L1" s="29" t="s">
        <v>42</v>
      </c>
      <c r="M1" s="29" t="s">
        <v>43</v>
      </c>
      <c r="N1" s="22" t="s">
        <v>17</v>
      </c>
      <c r="O1" s="30" t="s">
        <v>33</v>
      </c>
      <c r="P1" s="30" t="s">
        <v>58</v>
      </c>
      <c r="Q1" s="64" t="s">
        <v>57</v>
      </c>
      <c r="R1" s="65" t="s">
        <v>45</v>
      </c>
      <c r="S1" s="21" t="s">
        <v>46</v>
      </c>
      <c r="T1" s="21" t="s">
        <v>47</v>
      </c>
      <c r="U1" s="41" t="s">
        <v>48</v>
      </c>
      <c r="V1" s="31" t="s">
        <v>49</v>
      </c>
      <c r="W1" s="31" t="s">
        <v>50</v>
      </c>
      <c r="X1" s="24" t="s">
        <v>14</v>
      </c>
      <c r="Y1" s="24" t="s">
        <v>51</v>
      </c>
      <c r="Z1" s="24" t="s">
        <v>15</v>
      </c>
      <c r="AA1" s="43" t="s">
        <v>7</v>
      </c>
      <c r="AB1" s="34" t="s">
        <v>8</v>
      </c>
      <c r="AC1" s="34" t="s">
        <v>52</v>
      </c>
      <c r="AD1" s="34" t="s">
        <v>53</v>
      </c>
      <c r="AE1" s="37" t="s">
        <v>56</v>
      </c>
      <c r="AF1" s="36" t="s">
        <v>9</v>
      </c>
      <c r="AG1" s="66" t="s">
        <v>10</v>
      </c>
      <c r="AH1" s="67" t="s">
        <v>54</v>
      </c>
      <c r="AI1" s="39" t="s">
        <v>55</v>
      </c>
      <c r="AJ1" s="38" t="s">
        <v>59</v>
      </c>
      <c r="AK1" s="39" t="s">
        <v>63</v>
      </c>
      <c r="AL1" s="38" t="s">
        <v>35</v>
      </c>
      <c r="AM1" s="39" t="s">
        <v>36</v>
      </c>
      <c r="AN1" s="38" t="s">
        <v>12</v>
      </c>
      <c r="AO1" s="68" t="s">
        <v>11</v>
      </c>
      <c r="AP1" s="61" t="s">
        <v>13</v>
      </c>
      <c r="AQ1" s="70" t="s">
        <v>62</v>
      </c>
    </row>
    <row r="2" spans="1:43" s="53" customFormat="1" ht="20.100000000000001" customHeight="1" x14ac:dyDescent="0.25">
      <c r="A2" s="53" t="s">
        <v>65</v>
      </c>
      <c r="B2" s="53">
        <v>2023</v>
      </c>
      <c r="C2" s="53" t="s">
        <v>64</v>
      </c>
      <c r="D2" s="53" t="s">
        <v>67</v>
      </c>
      <c r="E2" s="53">
        <v>281968</v>
      </c>
      <c r="F2" s="53" t="s">
        <v>20</v>
      </c>
      <c r="G2" s="53" t="s">
        <v>68</v>
      </c>
      <c r="H2" s="62" t="e" vm="1">
        <v>#VALUE!</v>
      </c>
      <c r="I2" s="53" t="s">
        <v>27</v>
      </c>
      <c r="J2" s="1" t="s">
        <v>32</v>
      </c>
      <c r="K2" s="53" t="s">
        <v>21</v>
      </c>
      <c r="L2" s="53" t="s">
        <v>21</v>
      </c>
      <c r="M2" s="53">
        <v>0</v>
      </c>
      <c r="N2" s="1">
        <v>14</v>
      </c>
      <c r="O2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2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2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2" s="62">
        <v>0</v>
      </c>
      <c r="S2" s="53">
        <v>0</v>
      </c>
      <c r="T2" s="1">
        <v>0</v>
      </c>
      <c r="U2" s="54">
        <v>150</v>
      </c>
      <c r="V2" s="55">
        <v>150</v>
      </c>
      <c r="W2" s="55">
        <v>150</v>
      </c>
      <c r="X2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0.5</v>
      </c>
      <c r="Z2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" s="40">
        <v>0</v>
      </c>
      <c r="AB2" s="56">
        <v>0</v>
      </c>
      <c r="AC2" s="56">
        <v>210</v>
      </c>
      <c r="AD2" s="56">
        <v>70</v>
      </c>
      <c r="AE2" s="55" t="s">
        <v>60</v>
      </c>
      <c r="AF2" s="56">
        <v>0</v>
      </c>
      <c r="AG2" s="56">
        <v>0</v>
      </c>
      <c r="AH2" s="40">
        <f>IF(ISNUMBER(Tabella2[[#This Row],[Mean RADIAL stress  (MPa)]]), Tabella2[[#This Row],[Mean RADIAL stress  (MPa)]],"")</f>
        <v>0</v>
      </c>
      <c r="AI2" s="56">
        <f>IF(ISNUMBER(Tabella2[[#This Row],[Amplitute RADIAL stress  (MPa)]]), Tabella2[[#This Row],[Amplitute RADIAL stress  (MPa)]],"")</f>
        <v>0</v>
      </c>
      <c r="AJ2" s="56">
        <f>IF(ISNUMBER(Tabella2[[#This Row],[Mean AXIAL stress  (MPa)]]), IF(Tabella2[[#This Row],[derived from (AXIAL/BENDING) load]]="AXIAL",Tabella2[[#This Row],[Mean AXIAL stress  (MPa)]]*Tabella2[[#This Row],[Area (mm^2)]],"Null"), "")</f>
        <v>32326.988405438969</v>
      </c>
      <c r="AK2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10775.66280181299</v>
      </c>
      <c r="AL2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2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70</v>
      </c>
    </row>
    <row r="3" spans="1:43" s="53" customFormat="1" ht="20.100000000000001" customHeight="1" x14ac:dyDescent="0.25">
      <c r="A3" s="53" t="s">
        <v>65</v>
      </c>
      <c r="B3" s="53">
        <v>2023</v>
      </c>
      <c r="C3" s="53" t="s">
        <v>64</v>
      </c>
      <c r="D3" s="53" t="s">
        <v>69</v>
      </c>
      <c r="E3" s="53">
        <v>2459220</v>
      </c>
      <c r="F3" s="53" t="s">
        <v>20</v>
      </c>
      <c r="G3" s="53" t="s">
        <v>68</v>
      </c>
      <c r="H3" s="62" t="e" vm="2">
        <v>#VALUE!</v>
      </c>
      <c r="I3" s="53" t="s">
        <v>27</v>
      </c>
      <c r="J3" s="1" t="s">
        <v>32</v>
      </c>
      <c r="K3" s="53" t="s">
        <v>21</v>
      </c>
      <c r="L3" s="53" t="s">
        <v>21</v>
      </c>
      <c r="M3" s="53">
        <v>0</v>
      </c>
      <c r="N3" s="1">
        <v>14</v>
      </c>
      <c r="O3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3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3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3" s="62">
        <v>0</v>
      </c>
      <c r="S3" s="53">
        <v>0</v>
      </c>
      <c r="T3" s="1">
        <v>0</v>
      </c>
      <c r="U3" s="54">
        <v>150</v>
      </c>
      <c r="V3" s="55">
        <v>150</v>
      </c>
      <c r="W3" s="55">
        <v>150</v>
      </c>
      <c r="X3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0.5</v>
      </c>
      <c r="Z3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" s="40">
        <v>0</v>
      </c>
      <c r="AB3" s="56">
        <v>0</v>
      </c>
      <c r="AC3" s="56">
        <v>150</v>
      </c>
      <c r="AD3" s="56">
        <v>50</v>
      </c>
      <c r="AE3" s="55" t="s">
        <v>60</v>
      </c>
      <c r="AF3" s="56">
        <v>0</v>
      </c>
      <c r="AG3" s="56">
        <v>0</v>
      </c>
      <c r="AH3" s="40">
        <f>IF(ISNUMBER(Tabella2[[#This Row],[Mean RADIAL stress  (MPa)]]), Tabella2[[#This Row],[Mean RADIAL stress  (MPa)]],"")</f>
        <v>0</v>
      </c>
      <c r="AI3" s="56">
        <f>IF(ISNUMBER(Tabella2[[#This Row],[Amplitute RADIAL stress  (MPa)]]), Tabella2[[#This Row],[Amplitute RADIAL stress  (MPa)]],"")</f>
        <v>0</v>
      </c>
      <c r="AJ3" s="56">
        <f>IF(ISNUMBER(Tabella2[[#This Row],[Mean AXIAL stress  (MPa)]]), IF(Tabella2[[#This Row],[derived from (AXIAL/BENDING) load]]="AXIAL",Tabella2[[#This Row],[Mean AXIAL stress  (MPa)]]*Tabella2[[#This Row],[Area (mm^2)]],"Null"), "")</f>
        <v>23090.706003884978</v>
      </c>
      <c r="AK3" s="56">
        <f>IF(ISNUMBER(Tabella2[[#This Row],[Amplitute AXIAL stress  (MPa)]]),    IF(Tabella2[[#This Row],[derived from (AXIAL/BENDING) load]]="AXIAL",Tabella2[[#This Row],[Amplitute AXIAL stress  (MPa)]]*Tabella2[[#This Row],[Area (mm^2)]],"Null"), "")</f>
        <v>7696.9020012949923</v>
      </c>
      <c r="AL3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3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50</v>
      </c>
    </row>
    <row r="4" spans="1:43" s="53" customFormat="1" ht="20.100000000000001" customHeight="1" x14ac:dyDescent="0.25">
      <c r="A4" s="53" t="s">
        <v>65</v>
      </c>
      <c r="B4" s="53">
        <v>2023</v>
      </c>
      <c r="C4" s="53" t="s">
        <v>64</v>
      </c>
      <c r="D4" s="53" t="s">
        <v>70</v>
      </c>
      <c r="E4" s="53">
        <v>1946112</v>
      </c>
      <c r="F4" s="53" t="s">
        <v>20</v>
      </c>
      <c r="G4" s="53" t="s">
        <v>68</v>
      </c>
      <c r="H4" s="62" t="e" vm="2">
        <v>#VALUE!</v>
      </c>
      <c r="I4" s="53" t="s">
        <v>27</v>
      </c>
      <c r="J4" s="1" t="s">
        <v>32</v>
      </c>
      <c r="K4" s="53" t="s">
        <v>21</v>
      </c>
      <c r="L4" s="53" t="s">
        <v>21</v>
      </c>
      <c r="M4" s="53">
        <v>0</v>
      </c>
      <c r="N4" s="1">
        <v>14</v>
      </c>
      <c r="O4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4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4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4" s="62">
        <v>0</v>
      </c>
      <c r="S4" s="53">
        <v>0</v>
      </c>
      <c r="T4" s="1">
        <v>0</v>
      </c>
      <c r="U4" s="54">
        <v>150</v>
      </c>
      <c r="V4" s="55">
        <v>150</v>
      </c>
      <c r="W4" s="55">
        <v>150</v>
      </c>
      <c r="X4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0.5</v>
      </c>
      <c r="Z4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" s="40">
        <v>0</v>
      </c>
      <c r="AB4" s="56">
        <v>0</v>
      </c>
      <c r="AC4" s="56">
        <v>150</v>
      </c>
      <c r="AD4" s="56">
        <v>50</v>
      </c>
      <c r="AE4" s="55" t="s">
        <v>60</v>
      </c>
      <c r="AF4" s="56">
        <v>0</v>
      </c>
      <c r="AG4" s="56">
        <v>0</v>
      </c>
      <c r="AH4" s="40">
        <f>IF(ISNUMBER(Tabella2[[#This Row],[Mean RADIAL stress  (MPa)]]), Tabella2[[#This Row],[Mean RADIAL stress  (MPa)]],"")</f>
        <v>0</v>
      </c>
      <c r="AI4" s="56">
        <f>IF(ISNUMBER(Tabella2[[#This Row],[Amplitute RADIAL stress  (MPa)]]), Tabella2[[#This Row],[Amplitute RADIAL stress  (MPa)]],"")</f>
        <v>0</v>
      </c>
      <c r="AJ4" s="56">
        <f>IF(ISNUMBER(Tabella2[[#This Row],[Mean AXIAL stress  (MPa)]]), IF(Tabella2[[#This Row],[derived from (AXIAL/BENDING) load]]="AXIAL",Tabella2[[#This Row],[Mean AXIAL stress  (MPa)]]*Tabella2[[#This Row],[Area (mm^2)]],"Null"), "")</f>
        <v>23090.706003884978</v>
      </c>
      <c r="AK4" s="56">
        <f>IF(ISNUMBER(Tabella2[[#This Row],[Amplitute AXIAL stress  (MPa)]]),    IF(Tabella2[[#This Row],[derived from (AXIAL/BENDING) load]]="AXIAL",Tabella2[[#This Row],[Amplitute AXIAL stress  (MPa)]]*Tabella2[[#This Row],[Area (mm^2)]],"Null"), "")</f>
        <v>7696.9020012949923</v>
      </c>
      <c r="AL4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4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50</v>
      </c>
    </row>
    <row r="5" spans="1:43" s="53" customFormat="1" ht="20.100000000000001" customHeight="1" x14ac:dyDescent="0.25">
      <c r="A5" s="53" t="s">
        <v>65</v>
      </c>
      <c r="B5" s="53">
        <v>2023</v>
      </c>
      <c r="C5" s="53" t="s">
        <v>64</v>
      </c>
      <c r="D5" s="53" t="s">
        <v>71</v>
      </c>
      <c r="E5" s="53">
        <v>705742</v>
      </c>
      <c r="F5" s="53" t="s">
        <v>20</v>
      </c>
      <c r="G5" s="53" t="s">
        <v>68</v>
      </c>
      <c r="H5" s="62" t="e" vm="2">
        <v>#VALUE!</v>
      </c>
      <c r="I5" s="53" t="s">
        <v>27</v>
      </c>
      <c r="J5" s="1" t="s">
        <v>32</v>
      </c>
      <c r="K5" s="53" t="s">
        <v>21</v>
      </c>
      <c r="L5" s="53" t="s">
        <v>21</v>
      </c>
      <c r="M5" s="53">
        <v>0</v>
      </c>
      <c r="N5" s="1">
        <v>14</v>
      </c>
      <c r="O5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5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5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5" s="62">
        <v>0</v>
      </c>
      <c r="S5" s="53">
        <v>0</v>
      </c>
      <c r="T5" s="1">
        <v>0</v>
      </c>
      <c r="U5" s="54">
        <v>150</v>
      </c>
      <c r="V5" s="55">
        <v>150</v>
      </c>
      <c r="W5" s="55">
        <v>150</v>
      </c>
      <c r="X5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0.5</v>
      </c>
      <c r="Z5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" s="40">
        <v>0</v>
      </c>
      <c r="AB5" s="56">
        <v>0</v>
      </c>
      <c r="AC5" s="56">
        <v>180</v>
      </c>
      <c r="AD5" s="56">
        <v>60</v>
      </c>
      <c r="AE5" s="55" t="s">
        <v>60</v>
      </c>
      <c r="AF5" s="56">
        <v>0</v>
      </c>
      <c r="AG5" s="56">
        <v>0</v>
      </c>
      <c r="AH5" s="40">
        <f>IF(ISNUMBER(Tabella2[[#This Row],[Mean RADIAL stress  (MPa)]]), Tabella2[[#This Row],[Mean RADIAL stress  (MPa)]],"")</f>
        <v>0</v>
      </c>
      <c r="AI5" s="56">
        <f>IF(ISNUMBER(Tabella2[[#This Row],[Amplitute RADIAL stress  (MPa)]]), Tabella2[[#This Row],[Amplitute RADIAL stress  (MPa)]],"")</f>
        <v>0</v>
      </c>
      <c r="AJ5" s="56">
        <f>IF(ISNUMBER(Tabella2[[#This Row],[Mean AXIAL stress  (MPa)]]), IF(Tabella2[[#This Row],[derived from (AXIAL/BENDING) load]]="AXIAL",Tabella2[[#This Row],[Mean AXIAL stress  (MPa)]]*Tabella2[[#This Row],[Area (mm^2)]],"Null"), "")</f>
        <v>27708.847204661972</v>
      </c>
      <c r="AK5" s="56">
        <f>IF(ISNUMBER(Tabella2[[#This Row],[Amplitute AXIAL stress  (MPa)]]),    IF(Tabella2[[#This Row],[derived from (AXIAL/BENDING) load]]="AXIAL",Tabella2[[#This Row],[Amplitute AXIAL stress  (MPa)]]*Tabella2[[#This Row],[Area (mm^2)]],"Null"), "")</f>
        <v>9236.2824015539918</v>
      </c>
      <c r="AL5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5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5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60</v>
      </c>
    </row>
    <row r="6" spans="1:43" s="53" customFormat="1" ht="20.100000000000001" customHeight="1" x14ac:dyDescent="0.25">
      <c r="A6" s="53" t="s">
        <v>65</v>
      </c>
      <c r="B6" s="53">
        <v>2023</v>
      </c>
      <c r="C6" s="53" t="s">
        <v>64</v>
      </c>
      <c r="D6" s="53" t="s">
        <v>72</v>
      </c>
      <c r="E6" s="53">
        <v>5000000</v>
      </c>
      <c r="F6" s="53" t="s">
        <v>32</v>
      </c>
      <c r="G6" s="53" t="s">
        <v>68</v>
      </c>
      <c r="H6" s="62" t="e" vm="3">
        <v>#VALUE!</v>
      </c>
      <c r="I6" s="53" t="s">
        <v>27</v>
      </c>
      <c r="J6" s="1" t="s">
        <v>32</v>
      </c>
      <c r="K6" s="53" t="s">
        <v>21</v>
      </c>
      <c r="L6" s="53" t="s">
        <v>21</v>
      </c>
      <c r="M6" s="53">
        <v>0</v>
      </c>
      <c r="N6" s="1">
        <v>14</v>
      </c>
      <c r="O6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6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6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6" s="62">
        <v>0</v>
      </c>
      <c r="S6" s="53">
        <v>0</v>
      </c>
      <c r="T6" s="1">
        <v>0</v>
      </c>
      <c r="U6" s="54">
        <v>150</v>
      </c>
      <c r="V6" s="55">
        <v>150</v>
      </c>
      <c r="W6" s="55">
        <v>150</v>
      </c>
      <c r="X6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0.5</v>
      </c>
      <c r="Z6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6" s="40">
        <v>0</v>
      </c>
      <c r="AB6" s="56">
        <v>0</v>
      </c>
      <c r="AC6" s="56">
        <v>135</v>
      </c>
      <c r="AD6" s="56">
        <v>45</v>
      </c>
      <c r="AE6" s="55" t="s">
        <v>60</v>
      </c>
      <c r="AF6" s="56">
        <v>0</v>
      </c>
      <c r="AG6" s="56">
        <v>0</v>
      </c>
      <c r="AH6" s="40">
        <f>IF(ISNUMBER(Tabella2[[#This Row],[Mean RADIAL stress  (MPa)]]), Tabella2[[#This Row],[Mean RADIAL stress  (MPa)]],"")</f>
        <v>0</v>
      </c>
      <c r="AI6" s="56">
        <f>IF(ISNUMBER(Tabella2[[#This Row],[Amplitute RADIAL stress  (MPa)]]), Tabella2[[#This Row],[Amplitute RADIAL stress  (MPa)]],"")</f>
        <v>0</v>
      </c>
      <c r="AJ6" s="56">
        <f>IF(ISNUMBER(Tabella2[[#This Row],[Mean AXIAL stress  (MPa)]]), IF(Tabella2[[#This Row],[derived from (AXIAL/BENDING) load]]="AXIAL",Tabella2[[#This Row],[Mean AXIAL stress  (MPa)]]*Tabella2[[#This Row],[Area (mm^2)]],"Null"), "")</f>
        <v>20781.635403496479</v>
      </c>
      <c r="AK6" s="56">
        <f>IF(ISNUMBER(Tabella2[[#This Row],[Amplitute AXIAL stress  (MPa)]]),    IF(Tabella2[[#This Row],[derived from (AXIAL/BENDING) load]]="AXIAL",Tabella2[[#This Row],[Amplitute AXIAL stress  (MPa)]]*Tabella2[[#This Row],[Area (mm^2)]],"Null"), "")</f>
        <v>6927.2118011654929</v>
      </c>
      <c r="AL6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6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6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6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45</v>
      </c>
    </row>
    <row r="7" spans="1:43" s="53" customFormat="1" ht="20.100000000000001" customHeight="1" x14ac:dyDescent="0.25">
      <c r="A7" s="53" t="s">
        <v>65</v>
      </c>
      <c r="B7" s="53">
        <v>2023</v>
      </c>
      <c r="C7" s="53" t="s">
        <v>64</v>
      </c>
      <c r="D7" s="53" t="s">
        <v>73</v>
      </c>
      <c r="E7" s="53">
        <v>178690</v>
      </c>
      <c r="F7" s="53" t="s">
        <v>20</v>
      </c>
      <c r="G7" s="53" t="s">
        <v>68</v>
      </c>
      <c r="H7" s="62" t="e" vm="2">
        <v>#VALUE!</v>
      </c>
      <c r="I7" s="53" t="s">
        <v>27</v>
      </c>
      <c r="J7" s="1" t="s">
        <v>32</v>
      </c>
      <c r="K7" s="53" t="s">
        <v>21</v>
      </c>
      <c r="L7" s="53" t="s">
        <v>21</v>
      </c>
      <c r="M7" s="53">
        <v>0</v>
      </c>
      <c r="N7" s="1">
        <v>14</v>
      </c>
      <c r="O7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7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7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7" s="62">
        <v>0</v>
      </c>
      <c r="S7" s="53">
        <v>0</v>
      </c>
      <c r="T7" s="1">
        <v>0</v>
      </c>
      <c r="U7" s="54">
        <v>150</v>
      </c>
      <c r="V7" s="55">
        <v>150</v>
      </c>
      <c r="W7" s="55">
        <v>150</v>
      </c>
      <c r="X7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0.5</v>
      </c>
      <c r="Z7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7" s="40">
        <v>0</v>
      </c>
      <c r="AB7" s="56">
        <v>0</v>
      </c>
      <c r="AC7" s="56">
        <v>225</v>
      </c>
      <c r="AD7" s="56">
        <v>75</v>
      </c>
      <c r="AE7" s="55" t="s">
        <v>60</v>
      </c>
      <c r="AF7" s="56">
        <v>0</v>
      </c>
      <c r="AG7" s="56">
        <v>0</v>
      </c>
      <c r="AH7" s="40">
        <f>IF(ISNUMBER(Tabella2[[#This Row],[Mean RADIAL stress  (MPa)]]), Tabella2[[#This Row],[Mean RADIAL stress  (MPa)]],"")</f>
        <v>0</v>
      </c>
      <c r="AI7" s="56">
        <f>IF(ISNUMBER(Tabella2[[#This Row],[Amplitute RADIAL stress  (MPa)]]), Tabella2[[#This Row],[Amplitute RADIAL stress  (MPa)]],"")</f>
        <v>0</v>
      </c>
      <c r="AJ7" s="56">
        <f>IF(ISNUMBER(Tabella2[[#This Row],[Mean AXIAL stress  (MPa)]]), IF(Tabella2[[#This Row],[derived from (AXIAL/BENDING) load]]="AXIAL",Tabella2[[#This Row],[Mean AXIAL stress  (MPa)]]*Tabella2[[#This Row],[Area (mm^2)]],"Null"), "")</f>
        <v>34636.059005827468</v>
      </c>
      <c r="AK7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11545.353001942489</v>
      </c>
      <c r="AL7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7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7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7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75</v>
      </c>
    </row>
    <row r="8" spans="1:43" s="53" customFormat="1" ht="20.100000000000001" customHeight="1" x14ac:dyDescent="0.25">
      <c r="A8" s="53" t="s">
        <v>65</v>
      </c>
      <c r="B8" s="53">
        <v>2023</v>
      </c>
      <c r="C8" s="53" t="s">
        <v>64</v>
      </c>
      <c r="D8" s="53" t="s">
        <v>74</v>
      </c>
      <c r="E8" s="53">
        <v>881573</v>
      </c>
      <c r="F8" s="53" t="s">
        <v>20</v>
      </c>
      <c r="G8" s="53" t="s">
        <v>68</v>
      </c>
      <c r="H8" s="62" t="e" vm="2">
        <v>#VALUE!</v>
      </c>
      <c r="I8" s="53" t="s">
        <v>27</v>
      </c>
      <c r="J8" s="1" t="s">
        <v>32</v>
      </c>
      <c r="K8" s="53" t="s">
        <v>21</v>
      </c>
      <c r="L8" s="53" t="s">
        <v>21</v>
      </c>
      <c r="M8" s="53">
        <v>0</v>
      </c>
      <c r="N8" s="1">
        <v>14</v>
      </c>
      <c r="O8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8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8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8" s="62">
        <v>0</v>
      </c>
      <c r="S8" s="53">
        <v>0</v>
      </c>
      <c r="T8" s="1">
        <v>0</v>
      </c>
      <c r="U8" s="54">
        <v>150</v>
      </c>
      <c r="V8" s="55">
        <v>150</v>
      </c>
      <c r="W8" s="55">
        <v>150</v>
      </c>
      <c r="X8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0.5</v>
      </c>
      <c r="Z8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8" s="40">
        <v>0</v>
      </c>
      <c r="AB8" s="56">
        <v>0</v>
      </c>
      <c r="AC8" s="56">
        <v>180</v>
      </c>
      <c r="AD8" s="56">
        <v>60</v>
      </c>
      <c r="AE8" s="55" t="s">
        <v>60</v>
      </c>
      <c r="AF8" s="56">
        <v>0</v>
      </c>
      <c r="AG8" s="56">
        <v>0</v>
      </c>
      <c r="AH8" s="40">
        <f>IF(ISNUMBER(Tabella2[[#This Row],[Mean RADIAL stress  (MPa)]]), Tabella2[[#This Row],[Mean RADIAL stress  (MPa)]],"")</f>
        <v>0</v>
      </c>
      <c r="AI8" s="56">
        <f>IF(ISNUMBER(Tabella2[[#This Row],[Amplitute RADIAL stress  (MPa)]]), Tabella2[[#This Row],[Amplitute RADIAL stress  (MPa)]],"")</f>
        <v>0</v>
      </c>
      <c r="AJ8" s="56">
        <f>IF(ISNUMBER(Tabella2[[#This Row],[Mean AXIAL stress  (MPa)]]), IF(Tabella2[[#This Row],[derived from (AXIAL/BENDING) load]]="AXIAL",Tabella2[[#This Row],[Mean AXIAL stress  (MPa)]]*Tabella2[[#This Row],[Area (mm^2)]],"Null"), "")</f>
        <v>27708.847204661972</v>
      </c>
      <c r="AK8" s="56">
        <f>IF(ISNUMBER(Tabella2[[#This Row],[Amplitute AXIAL stress  (MPa)]]),    IF(Tabella2[[#This Row],[derived from (AXIAL/BENDING) load]]="AXIAL",Tabella2[[#This Row],[Amplitute AXIAL stress  (MPa)]]*Tabella2[[#This Row],[Area (mm^2)]],"Null"), "")</f>
        <v>9236.2824015539918</v>
      </c>
      <c r="AL8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8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8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8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60</v>
      </c>
    </row>
    <row r="9" spans="1:43" s="53" customFormat="1" ht="20.100000000000001" customHeight="1" x14ac:dyDescent="0.25">
      <c r="A9" s="53" t="s">
        <v>65</v>
      </c>
      <c r="B9" s="53">
        <v>2023</v>
      </c>
      <c r="C9" s="53" t="s">
        <v>64</v>
      </c>
      <c r="D9" s="53" t="s">
        <v>75</v>
      </c>
      <c r="E9" s="53">
        <v>273488</v>
      </c>
      <c r="F9" s="53" t="s">
        <v>20</v>
      </c>
      <c r="G9" s="53" t="s">
        <v>68</v>
      </c>
      <c r="H9" s="62" t="e" vm="2">
        <v>#VALUE!</v>
      </c>
      <c r="I9" s="53" t="s">
        <v>27</v>
      </c>
      <c r="J9" s="1" t="s">
        <v>32</v>
      </c>
      <c r="K9" s="53" t="s">
        <v>21</v>
      </c>
      <c r="L9" s="53" t="s">
        <v>21</v>
      </c>
      <c r="M9" s="53">
        <v>0</v>
      </c>
      <c r="N9" s="1">
        <v>14</v>
      </c>
      <c r="O9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9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9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9" s="62">
        <v>0</v>
      </c>
      <c r="S9" s="53">
        <v>0</v>
      </c>
      <c r="T9" s="1">
        <v>0</v>
      </c>
      <c r="U9" s="54">
        <v>150</v>
      </c>
      <c r="V9" s="55">
        <v>150</v>
      </c>
      <c r="W9" s="55">
        <v>150</v>
      </c>
      <c r="X9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9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0.5</v>
      </c>
      <c r="Z9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9" s="40">
        <v>0</v>
      </c>
      <c r="AB9" s="56">
        <v>0</v>
      </c>
      <c r="AC9" s="56">
        <v>210</v>
      </c>
      <c r="AD9" s="56">
        <v>70</v>
      </c>
      <c r="AE9" s="55" t="s">
        <v>60</v>
      </c>
      <c r="AF9" s="56">
        <v>0</v>
      </c>
      <c r="AG9" s="56">
        <v>0</v>
      </c>
      <c r="AH9" s="40">
        <f>IF(ISNUMBER(Tabella2[[#This Row],[Mean RADIAL stress  (MPa)]]), Tabella2[[#This Row],[Mean RADIAL stress  (MPa)]],"")</f>
        <v>0</v>
      </c>
      <c r="AI9" s="56">
        <f>IF(ISNUMBER(Tabella2[[#This Row],[Amplitute RADIAL stress  (MPa)]]), Tabella2[[#This Row],[Amplitute RADIAL stress  (MPa)]],"")</f>
        <v>0</v>
      </c>
      <c r="AJ9" s="56">
        <f>IF(ISNUMBER(Tabella2[[#This Row],[Mean AXIAL stress  (MPa)]]), IF(Tabella2[[#This Row],[derived from (AXIAL/BENDING) load]]="AXIAL",Tabella2[[#This Row],[Mean AXIAL stress  (MPa)]]*Tabella2[[#This Row],[Area (mm^2)]],"Null"), "")</f>
        <v>32326.988405438969</v>
      </c>
      <c r="AK9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10775.66280181299</v>
      </c>
      <c r="AL9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9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9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9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9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9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70</v>
      </c>
    </row>
    <row r="10" spans="1:43" s="53" customFormat="1" ht="20.100000000000001" customHeight="1" x14ac:dyDescent="0.25">
      <c r="A10" s="53" t="s">
        <v>65</v>
      </c>
      <c r="B10" s="53">
        <v>2023</v>
      </c>
      <c r="C10" s="53" t="s">
        <v>64</v>
      </c>
      <c r="D10" s="53" t="s">
        <v>76</v>
      </c>
      <c r="E10" s="53">
        <v>3548471</v>
      </c>
      <c r="F10" s="53" t="s">
        <v>20</v>
      </c>
      <c r="G10" s="53" t="s">
        <v>68</v>
      </c>
      <c r="H10" s="62" t="e" vm="2">
        <v>#VALUE!</v>
      </c>
      <c r="I10" s="53" t="s">
        <v>27</v>
      </c>
      <c r="J10" s="1" t="s">
        <v>32</v>
      </c>
      <c r="K10" s="53" t="s">
        <v>21</v>
      </c>
      <c r="L10" s="53" t="s">
        <v>21</v>
      </c>
      <c r="M10" s="53">
        <v>0</v>
      </c>
      <c r="N10" s="1">
        <v>14</v>
      </c>
      <c r="O10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0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0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0" s="62">
        <v>0</v>
      </c>
      <c r="S10" s="53">
        <v>0</v>
      </c>
      <c r="T10" s="1">
        <v>0</v>
      </c>
      <c r="U10" s="54">
        <v>150</v>
      </c>
      <c r="V10" s="55">
        <v>150</v>
      </c>
      <c r="W10" s="55">
        <v>150</v>
      </c>
      <c r="X10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0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0.5</v>
      </c>
      <c r="Z10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10" s="40">
        <v>0</v>
      </c>
      <c r="AB10" s="56">
        <v>0</v>
      </c>
      <c r="AC10" s="56">
        <v>150</v>
      </c>
      <c r="AD10" s="56">
        <v>50</v>
      </c>
      <c r="AE10" s="55" t="s">
        <v>60</v>
      </c>
      <c r="AF10" s="56">
        <v>0</v>
      </c>
      <c r="AG10" s="56">
        <v>0</v>
      </c>
      <c r="AH10" s="40">
        <f>IF(ISNUMBER(Tabella2[[#This Row],[Mean RADIAL stress  (MPa)]]), Tabella2[[#This Row],[Mean RADIAL stress  (MPa)]],"")</f>
        <v>0</v>
      </c>
      <c r="AI10" s="56">
        <f>IF(ISNUMBER(Tabella2[[#This Row],[Amplitute RADIAL stress  (MPa)]]), Tabella2[[#This Row],[Amplitute RADIAL stress  (MPa)]],"")</f>
        <v>0</v>
      </c>
      <c r="AJ10" s="56">
        <f>IF(ISNUMBER(Tabella2[[#This Row],[Mean AXIAL stress  (MPa)]]), IF(Tabella2[[#This Row],[derived from (AXIAL/BENDING) load]]="AXIAL",Tabella2[[#This Row],[Mean AXIAL stress  (MPa)]]*Tabella2[[#This Row],[Area (mm^2)]],"Null"), "")</f>
        <v>23090.706003884978</v>
      </c>
      <c r="AK10" s="56">
        <f>IF(ISNUMBER(Tabella2[[#This Row],[Amplitute AXIAL stress  (MPa)]]),    IF(Tabella2[[#This Row],[derived from (AXIAL/BENDING) load]]="AXIAL",Tabella2[[#This Row],[Amplitute AXIAL stress  (MPa)]]*Tabella2[[#This Row],[Area (mm^2)]],"Null"), "")</f>
        <v>7696.9020012949923</v>
      </c>
      <c r="AL10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0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0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0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10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10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50</v>
      </c>
    </row>
    <row r="11" spans="1:43" s="53" customFormat="1" ht="20.100000000000001" customHeight="1" x14ac:dyDescent="0.25">
      <c r="A11" s="53" t="s">
        <v>65</v>
      </c>
      <c r="B11" s="53">
        <v>2023</v>
      </c>
      <c r="C11" s="53" t="s">
        <v>64</v>
      </c>
      <c r="D11" s="53" t="s">
        <v>77</v>
      </c>
      <c r="E11" s="53">
        <v>539448</v>
      </c>
      <c r="F11" s="53" t="s">
        <v>20</v>
      </c>
      <c r="G11" s="53" t="s">
        <v>68</v>
      </c>
      <c r="H11" s="62" t="e" vm="2">
        <v>#VALUE!</v>
      </c>
      <c r="I11" s="53" t="s">
        <v>27</v>
      </c>
      <c r="J11" s="1" t="s">
        <v>32</v>
      </c>
      <c r="K11" s="53" t="s">
        <v>21</v>
      </c>
      <c r="L11" s="53" t="s">
        <v>21</v>
      </c>
      <c r="M11" s="53">
        <v>0</v>
      </c>
      <c r="N11" s="1">
        <v>14</v>
      </c>
      <c r="O11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1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1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1" s="62">
        <v>0</v>
      </c>
      <c r="S11" s="53">
        <v>0</v>
      </c>
      <c r="T11" s="1">
        <v>0</v>
      </c>
      <c r="U11" s="54">
        <v>150</v>
      </c>
      <c r="V11" s="55">
        <v>150</v>
      </c>
      <c r="W11" s="55">
        <v>150</v>
      </c>
      <c r="X11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1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1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11" s="40">
        <v>0</v>
      </c>
      <c r="AB11" s="56">
        <v>0</v>
      </c>
      <c r="AC11" s="56">
        <v>0</v>
      </c>
      <c r="AD11" s="56">
        <v>160</v>
      </c>
      <c r="AE11" s="55" t="s">
        <v>60</v>
      </c>
      <c r="AF11" s="56">
        <v>0</v>
      </c>
      <c r="AG11" s="56">
        <v>0</v>
      </c>
      <c r="AH11" s="40">
        <f>IF(ISNUMBER(Tabella2[[#This Row],[Mean RADIAL stress  (MPa)]]), Tabella2[[#This Row],[Mean RADIAL stress  (MPa)]],"")</f>
        <v>0</v>
      </c>
      <c r="AI11" s="56">
        <f>IF(ISNUMBER(Tabella2[[#This Row],[Amplitute RADIAL stress  (MPa)]]), Tabella2[[#This Row],[Amplitute RADIAL stress  (MPa)]],"")</f>
        <v>0</v>
      </c>
      <c r="AJ11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1" s="56">
        <f>IF(ISNUMBER(Tabella2[[#This Row],[Amplitute AXIAL stress  (MPa)]]),    IF(Tabella2[[#This Row],[derived from (AXIAL/BENDING) load]]="AXIAL",Tabella2[[#This Row],[Amplitute AXIAL stress  (MPa)]]*Tabella2[[#This Row],[Area (mm^2)]],"Null"), "")</f>
        <v>24630.086404143978</v>
      </c>
      <c r="AL11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1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1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1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11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11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160</v>
      </c>
    </row>
    <row r="12" spans="1:43" s="53" customFormat="1" ht="20.100000000000001" customHeight="1" x14ac:dyDescent="0.25">
      <c r="A12" s="53" t="s">
        <v>65</v>
      </c>
      <c r="B12" s="53">
        <v>2023</v>
      </c>
      <c r="C12" s="53" t="s">
        <v>64</v>
      </c>
      <c r="D12" s="53" t="s">
        <v>78</v>
      </c>
      <c r="E12" s="53">
        <v>260000</v>
      </c>
      <c r="F12" s="53" t="s">
        <v>20</v>
      </c>
      <c r="G12" s="53" t="s">
        <v>68</v>
      </c>
      <c r="H12" s="62" t="e" vm="2">
        <v>#VALUE!</v>
      </c>
      <c r="I12" s="53" t="s">
        <v>27</v>
      </c>
      <c r="J12" s="1" t="s">
        <v>32</v>
      </c>
      <c r="K12" s="53" t="s">
        <v>21</v>
      </c>
      <c r="L12" s="53" t="s">
        <v>21</v>
      </c>
      <c r="M12" s="53">
        <v>0</v>
      </c>
      <c r="N12" s="1">
        <v>14</v>
      </c>
      <c r="O12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2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2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2" s="62">
        <v>0</v>
      </c>
      <c r="S12" s="53">
        <v>0</v>
      </c>
      <c r="T12" s="1">
        <v>0</v>
      </c>
      <c r="U12" s="54">
        <v>150</v>
      </c>
      <c r="V12" s="55">
        <v>150</v>
      </c>
      <c r="W12" s="55">
        <v>150</v>
      </c>
      <c r="X12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2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2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12" s="40">
        <v>0</v>
      </c>
      <c r="AB12" s="56">
        <v>0</v>
      </c>
      <c r="AC12" s="56">
        <v>0</v>
      </c>
      <c r="AD12" s="56">
        <v>160</v>
      </c>
      <c r="AE12" s="55" t="s">
        <v>60</v>
      </c>
      <c r="AF12" s="56">
        <v>0</v>
      </c>
      <c r="AG12" s="56">
        <v>0</v>
      </c>
      <c r="AH12" s="40">
        <f>IF(ISNUMBER(Tabella2[[#This Row],[Mean RADIAL stress  (MPa)]]), Tabella2[[#This Row],[Mean RADIAL stress  (MPa)]],"")</f>
        <v>0</v>
      </c>
      <c r="AI12" s="56">
        <f>IF(ISNUMBER(Tabella2[[#This Row],[Amplitute RADIAL stress  (MPa)]]), Tabella2[[#This Row],[Amplitute RADIAL stress  (MPa)]],"")</f>
        <v>0</v>
      </c>
      <c r="AJ12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2" s="56">
        <f>IF(ISNUMBER(Tabella2[[#This Row],[Amplitute AXIAL stress  (MPa)]]),    IF(Tabella2[[#This Row],[derived from (AXIAL/BENDING) load]]="AXIAL",Tabella2[[#This Row],[Amplitute AXIAL stress  (MPa)]]*Tabella2[[#This Row],[Area (mm^2)]],"Null"), "")</f>
        <v>24630.086404143978</v>
      </c>
      <c r="AL12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2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2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2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12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12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160</v>
      </c>
    </row>
    <row r="13" spans="1:43" s="53" customFormat="1" ht="20.100000000000001" customHeight="1" x14ac:dyDescent="0.25">
      <c r="A13" s="53" t="s">
        <v>65</v>
      </c>
      <c r="B13" s="53">
        <v>2023</v>
      </c>
      <c r="C13" s="53" t="s">
        <v>64</v>
      </c>
      <c r="D13" s="53" t="s">
        <v>79</v>
      </c>
      <c r="E13" s="53">
        <v>5000000</v>
      </c>
      <c r="F13" s="53" t="s">
        <v>32</v>
      </c>
      <c r="G13" s="53" t="s">
        <v>68</v>
      </c>
      <c r="H13" s="62" t="e" vm="2">
        <v>#VALUE!</v>
      </c>
      <c r="I13" s="53" t="s">
        <v>27</v>
      </c>
      <c r="J13" s="1" t="s">
        <v>32</v>
      </c>
      <c r="K13" s="53" t="s">
        <v>21</v>
      </c>
      <c r="L13" s="53" t="s">
        <v>21</v>
      </c>
      <c r="M13" s="53">
        <v>0</v>
      </c>
      <c r="N13" s="1">
        <v>14</v>
      </c>
      <c r="O13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3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3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3" s="62">
        <v>0</v>
      </c>
      <c r="S13" s="53">
        <v>0</v>
      </c>
      <c r="T13" s="1">
        <v>0</v>
      </c>
      <c r="U13" s="54">
        <v>150</v>
      </c>
      <c r="V13" s="55">
        <v>150</v>
      </c>
      <c r="W13" s="55">
        <v>150</v>
      </c>
      <c r="X13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3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3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13" s="40">
        <v>0</v>
      </c>
      <c r="AB13" s="56">
        <v>0</v>
      </c>
      <c r="AC13" s="56">
        <v>0</v>
      </c>
      <c r="AD13" s="56">
        <v>100</v>
      </c>
      <c r="AE13" s="55" t="s">
        <v>60</v>
      </c>
      <c r="AF13" s="56">
        <v>0</v>
      </c>
      <c r="AG13" s="56">
        <v>0</v>
      </c>
      <c r="AH13" s="40">
        <f>IF(ISNUMBER(Tabella2[[#This Row],[Mean RADIAL stress  (MPa)]]), Tabella2[[#This Row],[Mean RADIAL stress  (MPa)]],"")</f>
        <v>0</v>
      </c>
      <c r="AI13" s="56">
        <f>IF(ISNUMBER(Tabella2[[#This Row],[Amplitute RADIAL stress  (MPa)]]), Tabella2[[#This Row],[Amplitute RADIAL stress  (MPa)]],"")</f>
        <v>0</v>
      </c>
      <c r="AJ13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3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15393.804002589985</v>
      </c>
      <c r="AL13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3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3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3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13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13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100</v>
      </c>
    </row>
    <row r="14" spans="1:43" s="53" customFormat="1" ht="20.100000000000001" customHeight="1" x14ac:dyDescent="0.25">
      <c r="A14" s="53" t="s">
        <v>65</v>
      </c>
      <c r="B14" s="53">
        <v>2023</v>
      </c>
      <c r="C14" s="53" t="s">
        <v>64</v>
      </c>
      <c r="D14" s="53" t="s">
        <v>80</v>
      </c>
      <c r="E14" s="53">
        <v>1631007</v>
      </c>
      <c r="F14" s="53" t="s">
        <v>20</v>
      </c>
      <c r="G14" s="53" t="s">
        <v>68</v>
      </c>
      <c r="H14" s="62" t="e" vm="2">
        <v>#VALUE!</v>
      </c>
      <c r="I14" s="53" t="s">
        <v>27</v>
      </c>
      <c r="J14" s="1" t="s">
        <v>32</v>
      </c>
      <c r="K14" s="53" t="s">
        <v>21</v>
      </c>
      <c r="L14" s="53" t="s">
        <v>21</v>
      </c>
      <c r="M14" s="53">
        <v>0</v>
      </c>
      <c r="N14" s="1">
        <v>14</v>
      </c>
      <c r="O14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4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4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4" s="62">
        <v>0</v>
      </c>
      <c r="S14" s="53">
        <v>0</v>
      </c>
      <c r="T14" s="1">
        <v>0</v>
      </c>
      <c r="U14" s="54">
        <v>150</v>
      </c>
      <c r="V14" s="55">
        <v>150</v>
      </c>
      <c r="W14" s="55">
        <v>150</v>
      </c>
      <c r="X14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4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4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14" s="40">
        <v>0</v>
      </c>
      <c r="AB14" s="56">
        <v>0</v>
      </c>
      <c r="AC14" s="56">
        <v>0</v>
      </c>
      <c r="AD14" s="56">
        <v>140</v>
      </c>
      <c r="AE14" s="55" t="s">
        <v>60</v>
      </c>
      <c r="AF14" s="56">
        <v>0</v>
      </c>
      <c r="AG14" s="56">
        <v>0</v>
      </c>
      <c r="AH14" s="40">
        <f>IF(ISNUMBER(Tabella2[[#This Row],[Mean RADIAL stress  (MPa)]]), Tabella2[[#This Row],[Mean RADIAL stress  (MPa)]],"")</f>
        <v>0</v>
      </c>
      <c r="AI14" s="56">
        <f>IF(ISNUMBER(Tabella2[[#This Row],[Amplitute RADIAL stress  (MPa)]]), Tabella2[[#This Row],[Amplitute RADIAL stress  (MPa)]],"")</f>
        <v>0</v>
      </c>
      <c r="AJ14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4" s="56">
        <f>IF(ISNUMBER(Tabella2[[#This Row],[Amplitute AXIAL stress  (MPa)]]),    IF(Tabella2[[#This Row],[derived from (AXIAL/BENDING) load]]="AXIAL",Tabella2[[#This Row],[Amplitute AXIAL stress  (MPa)]]*Tabella2[[#This Row],[Area (mm^2)]],"Null"), "")</f>
        <v>21551.325603625981</v>
      </c>
      <c r="AL14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4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4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4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14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14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140</v>
      </c>
    </row>
    <row r="15" spans="1:43" s="53" customFormat="1" ht="20.100000000000001" customHeight="1" x14ac:dyDescent="0.25">
      <c r="A15" s="53" t="s">
        <v>65</v>
      </c>
      <c r="B15" s="53">
        <v>2023</v>
      </c>
      <c r="C15" s="53" t="s">
        <v>64</v>
      </c>
      <c r="D15" s="53" t="s">
        <v>81</v>
      </c>
      <c r="E15" s="53">
        <v>1058112</v>
      </c>
      <c r="F15" s="53" t="s">
        <v>20</v>
      </c>
      <c r="G15" s="53" t="s">
        <v>68</v>
      </c>
      <c r="H15" s="62" t="e" vm="2">
        <v>#VALUE!</v>
      </c>
      <c r="I15" s="53" t="s">
        <v>27</v>
      </c>
      <c r="J15" s="1" t="s">
        <v>32</v>
      </c>
      <c r="K15" s="53" t="s">
        <v>21</v>
      </c>
      <c r="L15" s="53" t="s">
        <v>21</v>
      </c>
      <c r="M15" s="53">
        <v>0</v>
      </c>
      <c r="N15" s="1">
        <v>14</v>
      </c>
      <c r="O15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5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5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5" s="62">
        <v>0</v>
      </c>
      <c r="S15" s="53">
        <v>0</v>
      </c>
      <c r="T15" s="1">
        <v>0</v>
      </c>
      <c r="U15" s="54">
        <v>150</v>
      </c>
      <c r="V15" s="55">
        <v>150</v>
      </c>
      <c r="W15" s="55">
        <v>150</v>
      </c>
      <c r="X15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5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5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15" s="40">
        <v>0</v>
      </c>
      <c r="AB15" s="56">
        <v>0</v>
      </c>
      <c r="AC15" s="56">
        <v>0</v>
      </c>
      <c r="AD15" s="56">
        <v>140</v>
      </c>
      <c r="AE15" s="55" t="s">
        <v>60</v>
      </c>
      <c r="AF15" s="56">
        <v>0</v>
      </c>
      <c r="AG15" s="56">
        <v>0</v>
      </c>
      <c r="AH15" s="40">
        <f>IF(ISNUMBER(Tabella2[[#This Row],[Mean RADIAL stress  (MPa)]]), Tabella2[[#This Row],[Mean RADIAL stress  (MPa)]],"")</f>
        <v>0</v>
      </c>
      <c r="AI15" s="56">
        <f>IF(ISNUMBER(Tabella2[[#This Row],[Amplitute RADIAL stress  (MPa)]]), Tabella2[[#This Row],[Amplitute RADIAL stress  (MPa)]],"")</f>
        <v>0</v>
      </c>
      <c r="AJ15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5" s="56">
        <f>IF(ISNUMBER(Tabella2[[#This Row],[Amplitute AXIAL stress  (MPa)]]),    IF(Tabella2[[#This Row],[derived from (AXIAL/BENDING) load]]="AXIAL",Tabella2[[#This Row],[Amplitute AXIAL stress  (MPa)]]*Tabella2[[#This Row],[Area (mm^2)]],"Null"), "")</f>
        <v>21551.325603625981</v>
      </c>
      <c r="AL15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5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5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5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15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15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140</v>
      </c>
    </row>
    <row r="16" spans="1:43" s="53" customFormat="1" ht="20.100000000000001" customHeight="1" x14ac:dyDescent="0.25">
      <c r="A16" s="53" t="s">
        <v>65</v>
      </c>
      <c r="B16" s="53">
        <v>2023</v>
      </c>
      <c r="C16" s="53" t="s">
        <v>64</v>
      </c>
      <c r="D16" s="53" t="s">
        <v>82</v>
      </c>
      <c r="E16" s="53">
        <v>812422</v>
      </c>
      <c r="F16" s="53" t="s">
        <v>20</v>
      </c>
      <c r="G16" s="53" t="s">
        <v>68</v>
      </c>
      <c r="H16" s="62" t="e" vm="2">
        <v>#VALUE!</v>
      </c>
      <c r="I16" s="53" t="s">
        <v>27</v>
      </c>
      <c r="J16" s="1" t="s">
        <v>32</v>
      </c>
      <c r="K16" s="53" t="s">
        <v>21</v>
      </c>
      <c r="L16" s="53" t="s">
        <v>21</v>
      </c>
      <c r="M16" s="53">
        <v>0</v>
      </c>
      <c r="N16" s="1">
        <v>14</v>
      </c>
      <c r="O16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6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6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6" s="62">
        <v>0</v>
      </c>
      <c r="S16" s="53">
        <v>0</v>
      </c>
      <c r="T16" s="1">
        <v>0</v>
      </c>
      <c r="U16" s="54">
        <v>150</v>
      </c>
      <c r="V16" s="55">
        <v>150</v>
      </c>
      <c r="W16" s="55">
        <v>150</v>
      </c>
      <c r="X16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6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6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16" s="40">
        <v>0</v>
      </c>
      <c r="AB16" s="56">
        <v>0</v>
      </c>
      <c r="AC16" s="56">
        <v>0</v>
      </c>
      <c r="AD16" s="56">
        <v>140</v>
      </c>
      <c r="AE16" s="55" t="s">
        <v>60</v>
      </c>
      <c r="AF16" s="56">
        <v>0</v>
      </c>
      <c r="AG16" s="56">
        <v>0</v>
      </c>
      <c r="AH16" s="40">
        <f>IF(ISNUMBER(Tabella2[[#This Row],[Mean RADIAL stress  (MPa)]]), Tabella2[[#This Row],[Mean RADIAL stress  (MPa)]],"")</f>
        <v>0</v>
      </c>
      <c r="AI16" s="56">
        <f>IF(ISNUMBER(Tabella2[[#This Row],[Amplitute RADIAL stress  (MPa)]]), Tabella2[[#This Row],[Amplitute RADIAL stress  (MPa)]],"")</f>
        <v>0</v>
      </c>
      <c r="AJ16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6" s="56">
        <f>IF(ISNUMBER(Tabella2[[#This Row],[Amplitute AXIAL stress  (MPa)]]),    IF(Tabella2[[#This Row],[derived from (AXIAL/BENDING) load]]="AXIAL",Tabella2[[#This Row],[Amplitute AXIAL stress  (MPa)]]*Tabella2[[#This Row],[Area (mm^2)]],"Null"), "")</f>
        <v>21551.325603625981</v>
      </c>
      <c r="AL16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6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6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6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16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16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140</v>
      </c>
    </row>
    <row r="17" spans="1:43" s="53" customFormat="1" ht="20.100000000000001" customHeight="1" x14ac:dyDescent="0.25">
      <c r="A17" s="53" t="s">
        <v>65</v>
      </c>
      <c r="B17" s="53">
        <v>2023</v>
      </c>
      <c r="C17" s="53" t="s">
        <v>64</v>
      </c>
      <c r="D17" s="53" t="s">
        <v>83</v>
      </c>
      <c r="E17" s="53">
        <v>3742955</v>
      </c>
      <c r="F17" s="53" t="s">
        <v>20</v>
      </c>
      <c r="G17" s="53" t="s">
        <v>68</v>
      </c>
      <c r="H17" s="62" t="e" vm="2">
        <v>#VALUE!</v>
      </c>
      <c r="I17" s="53" t="s">
        <v>27</v>
      </c>
      <c r="J17" s="1" t="s">
        <v>32</v>
      </c>
      <c r="K17" s="53" t="s">
        <v>21</v>
      </c>
      <c r="L17" s="53" t="s">
        <v>21</v>
      </c>
      <c r="M17" s="53">
        <v>0</v>
      </c>
      <c r="N17" s="1">
        <v>14</v>
      </c>
      <c r="O17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7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7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7" s="62">
        <v>0</v>
      </c>
      <c r="S17" s="53">
        <v>0</v>
      </c>
      <c r="T17" s="1">
        <v>0</v>
      </c>
      <c r="U17" s="54">
        <v>150</v>
      </c>
      <c r="V17" s="55">
        <v>150</v>
      </c>
      <c r="W17" s="55">
        <v>150</v>
      </c>
      <c r="X17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7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7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17" s="40">
        <v>0</v>
      </c>
      <c r="AB17" s="56">
        <v>0</v>
      </c>
      <c r="AC17" s="56">
        <v>0</v>
      </c>
      <c r="AD17" s="56">
        <v>120</v>
      </c>
      <c r="AE17" s="55" t="s">
        <v>60</v>
      </c>
      <c r="AF17" s="56">
        <v>0</v>
      </c>
      <c r="AG17" s="56">
        <v>0</v>
      </c>
      <c r="AH17" s="40">
        <f>IF(ISNUMBER(Tabella2[[#This Row],[Mean RADIAL stress  (MPa)]]), Tabella2[[#This Row],[Mean RADIAL stress  (MPa)]],"")</f>
        <v>0</v>
      </c>
      <c r="AI17" s="56">
        <f>IF(ISNUMBER(Tabella2[[#This Row],[Amplitute RADIAL stress  (MPa)]]), Tabella2[[#This Row],[Amplitute RADIAL stress  (MPa)]],"")</f>
        <v>0</v>
      </c>
      <c r="AJ17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7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18472.564803107984</v>
      </c>
      <c r="AL17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7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7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7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17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17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120</v>
      </c>
    </row>
    <row r="18" spans="1:43" s="53" customFormat="1" ht="20.100000000000001" customHeight="1" x14ac:dyDescent="0.25">
      <c r="A18" s="53" t="s">
        <v>65</v>
      </c>
      <c r="B18" s="53">
        <v>2023</v>
      </c>
      <c r="C18" s="53" t="s">
        <v>64</v>
      </c>
      <c r="D18" s="53" t="s">
        <v>84</v>
      </c>
      <c r="E18" s="53">
        <v>2712425</v>
      </c>
      <c r="F18" s="53" t="s">
        <v>20</v>
      </c>
      <c r="G18" s="53" t="s">
        <v>68</v>
      </c>
      <c r="H18" s="62" t="e" vm="2">
        <v>#VALUE!</v>
      </c>
      <c r="I18" s="53" t="s">
        <v>27</v>
      </c>
      <c r="J18" s="1" t="s">
        <v>32</v>
      </c>
      <c r="K18" s="53" t="s">
        <v>21</v>
      </c>
      <c r="L18" s="53" t="s">
        <v>21</v>
      </c>
      <c r="M18" s="53">
        <v>0</v>
      </c>
      <c r="N18" s="1">
        <v>14</v>
      </c>
      <c r="O18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8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8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8" s="62">
        <v>0</v>
      </c>
      <c r="S18" s="53">
        <v>0</v>
      </c>
      <c r="T18" s="1">
        <v>0</v>
      </c>
      <c r="U18" s="54">
        <v>150</v>
      </c>
      <c r="V18" s="55">
        <v>150</v>
      </c>
      <c r="W18" s="55">
        <v>150</v>
      </c>
      <c r="X18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8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8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18" s="40">
        <v>0</v>
      </c>
      <c r="AB18" s="56">
        <v>0</v>
      </c>
      <c r="AC18" s="56">
        <v>0</v>
      </c>
      <c r="AD18" s="56">
        <v>120</v>
      </c>
      <c r="AE18" s="55" t="s">
        <v>60</v>
      </c>
      <c r="AF18" s="56">
        <v>0</v>
      </c>
      <c r="AG18" s="56">
        <v>0</v>
      </c>
      <c r="AH18" s="40">
        <f>IF(ISNUMBER(Tabella2[[#This Row],[Mean RADIAL stress  (MPa)]]), Tabella2[[#This Row],[Mean RADIAL stress  (MPa)]],"")</f>
        <v>0</v>
      </c>
      <c r="AI18" s="56">
        <f>IF(ISNUMBER(Tabella2[[#This Row],[Amplitute RADIAL stress  (MPa)]]), Tabella2[[#This Row],[Amplitute RADIAL stress  (MPa)]],"")</f>
        <v>0</v>
      </c>
      <c r="AJ18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8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18472.564803107984</v>
      </c>
      <c r="AL18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8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8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8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18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18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120</v>
      </c>
    </row>
    <row r="19" spans="1:43" s="53" customFormat="1" ht="20.100000000000001" customHeight="1" x14ac:dyDescent="0.25">
      <c r="A19" s="53" t="s">
        <v>65</v>
      </c>
      <c r="B19" s="53">
        <v>2023</v>
      </c>
      <c r="C19" s="53" t="s">
        <v>64</v>
      </c>
      <c r="D19" s="53" t="s">
        <v>85</v>
      </c>
      <c r="E19" s="53">
        <v>5000000</v>
      </c>
      <c r="F19" s="53" t="s">
        <v>32</v>
      </c>
      <c r="G19" s="53" t="s">
        <v>68</v>
      </c>
      <c r="H19" s="62" t="e" vm="2">
        <v>#VALUE!</v>
      </c>
      <c r="I19" s="53" t="s">
        <v>27</v>
      </c>
      <c r="J19" s="1" t="s">
        <v>32</v>
      </c>
      <c r="K19" s="53" t="s">
        <v>21</v>
      </c>
      <c r="L19" s="53" t="s">
        <v>21</v>
      </c>
      <c r="M19" s="53">
        <v>0</v>
      </c>
      <c r="N19" s="1">
        <v>14</v>
      </c>
      <c r="O19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9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9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9" s="62">
        <v>0</v>
      </c>
      <c r="S19" s="53">
        <v>0</v>
      </c>
      <c r="T19" s="1">
        <v>0</v>
      </c>
      <c r="U19" s="54">
        <v>150</v>
      </c>
      <c r="V19" s="55">
        <v>150</v>
      </c>
      <c r="W19" s="55">
        <v>150</v>
      </c>
      <c r="X19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9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9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19" s="40">
        <v>0</v>
      </c>
      <c r="AB19" s="56">
        <v>0</v>
      </c>
      <c r="AC19" s="56">
        <v>0</v>
      </c>
      <c r="AD19" s="56">
        <v>110</v>
      </c>
      <c r="AE19" s="55" t="s">
        <v>60</v>
      </c>
      <c r="AF19" s="56">
        <v>0</v>
      </c>
      <c r="AG19" s="56">
        <v>0</v>
      </c>
      <c r="AH19" s="40">
        <f>IF(ISNUMBER(Tabella2[[#This Row],[Mean RADIAL stress  (MPa)]]), Tabella2[[#This Row],[Mean RADIAL stress  (MPa)]],"")</f>
        <v>0</v>
      </c>
      <c r="AI19" s="56">
        <f>IF(ISNUMBER(Tabella2[[#This Row],[Amplitute RADIAL stress  (MPa)]]), Tabella2[[#This Row],[Amplitute RADIAL stress  (MPa)]],"")</f>
        <v>0</v>
      </c>
      <c r="AJ19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9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16933.184402848983</v>
      </c>
      <c r="AL19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9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9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9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19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19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110</v>
      </c>
    </row>
    <row r="20" spans="1:43" s="53" customFormat="1" ht="20.100000000000001" customHeight="1" x14ac:dyDescent="0.25">
      <c r="A20" s="53" t="s">
        <v>65</v>
      </c>
      <c r="B20" s="53">
        <v>2023</v>
      </c>
      <c r="C20" s="53" t="s">
        <v>64</v>
      </c>
      <c r="D20" s="53" t="s">
        <v>86</v>
      </c>
      <c r="E20" s="53">
        <v>455808</v>
      </c>
      <c r="F20" s="53" t="s">
        <v>20</v>
      </c>
      <c r="G20" s="53" t="s">
        <v>68</v>
      </c>
      <c r="H20" s="62" t="e" vm="2">
        <v>#VALUE!</v>
      </c>
      <c r="I20" s="53" t="s">
        <v>27</v>
      </c>
      <c r="J20" s="1" t="s">
        <v>32</v>
      </c>
      <c r="K20" s="53" t="s">
        <v>21</v>
      </c>
      <c r="L20" s="53" t="s">
        <v>21</v>
      </c>
      <c r="M20" s="53">
        <v>0</v>
      </c>
      <c r="N20" s="1">
        <v>14</v>
      </c>
      <c r="O20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20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20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20" s="62">
        <v>0</v>
      </c>
      <c r="S20" s="53">
        <v>0</v>
      </c>
      <c r="T20" s="1">
        <v>0</v>
      </c>
      <c r="U20" s="54">
        <v>150</v>
      </c>
      <c r="V20" s="55">
        <v>150</v>
      </c>
      <c r="W20" s="55">
        <v>150</v>
      </c>
      <c r="X20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0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0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0" s="40">
        <v>0</v>
      </c>
      <c r="AB20" s="56">
        <v>0</v>
      </c>
      <c r="AC20" s="56">
        <v>0</v>
      </c>
      <c r="AD20" s="56">
        <v>160</v>
      </c>
      <c r="AE20" s="55" t="s">
        <v>60</v>
      </c>
      <c r="AF20" s="56">
        <v>0</v>
      </c>
      <c r="AG20" s="56">
        <v>0</v>
      </c>
      <c r="AH20" s="40">
        <f>IF(ISNUMBER(Tabella2[[#This Row],[Mean RADIAL stress  (MPa)]]), Tabella2[[#This Row],[Mean RADIAL stress  (MPa)]],"")</f>
        <v>0</v>
      </c>
      <c r="AI20" s="56">
        <f>IF(ISNUMBER(Tabella2[[#This Row],[Amplitute RADIAL stress  (MPa)]]), Tabella2[[#This Row],[Amplitute RADIAL stress  (MPa)]],"")</f>
        <v>0</v>
      </c>
      <c r="AJ20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0" s="56">
        <f>IF(ISNUMBER(Tabella2[[#This Row],[Amplitute AXIAL stress  (MPa)]]),    IF(Tabella2[[#This Row],[derived from (AXIAL/BENDING) load]]="AXIAL",Tabella2[[#This Row],[Amplitute AXIAL stress  (MPa)]]*Tabella2[[#This Row],[Area (mm^2)]],"Null"), "")</f>
        <v>24630.086404143978</v>
      </c>
      <c r="AL20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0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0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0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20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0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160</v>
      </c>
    </row>
    <row r="21" spans="1:43" s="53" customFormat="1" ht="20.100000000000001" customHeight="1" x14ac:dyDescent="0.25">
      <c r="A21" s="53" t="s">
        <v>65</v>
      </c>
      <c r="B21" s="53">
        <v>2023</v>
      </c>
      <c r="C21" s="53" t="s">
        <v>64</v>
      </c>
      <c r="D21" s="53" t="s">
        <v>87</v>
      </c>
      <c r="E21" s="53">
        <v>5000000</v>
      </c>
      <c r="F21" s="53" t="s">
        <v>32</v>
      </c>
      <c r="G21" s="53" t="s">
        <v>68</v>
      </c>
      <c r="H21" s="62" t="e" vm="2">
        <v>#VALUE!</v>
      </c>
      <c r="I21" s="53" t="s">
        <v>27</v>
      </c>
      <c r="J21" s="1" t="s">
        <v>32</v>
      </c>
      <c r="K21" s="53" t="s">
        <v>21</v>
      </c>
      <c r="L21" s="53" t="s">
        <v>21</v>
      </c>
      <c r="M21" s="53">
        <v>0</v>
      </c>
      <c r="N21" s="1">
        <v>14</v>
      </c>
      <c r="O21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21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21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21" s="62">
        <v>0</v>
      </c>
      <c r="S21" s="53">
        <v>0</v>
      </c>
      <c r="T21" s="1">
        <v>0</v>
      </c>
      <c r="U21" s="54">
        <v>150</v>
      </c>
      <c r="V21" s="55">
        <v>150</v>
      </c>
      <c r="W21" s="55">
        <v>150</v>
      </c>
      <c r="X21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1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1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1" s="40">
        <v>0</v>
      </c>
      <c r="AB21" s="56">
        <v>0</v>
      </c>
      <c r="AC21" s="56">
        <v>0</v>
      </c>
      <c r="AD21" s="56">
        <v>110</v>
      </c>
      <c r="AE21" s="55" t="s">
        <v>60</v>
      </c>
      <c r="AF21" s="56">
        <v>0</v>
      </c>
      <c r="AG21" s="56">
        <v>0</v>
      </c>
      <c r="AH21" s="40">
        <f>IF(ISNUMBER(Tabella2[[#This Row],[Mean RADIAL stress  (MPa)]]), Tabella2[[#This Row],[Mean RADIAL stress  (MPa)]],"")</f>
        <v>0</v>
      </c>
      <c r="AI21" s="56">
        <f>IF(ISNUMBER(Tabella2[[#This Row],[Amplitute RADIAL stress  (MPa)]]), Tabella2[[#This Row],[Amplitute RADIAL stress  (MPa)]],"")</f>
        <v>0</v>
      </c>
      <c r="AJ21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1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16933.184402848983</v>
      </c>
      <c r="AL21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1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1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1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21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1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110</v>
      </c>
    </row>
    <row r="22" spans="1:43" s="25" customFormat="1" ht="20.100000000000001" customHeight="1" x14ac:dyDescent="0.25">
      <c r="A22" s="25" t="s">
        <v>65</v>
      </c>
      <c r="B22" s="25">
        <v>2023</v>
      </c>
      <c r="C22" s="25" t="s">
        <v>64</v>
      </c>
      <c r="D22" s="25" t="s">
        <v>88</v>
      </c>
      <c r="E22" s="25">
        <v>5000000</v>
      </c>
      <c r="F22" s="25" t="s">
        <v>32</v>
      </c>
      <c r="G22" s="25" t="s">
        <v>68</v>
      </c>
      <c r="H22" s="63" t="e" vm="2">
        <v>#VALUE!</v>
      </c>
      <c r="I22" s="25" t="s">
        <v>27</v>
      </c>
      <c r="J22" s="25" t="s">
        <v>32</v>
      </c>
      <c r="K22" s="25" t="s">
        <v>21</v>
      </c>
      <c r="L22" s="25" t="s">
        <v>21</v>
      </c>
      <c r="M22" s="25">
        <v>0</v>
      </c>
      <c r="N22" s="25">
        <v>14</v>
      </c>
      <c r="O22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22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22" s="26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22" s="63">
        <v>0</v>
      </c>
      <c r="S22" s="25">
        <v>0</v>
      </c>
      <c r="T22" s="25">
        <v>0</v>
      </c>
      <c r="U22" s="26">
        <v>150</v>
      </c>
      <c r="V22" s="27">
        <v>150</v>
      </c>
      <c r="W22" s="27">
        <v>150</v>
      </c>
      <c r="X22" s="2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2" s="2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2" s="25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2" s="42">
        <v>0</v>
      </c>
      <c r="AB22" s="28">
        <v>0</v>
      </c>
      <c r="AC22" s="28">
        <v>0</v>
      </c>
      <c r="AD22" s="28">
        <v>115</v>
      </c>
      <c r="AE22" s="27" t="s">
        <v>60</v>
      </c>
      <c r="AF22" s="28">
        <v>0</v>
      </c>
      <c r="AG22" s="28">
        <v>0</v>
      </c>
      <c r="AH22" s="42">
        <f>IF(ISNUMBER(Tabella2[[#This Row],[Mean RADIAL stress  (MPa)]]), Tabella2[[#This Row],[Mean RADIAL stress  (MPa)]],"")</f>
        <v>0</v>
      </c>
      <c r="AI22" s="28">
        <f>IF(ISNUMBER(Tabella2[[#This Row],[Amplitute RADIAL stress  (MPa)]]), Tabella2[[#This Row],[Amplitute RADIAL stress  (MPa)]],"")</f>
        <v>0</v>
      </c>
      <c r="AJ22" s="2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2" s="28">
        <f>IF(ISNUMBER(Tabella2[[#This Row],[Amplitute AXIAL stress  (MPa)]]),    IF(Tabella2[[#This Row],[derived from (AXIAL/BENDING) load]]="AXIAL",Tabella2[[#This Row],[Amplitute AXIAL stress  (MPa)]]*Tabella2[[#This Row],[Area (mm^2)]],"Null"), "")</f>
        <v>17702.874602978482</v>
      </c>
      <c r="AL22" s="2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2" s="2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2" s="2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2" s="2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22" s="69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2" s="3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115</v>
      </c>
    </row>
    <row r="23" spans="1:43" s="53" customFormat="1" ht="20.100000000000001" customHeight="1" x14ac:dyDescent="0.25">
      <c r="A23" s="53" t="s">
        <v>65</v>
      </c>
      <c r="B23" s="53">
        <v>2023</v>
      </c>
      <c r="C23" s="53" t="s">
        <v>64</v>
      </c>
      <c r="D23" s="53" t="s">
        <v>89</v>
      </c>
      <c r="E23" s="53">
        <v>407693</v>
      </c>
      <c r="F23" s="53" t="s">
        <v>20</v>
      </c>
      <c r="G23" s="53" t="s">
        <v>68</v>
      </c>
      <c r="H23" s="62" t="e" vm="4">
        <v>#VALUE!</v>
      </c>
      <c r="I23" s="53" t="s">
        <v>27</v>
      </c>
      <c r="J23" s="1" t="s">
        <v>32</v>
      </c>
      <c r="K23" s="53" t="s">
        <v>21</v>
      </c>
      <c r="L23" s="53" t="s">
        <v>21</v>
      </c>
      <c r="M23" s="53">
        <v>0</v>
      </c>
      <c r="N23" s="1">
        <v>14</v>
      </c>
      <c r="O23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23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23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23" s="62">
        <v>0</v>
      </c>
      <c r="S23" s="53">
        <v>0</v>
      </c>
      <c r="T23" s="1">
        <v>0</v>
      </c>
      <c r="U23" s="54">
        <v>150</v>
      </c>
      <c r="V23" s="55">
        <v>150</v>
      </c>
      <c r="W23" s="55">
        <v>150</v>
      </c>
      <c r="X23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3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3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3" s="40">
        <v>0</v>
      </c>
      <c r="AB23" s="56">
        <v>0</v>
      </c>
      <c r="AC23" s="56">
        <v>0</v>
      </c>
      <c r="AD23" s="56">
        <v>120</v>
      </c>
      <c r="AE23" s="55" t="s">
        <v>60</v>
      </c>
      <c r="AF23" s="56">
        <v>0</v>
      </c>
      <c r="AG23" s="56">
        <v>0</v>
      </c>
      <c r="AH23" s="40">
        <f>IF(ISNUMBER(Tabella2[[#This Row],[Mean RADIAL stress  (MPa)]]), Tabella2[[#This Row],[Mean RADIAL stress  (MPa)]],"")</f>
        <v>0</v>
      </c>
      <c r="AI23" s="56">
        <f>IF(ISNUMBER(Tabella2[[#This Row],[Amplitute RADIAL stress  (MPa)]]), Tabella2[[#This Row],[Amplitute RADIAL stress  (MPa)]],"")</f>
        <v>0</v>
      </c>
      <c r="AJ23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3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18472.564803107984</v>
      </c>
      <c r="AL23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3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3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3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23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3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120</v>
      </c>
    </row>
    <row r="24" spans="1:43" s="53" customFormat="1" ht="20.100000000000001" customHeight="1" x14ac:dyDescent="0.25">
      <c r="A24" s="53" t="s">
        <v>65</v>
      </c>
      <c r="B24" s="53">
        <v>2023</v>
      </c>
      <c r="C24" s="53" t="s">
        <v>64</v>
      </c>
      <c r="D24" s="53" t="s">
        <v>90</v>
      </c>
      <c r="E24" s="53">
        <v>368488</v>
      </c>
      <c r="F24" s="53" t="s">
        <v>20</v>
      </c>
      <c r="G24" s="53" t="s">
        <v>68</v>
      </c>
      <c r="H24" s="62" t="e" vm="5">
        <v>#VALUE!</v>
      </c>
      <c r="I24" s="53" t="s">
        <v>27</v>
      </c>
      <c r="J24" s="1" t="s">
        <v>32</v>
      </c>
      <c r="K24" s="53" t="s">
        <v>21</v>
      </c>
      <c r="L24" s="53" t="s">
        <v>21</v>
      </c>
      <c r="M24" s="53">
        <v>0</v>
      </c>
      <c r="N24" s="1">
        <v>14</v>
      </c>
      <c r="O24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24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24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24" s="62">
        <v>0</v>
      </c>
      <c r="S24" s="53">
        <v>0</v>
      </c>
      <c r="T24" s="1">
        <v>0</v>
      </c>
      <c r="U24" s="54">
        <v>150</v>
      </c>
      <c r="V24" s="55">
        <v>150</v>
      </c>
      <c r="W24" s="55">
        <v>150</v>
      </c>
      <c r="X24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4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4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4" s="40">
        <v>0</v>
      </c>
      <c r="AB24" s="56">
        <v>0</v>
      </c>
      <c r="AC24" s="56">
        <v>0</v>
      </c>
      <c r="AD24" s="56">
        <v>120</v>
      </c>
      <c r="AE24" s="55" t="s">
        <v>60</v>
      </c>
      <c r="AF24" s="56">
        <v>0</v>
      </c>
      <c r="AG24" s="56">
        <v>0</v>
      </c>
      <c r="AH24" s="40">
        <f>IF(ISNUMBER(Tabella2[[#This Row],[Mean RADIAL stress  (MPa)]]), Tabella2[[#This Row],[Mean RADIAL stress  (MPa)]],"")</f>
        <v>0</v>
      </c>
      <c r="AI24" s="56">
        <f>IF(ISNUMBER(Tabella2[[#This Row],[Amplitute RADIAL stress  (MPa)]]), Tabella2[[#This Row],[Amplitute RADIAL stress  (MPa)]],"")</f>
        <v>0</v>
      </c>
      <c r="AJ24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4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18472.564803107984</v>
      </c>
      <c r="AL24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4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4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4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24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4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120</v>
      </c>
    </row>
    <row r="25" spans="1:43" s="53" customFormat="1" ht="20.100000000000001" customHeight="1" x14ac:dyDescent="0.25">
      <c r="A25" s="53" t="s">
        <v>65</v>
      </c>
      <c r="B25" s="53">
        <v>2023</v>
      </c>
      <c r="C25" s="53" t="s">
        <v>64</v>
      </c>
      <c r="D25" s="53" t="s">
        <v>91</v>
      </c>
      <c r="E25" s="53">
        <v>2327507</v>
      </c>
      <c r="F25" s="53" t="s">
        <v>20</v>
      </c>
      <c r="G25" s="53" t="s">
        <v>68</v>
      </c>
      <c r="H25" s="62" t="e" vm="6">
        <v>#VALUE!</v>
      </c>
      <c r="I25" s="53" t="s">
        <v>27</v>
      </c>
      <c r="J25" s="1" t="s">
        <v>32</v>
      </c>
      <c r="K25" s="53" t="s">
        <v>21</v>
      </c>
      <c r="L25" s="53" t="s">
        <v>21</v>
      </c>
      <c r="M25" s="53">
        <v>0</v>
      </c>
      <c r="N25" s="1">
        <v>14</v>
      </c>
      <c r="O25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25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25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25" s="62">
        <v>0</v>
      </c>
      <c r="S25" s="53">
        <v>0</v>
      </c>
      <c r="T25" s="1">
        <v>0</v>
      </c>
      <c r="U25" s="54">
        <v>150</v>
      </c>
      <c r="V25" s="55">
        <v>150</v>
      </c>
      <c r="W25" s="55">
        <v>150</v>
      </c>
      <c r="X25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5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5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5" s="40">
        <v>0</v>
      </c>
      <c r="AB25" s="56">
        <v>0</v>
      </c>
      <c r="AC25" s="56">
        <v>0</v>
      </c>
      <c r="AD25" s="56">
        <v>100</v>
      </c>
      <c r="AE25" s="55" t="s">
        <v>60</v>
      </c>
      <c r="AF25" s="56">
        <v>0</v>
      </c>
      <c r="AG25" s="56">
        <v>0</v>
      </c>
      <c r="AH25" s="40">
        <f>IF(ISNUMBER(Tabella2[[#This Row],[Mean RADIAL stress  (MPa)]]), Tabella2[[#This Row],[Mean RADIAL stress  (MPa)]],"")</f>
        <v>0</v>
      </c>
      <c r="AI25" s="56">
        <f>IF(ISNUMBER(Tabella2[[#This Row],[Amplitute RADIAL stress  (MPa)]]), Tabella2[[#This Row],[Amplitute RADIAL stress  (MPa)]],"")</f>
        <v>0</v>
      </c>
      <c r="AJ25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5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15393.804002589985</v>
      </c>
      <c r="AL25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5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5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5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25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5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100</v>
      </c>
    </row>
    <row r="26" spans="1:43" s="53" customFormat="1" ht="20.100000000000001" customHeight="1" x14ac:dyDescent="0.25">
      <c r="A26" s="53" t="s">
        <v>65</v>
      </c>
      <c r="B26" s="53">
        <v>2023</v>
      </c>
      <c r="C26" s="53" t="s">
        <v>64</v>
      </c>
      <c r="D26" s="53" t="s">
        <v>92</v>
      </c>
      <c r="E26" s="53">
        <v>5000000</v>
      </c>
      <c r="F26" s="53" t="s">
        <v>32</v>
      </c>
      <c r="G26" s="53" t="s">
        <v>68</v>
      </c>
      <c r="H26" s="62" t="e" vm="6">
        <v>#VALUE!</v>
      </c>
      <c r="I26" s="53" t="s">
        <v>27</v>
      </c>
      <c r="J26" s="1" t="s">
        <v>32</v>
      </c>
      <c r="K26" s="53" t="s">
        <v>21</v>
      </c>
      <c r="L26" s="53" t="s">
        <v>21</v>
      </c>
      <c r="M26" s="53">
        <v>0</v>
      </c>
      <c r="N26" s="1">
        <v>14</v>
      </c>
      <c r="O26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26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26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26" s="62">
        <v>0</v>
      </c>
      <c r="S26" s="53">
        <v>0</v>
      </c>
      <c r="T26" s="1">
        <v>0</v>
      </c>
      <c r="U26" s="54">
        <v>150</v>
      </c>
      <c r="V26" s="55">
        <v>150</v>
      </c>
      <c r="W26" s="55">
        <v>150</v>
      </c>
      <c r="X26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6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6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6" s="40">
        <v>0</v>
      </c>
      <c r="AB26" s="56">
        <v>0</v>
      </c>
      <c r="AC26" s="56">
        <v>0</v>
      </c>
      <c r="AD26" s="56">
        <v>100</v>
      </c>
      <c r="AE26" s="55" t="s">
        <v>60</v>
      </c>
      <c r="AF26" s="56">
        <v>0</v>
      </c>
      <c r="AG26" s="56">
        <v>0</v>
      </c>
      <c r="AH26" s="40">
        <f>IF(ISNUMBER(Tabella2[[#This Row],[Mean RADIAL stress  (MPa)]]), Tabella2[[#This Row],[Mean RADIAL stress  (MPa)]],"")</f>
        <v>0</v>
      </c>
      <c r="AI26" s="56">
        <f>IF(ISNUMBER(Tabella2[[#This Row],[Amplitute RADIAL stress  (MPa)]]), Tabella2[[#This Row],[Amplitute RADIAL stress  (MPa)]],"")</f>
        <v>0</v>
      </c>
      <c r="AJ26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6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15393.804002589985</v>
      </c>
      <c r="AL26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6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6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6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26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6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100</v>
      </c>
    </row>
    <row r="27" spans="1:43" s="53" customFormat="1" ht="20.100000000000001" customHeight="1" x14ac:dyDescent="0.25">
      <c r="A27" s="53" t="s">
        <v>65</v>
      </c>
      <c r="B27" s="53">
        <v>2023</v>
      </c>
      <c r="C27" s="53" t="s">
        <v>64</v>
      </c>
      <c r="D27" s="53" t="s">
        <v>93</v>
      </c>
      <c r="E27" s="53">
        <v>282475</v>
      </c>
      <c r="F27" s="53" t="s">
        <v>20</v>
      </c>
      <c r="G27" s="53" t="s">
        <v>68</v>
      </c>
      <c r="H27" s="62" t="e" vm="6">
        <v>#VALUE!</v>
      </c>
      <c r="I27" s="53" t="s">
        <v>27</v>
      </c>
      <c r="J27" s="1" t="s">
        <v>32</v>
      </c>
      <c r="K27" s="53" t="s">
        <v>21</v>
      </c>
      <c r="L27" s="53" t="s">
        <v>21</v>
      </c>
      <c r="M27" s="53">
        <v>0</v>
      </c>
      <c r="N27" s="1">
        <v>14</v>
      </c>
      <c r="O27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27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27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27" s="62">
        <v>0</v>
      </c>
      <c r="S27" s="53">
        <v>0</v>
      </c>
      <c r="T27" s="1">
        <v>0</v>
      </c>
      <c r="U27" s="54">
        <v>150</v>
      </c>
      <c r="V27" s="55">
        <v>150</v>
      </c>
      <c r="W27" s="55">
        <v>150</v>
      </c>
      <c r="X27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7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7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7" s="40">
        <v>0</v>
      </c>
      <c r="AB27" s="56">
        <v>0</v>
      </c>
      <c r="AC27" s="56">
        <v>0</v>
      </c>
      <c r="AD27" s="56">
        <v>140</v>
      </c>
      <c r="AE27" s="55" t="s">
        <v>60</v>
      </c>
      <c r="AF27" s="56">
        <v>0</v>
      </c>
      <c r="AG27" s="56">
        <v>0</v>
      </c>
      <c r="AH27" s="40">
        <f>IF(ISNUMBER(Tabella2[[#This Row],[Mean RADIAL stress  (MPa)]]), Tabella2[[#This Row],[Mean RADIAL stress  (MPa)]],"")</f>
        <v>0</v>
      </c>
      <c r="AI27" s="56">
        <f>IF(ISNUMBER(Tabella2[[#This Row],[Amplitute RADIAL stress  (MPa)]]), Tabella2[[#This Row],[Amplitute RADIAL stress  (MPa)]],"")</f>
        <v>0</v>
      </c>
      <c r="AJ27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7" s="56">
        <f>IF(ISNUMBER(Tabella2[[#This Row],[Amplitute AXIAL stress  (MPa)]]),    IF(Tabella2[[#This Row],[derived from (AXIAL/BENDING) load]]="AXIAL",Tabella2[[#This Row],[Amplitute AXIAL stress  (MPa)]]*Tabella2[[#This Row],[Area (mm^2)]],"Null"), "")</f>
        <v>21551.325603625981</v>
      </c>
      <c r="AL27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7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7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7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27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7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140</v>
      </c>
    </row>
    <row r="28" spans="1:43" s="53" customFormat="1" ht="20.100000000000001" customHeight="1" x14ac:dyDescent="0.25">
      <c r="A28" s="53" t="s">
        <v>65</v>
      </c>
      <c r="B28" s="53">
        <v>2023</v>
      </c>
      <c r="C28" s="53" t="s">
        <v>64</v>
      </c>
      <c r="D28" s="53" t="s">
        <v>94</v>
      </c>
      <c r="E28" s="53">
        <v>228978</v>
      </c>
      <c r="F28" s="53" t="s">
        <v>20</v>
      </c>
      <c r="G28" s="53" t="s">
        <v>68</v>
      </c>
      <c r="H28" s="62" t="e" vm="6">
        <v>#VALUE!</v>
      </c>
      <c r="I28" s="53" t="s">
        <v>27</v>
      </c>
      <c r="J28" s="1" t="s">
        <v>32</v>
      </c>
      <c r="K28" s="53" t="s">
        <v>21</v>
      </c>
      <c r="L28" s="53" t="s">
        <v>21</v>
      </c>
      <c r="M28" s="53">
        <v>0</v>
      </c>
      <c r="N28" s="1">
        <v>14</v>
      </c>
      <c r="O28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28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28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28" s="62">
        <v>0</v>
      </c>
      <c r="S28" s="53">
        <v>0</v>
      </c>
      <c r="T28" s="1">
        <v>0</v>
      </c>
      <c r="U28" s="54">
        <v>150</v>
      </c>
      <c r="V28" s="55">
        <v>150</v>
      </c>
      <c r="W28" s="55">
        <v>150</v>
      </c>
      <c r="X28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8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8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8" s="40">
        <v>0</v>
      </c>
      <c r="AB28" s="56">
        <v>0</v>
      </c>
      <c r="AC28" s="56">
        <v>0</v>
      </c>
      <c r="AD28" s="56">
        <v>140</v>
      </c>
      <c r="AE28" s="55" t="s">
        <v>60</v>
      </c>
      <c r="AF28" s="56">
        <v>0</v>
      </c>
      <c r="AG28" s="56">
        <v>0</v>
      </c>
      <c r="AH28" s="40">
        <f>IF(ISNUMBER(Tabella2[[#This Row],[Mean RADIAL stress  (MPa)]]), Tabella2[[#This Row],[Mean RADIAL stress  (MPa)]],"")</f>
        <v>0</v>
      </c>
      <c r="AI28" s="56">
        <f>IF(ISNUMBER(Tabella2[[#This Row],[Amplitute RADIAL stress  (MPa)]]), Tabella2[[#This Row],[Amplitute RADIAL stress  (MPa)]],"")</f>
        <v>0</v>
      </c>
      <c r="AJ28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8" s="56">
        <f>IF(ISNUMBER(Tabella2[[#This Row],[Amplitute AXIAL stress  (MPa)]]),    IF(Tabella2[[#This Row],[derived from (AXIAL/BENDING) load]]="AXIAL",Tabella2[[#This Row],[Amplitute AXIAL stress  (MPa)]]*Tabella2[[#This Row],[Area (mm^2)]],"Null"), "")</f>
        <v>21551.325603625981</v>
      </c>
      <c r="AL28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8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8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8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28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8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140</v>
      </c>
    </row>
    <row r="29" spans="1:43" s="53" customFormat="1" ht="20.100000000000001" customHeight="1" x14ac:dyDescent="0.25">
      <c r="A29" s="53" t="s">
        <v>65</v>
      </c>
      <c r="B29" s="53">
        <v>2023</v>
      </c>
      <c r="C29" s="53" t="s">
        <v>64</v>
      </c>
      <c r="D29" s="53" t="s">
        <v>95</v>
      </c>
      <c r="E29" s="53">
        <v>5000000</v>
      </c>
      <c r="F29" s="53" t="s">
        <v>32</v>
      </c>
      <c r="G29" s="53" t="s">
        <v>68</v>
      </c>
      <c r="H29" s="62" t="e" vm="6">
        <v>#VALUE!</v>
      </c>
      <c r="I29" s="53" t="s">
        <v>27</v>
      </c>
      <c r="J29" s="1" t="s">
        <v>32</v>
      </c>
      <c r="K29" s="53" t="s">
        <v>21</v>
      </c>
      <c r="L29" s="53" t="s">
        <v>21</v>
      </c>
      <c r="M29" s="53">
        <v>0</v>
      </c>
      <c r="N29" s="1">
        <v>14</v>
      </c>
      <c r="O29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29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29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29" s="62">
        <v>0</v>
      </c>
      <c r="S29" s="53">
        <v>0</v>
      </c>
      <c r="T29" s="1">
        <v>0</v>
      </c>
      <c r="U29" s="54">
        <v>150</v>
      </c>
      <c r="V29" s="55">
        <v>150</v>
      </c>
      <c r="W29" s="55">
        <v>150</v>
      </c>
      <c r="X29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9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9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9" s="40">
        <v>0</v>
      </c>
      <c r="AB29" s="56">
        <v>0</v>
      </c>
      <c r="AC29" s="56">
        <v>0</v>
      </c>
      <c r="AD29" s="56">
        <v>90</v>
      </c>
      <c r="AE29" s="55" t="s">
        <v>60</v>
      </c>
      <c r="AF29" s="56">
        <v>0</v>
      </c>
      <c r="AG29" s="56">
        <v>0</v>
      </c>
      <c r="AH29" s="40">
        <f>IF(ISNUMBER(Tabella2[[#This Row],[Mean RADIAL stress  (MPa)]]), Tabella2[[#This Row],[Mean RADIAL stress  (MPa)]],"")</f>
        <v>0</v>
      </c>
      <c r="AI29" s="56">
        <f>IF(ISNUMBER(Tabella2[[#This Row],[Amplitute RADIAL stress  (MPa)]]), Tabella2[[#This Row],[Amplitute RADIAL stress  (MPa)]],"")</f>
        <v>0</v>
      </c>
      <c r="AJ29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9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13854.423602330986</v>
      </c>
      <c r="AL29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9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9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9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29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9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90</v>
      </c>
    </row>
    <row r="30" spans="1:43" s="53" customFormat="1" ht="20.100000000000001" customHeight="1" x14ac:dyDescent="0.25">
      <c r="A30" s="53" t="s">
        <v>65</v>
      </c>
      <c r="B30" s="53">
        <v>2023</v>
      </c>
      <c r="C30" s="53" t="s">
        <v>64</v>
      </c>
      <c r="D30" s="53" t="s">
        <v>96</v>
      </c>
      <c r="E30" s="53">
        <v>4701773</v>
      </c>
      <c r="F30" s="53" t="s">
        <v>20</v>
      </c>
      <c r="G30" s="53" t="s">
        <v>68</v>
      </c>
      <c r="H30" s="62" t="e" vm="7">
        <v>#VALUE!</v>
      </c>
      <c r="I30" s="53" t="s">
        <v>27</v>
      </c>
      <c r="J30" s="1" t="s">
        <v>32</v>
      </c>
      <c r="K30" s="53" t="s">
        <v>21</v>
      </c>
      <c r="L30" s="53" t="s">
        <v>21</v>
      </c>
      <c r="M30" s="53">
        <v>0</v>
      </c>
      <c r="N30" s="1">
        <v>14</v>
      </c>
      <c r="O30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30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30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30" s="62">
        <v>0</v>
      </c>
      <c r="S30" s="53">
        <v>0</v>
      </c>
      <c r="T30" s="1">
        <v>0</v>
      </c>
      <c r="U30" s="54">
        <v>150</v>
      </c>
      <c r="V30" s="55">
        <v>150</v>
      </c>
      <c r="W30" s="55">
        <v>150</v>
      </c>
      <c r="X30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0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30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0" s="40">
        <v>0</v>
      </c>
      <c r="AB30" s="56">
        <v>0</v>
      </c>
      <c r="AC30" s="56">
        <v>0</v>
      </c>
      <c r="AD30" s="56">
        <v>95</v>
      </c>
      <c r="AE30" s="55" t="s">
        <v>60</v>
      </c>
      <c r="AF30" s="56">
        <v>0</v>
      </c>
      <c r="AG30" s="56">
        <v>0</v>
      </c>
      <c r="AH30" s="40">
        <f>IF(ISNUMBER(Tabella2[[#This Row],[Mean RADIAL stress  (MPa)]]), Tabella2[[#This Row],[Mean RADIAL stress  (MPa)]],"")</f>
        <v>0</v>
      </c>
      <c r="AI30" s="56">
        <f>IF(ISNUMBER(Tabella2[[#This Row],[Amplitute RADIAL stress  (MPa)]]), Tabella2[[#This Row],[Amplitute RADIAL stress  (MPa)]],"")</f>
        <v>0</v>
      </c>
      <c r="AJ30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0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14624.113802460486</v>
      </c>
      <c r="AL30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0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0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0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30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0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95</v>
      </c>
    </row>
    <row r="31" spans="1:43" s="53" customFormat="1" ht="20.100000000000001" customHeight="1" x14ac:dyDescent="0.25">
      <c r="A31" s="53" t="s">
        <v>65</v>
      </c>
      <c r="B31" s="53">
        <v>2023</v>
      </c>
      <c r="C31" s="53" t="s">
        <v>64</v>
      </c>
      <c r="D31" s="53" t="s">
        <v>97</v>
      </c>
      <c r="E31" s="53">
        <v>5000000</v>
      </c>
      <c r="F31" s="53" t="s">
        <v>32</v>
      </c>
      <c r="G31" s="53" t="s">
        <v>68</v>
      </c>
      <c r="H31" s="62" t="e" vm="6">
        <v>#VALUE!</v>
      </c>
      <c r="I31" s="53" t="s">
        <v>27</v>
      </c>
      <c r="J31" s="1" t="s">
        <v>32</v>
      </c>
      <c r="K31" s="53" t="s">
        <v>21</v>
      </c>
      <c r="L31" s="53" t="s">
        <v>21</v>
      </c>
      <c r="M31" s="53">
        <v>0</v>
      </c>
      <c r="N31" s="1">
        <v>14</v>
      </c>
      <c r="O31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31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31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31" s="62">
        <v>0</v>
      </c>
      <c r="S31" s="53">
        <v>0</v>
      </c>
      <c r="T31" s="1">
        <v>0</v>
      </c>
      <c r="U31" s="54">
        <v>150</v>
      </c>
      <c r="V31" s="55">
        <v>150</v>
      </c>
      <c r="W31" s="55">
        <v>150</v>
      </c>
      <c r="X31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1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31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1" s="40">
        <v>0</v>
      </c>
      <c r="AB31" s="56">
        <v>0</v>
      </c>
      <c r="AC31" s="56">
        <v>0</v>
      </c>
      <c r="AD31" s="56">
        <v>90</v>
      </c>
      <c r="AE31" s="55" t="s">
        <v>60</v>
      </c>
      <c r="AF31" s="56">
        <v>0</v>
      </c>
      <c r="AG31" s="56">
        <v>0</v>
      </c>
      <c r="AH31" s="40">
        <f>IF(ISNUMBER(Tabella2[[#This Row],[Mean RADIAL stress  (MPa)]]), Tabella2[[#This Row],[Mean RADIAL stress  (MPa)]],"")</f>
        <v>0</v>
      </c>
      <c r="AI31" s="56">
        <f>IF(ISNUMBER(Tabella2[[#This Row],[Amplitute RADIAL stress  (MPa)]]), Tabella2[[#This Row],[Amplitute RADIAL stress  (MPa)]],"")</f>
        <v>0</v>
      </c>
      <c r="AJ31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1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13854.423602330986</v>
      </c>
      <c r="AL31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1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1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1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31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1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90</v>
      </c>
    </row>
    <row r="32" spans="1:43" s="53" customFormat="1" ht="20.100000000000001" customHeight="1" x14ac:dyDescent="0.25">
      <c r="A32" s="53" t="s">
        <v>65</v>
      </c>
      <c r="B32" s="53">
        <v>2023</v>
      </c>
      <c r="C32" s="53" t="s">
        <v>64</v>
      </c>
      <c r="D32" s="53" t="s">
        <v>98</v>
      </c>
      <c r="E32" s="53">
        <v>417018</v>
      </c>
      <c r="F32" s="53" t="s">
        <v>20</v>
      </c>
      <c r="G32" s="53" t="s">
        <v>68</v>
      </c>
      <c r="H32" s="62" t="e" vm="6">
        <v>#VALUE!</v>
      </c>
      <c r="I32" s="53" t="s">
        <v>27</v>
      </c>
      <c r="J32" s="1" t="s">
        <v>32</v>
      </c>
      <c r="K32" s="53" t="s">
        <v>21</v>
      </c>
      <c r="L32" s="53" t="s">
        <v>21</v>
      </c>
      <c r="M32" s="53">
        <v>0</v>
      </c>
      <c r="N32" s="1">
        <v>14</v>
      </c>
      <c r="O32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32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32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32" s="62">
        <v>0</v>
      </c>
      <c r="S32" s="53">
        <v>0</v>
      </c>
      <c r="T32" s="1">
        <v>0</v>
      </c>
      <c r="U32" s="54">
        <v>150</v>
      </c>
      <c r="V32" s="55">
        <v>150</v>
      </c>
      <c r="W32" s="55">
        <v>150</v>
      </c>
      <c r="X32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2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32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2" s="40">
        <v>0</v>
      </c>
      <c r="AB32" s="56">
        <v>0</v>
      </c>
      <c r="AC32" s="56">
        <v>0</v>
      </c>
      <c r="AD32" s="56">
        <v>120</v>
      </c>
      <c r="AE32" s="55" t="s">
        <v>60</v>
      </c>
      <c r="AF32" s="56">
        <v>0</v>
      </c>
      <c r="AG32" s="56">
        <v>0</v>
      </c>
      <c r="AH32" s="40">
        <f>IF(ISNUMBER(Tabella2[[#This Row],[Mean RADIAL stress  (MPa)]]), Tabella2[[#This Row],[Mean RADIAL stress  (MPa)]],"")</f>
        <v>0</v>
      </c>
      <c r="AI32" s="56">
        <f>IF(ISNUMBER(Tabella2[[#This Row],[Amplitute RADIAL stress  (MPa)]]), Tabella2[[#This Row],[Amplitute RADIAL stress  (MPa)]],"")</f>
        <v>0</v>
      </c>
      <c r="AJ32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2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18472.564803107984</v>
      </c>
      <c r="AL32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2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2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2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32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2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120</v>
      </c>
    </row>
    <row r="33" spans="1:43" s="53" customFormat="1" ht="20.100000000000001" customHeight="1" x14ac:dyDescent="0.25">
      <c r="A33" s="53" t="s">
        <v>65</v>
      </c>
      <c r="B33" s="53">
        <v>2023</v>
      </c>
      <c r="C33" s="53" t="s">
        <v>64</v>
      </c>
      <c r="D33" s="53" t="s">
        <v>99</v>
      </c>
      <c r="E33" s="53">
        <v>273662</v>
      </c>
      <c r="F33" s="53" t="s">
        <v>20</v>
      </c>
      <c r="G33" s="53" t="s">
        <v>68</v>
      </c>
      <c r="H33" s="62" t="e" vm="6">
        <v>#VALUE!</v>
      </c>
      <c r="I33" s="53" t="s">
        <v>27</v>
      </c>
      <c r="J33" s="1" t="s">
        <v>32</v>
      </c>
      <c r="K33" s="53" t="s">
        <v>21</v>
      </c>
      <c r="L33" s="53" t="s">
        <v>21</v>
      </c>
      <c r="M33" s="53">
        <v>0</v>
      </c>
      <c r="N33" s="1">
        <v>14</v>
      </c>
      <c r="O33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33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33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33" s="62">
        <v>0</v>
      </c>
      <c r="S33" s="53">
        <v>0</v>
      </c>
      <c r="T33" s="1">
        <v>0</v>
      </c>
      <c r="U33" s="54">
        <v>150</v>
      </c>
      <c r="V33" s="55">
        <v>150</v>
      </c>
      <c r="W33" s="55">
        <v>150</v>
      </c>
      <c r="X33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3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33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3" s="40">
        <v>0</v>
      </c>
      <c r="AB33" s="56">
        <v>0</v>
      </c>
      <c r="AC33" s="56">
        <v>0</v>
      </c>
      <c r="AD33" s="56">
        <v>140</v>
      </c>
      <c r="AE33" s="55" t="s">
        <v>60</v>
      </c>
      <c r="AF33" s="56">
        <v>0</v>
      </c>
      <c r="AG33" s="56">
        <v>0</v>
      </c>
      <c r="AH33" s="40">
        <f>IF(ISNUMBER(Tabella2[[#This Row],[Mean RADIAL stress  (MPa)]]), Tabella2[[#This Row],[Mean RADIAL stress  (MPa)]],"")</f>
        <v>0</v>
      </c>
      <c r="AI33" s="56">
        <f>IF(ISNUMBER(Tabella2[[#This Row],[Amplitute RADIAL stress  (MPa)]]), Tabella2[[#This Row],[Amplitute RADIAL stress  (MPa)]],"")</f>
        <v>0</v>
      </c>
      <c r="AJ33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3" s="56">
        <f>IF(ISNUMBER(Tabella2[[#This Row],[Amplitute AXIAL stress  (MPa)]]),    IF(Tabella2[[#This Row],[derived from (AXIAL/BENDING) load]]="AXIAL",Tabella2[[#This Row],[Amplitute AXIAL stress  (MPa)]]*Tabella2[[#This Row],[Area (mm^2)]],"Null"), "")</f>
        <v>21551.325603625981</v>
      </c>
      <c r="AL33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3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3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3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33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3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140</v>
      </c>
    </row>
    <row r="34" spans="1:43" s="53" customFormat="1" ht="20.100000000000001" customHeight="1" x14ac:dyDescent="0.25">
      <c r="A34" s="53" t="s">
        <v>65</v>
      </c>
      <c r="B34" s="53">
        <v>2023</v>
      </c>
      <c r="C34" s="53" t="s">
        <v>64</v>
      </c>
      <c r="D34" s="53" t="s">
        <v>100</v>
      </c>
      <c r="E34" s="53">
        <v>100000</v>
      </c>
      <c r="F34" s="53" t="s">
        <v>20</v>
      </c>
      <c r="G34" s="53" t="s">
        <v>68</v>
      </c>
      <c r="H34" s="62" t="e" vm="6">
        <v>#VALUE!</v>
      </c>
      <c r="I34" s="53" t="s">
        <v>27</v>
      </c>
      <c r="J34" s="1" t="s">
        <v>32</v>
      </c>
      <c r="K34" s="53" t="s">
        <v>21</v>
      </c>
      <c r="L34" s="53" t="s">
        <v>21</v>
      </c>
      <c r="M34" s="53">
        <v>0</v>
      </c>
      <c r="N34" s="1">
        <v>14</v>
      </c>
      <c r="O34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34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34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34" s="62">
        <v>0</v>
      </c>
      <c r="S34" s="53">
        <v>0</v>
      </c>
      <c r="T34" s="1">
        <v>0</v>
      </c>
      <c r="U34" s="54">
        <v>150</v>
      </c>
      <c r="V34" s="55">
        <v>150</v>
      </c>
      <c r="W34" s="55">
        <v>150</v>
      </c>
      <c r="X34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4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34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4" s="40">
        <v>0</v>
      </c>
      <c r="AB34" s="56">
        <v>0</v>
      </c>
      <c r="AC34" s="56">
        <v>0</v>
      </c>
      <c r="AD34" s="56">
        <v>160</v>
      </c>
      <c r="AE34" s="55" t="s">
        <v>60</v>
      </c>
      <c r="AF34" s="56">
        <v>0</v>
      </c>
      <c r="AG34" s="56">
        <v>0</v>
      </c>
      <c r="AH34" s="40">
        <f>IF(ISNUMBER(Tabella2[[#This Row],[Mean RADIAL stress  (MPa)]]), Tabella2[[#This Row],[Mean RADIAL stress  (MPa)]],"")</f>
        <v>0</v>
      </c>
      <c r="AI34" s="56">
        <f>IF(ISNUMBER(Tabella2[[#This Row],[Amplitute RADIAL stress  (MPa)]]), Tabella2[[#This Row],[Amplitute RADIAL stress  (MPa)]],"")</f>
        <v>0</v>
      </c>
      <c r="AJ34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4" s="56">
        <f>IF(ISNUMBER(Tabella2[[#This Row],[Amplitute AXIAL stress  (MPa)]]),    IF(Tabella2[[#This Row],[derived from (AXIAL/BENDING) load]]="AXIAL",Tabella2[[#This Row],[Amplitute AXIAL stress  (MPa)]]*Tabella2[[#This Row],[Area (mm^2)]],"Null"), "")</f>
        <v>24630.086404143978</v>
      </c>
      <c r="AL34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4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4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4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34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4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160</v>
      </c>
    </row>
    <row r="35" spans="1:43" s="53" customFormat="1" ht="20.100000000000001" customHeight="1" x14ac:dyDescent="0.25">
      <c r="A35" s="53" t="s">
        <v>65</v>
      </c>
      <c r="B35" s="53">
        <v>2023</v>
      </c>
      <c r="C35" s="53" t="s">
        <v>64</v>
      </c>
      <c r="D35" s="53" t="s">
        <v>101</v>
      </c>
      <c r="E35" s="53">
        <v>682557</v>
      </c>
      <c r="F35" s="53" t="s">
        <v>20</v>
      </c>
      <c r="G35" s="53" t="s">
        <v>68</v>
      </c>
      <c r="H35" s="62" t="e" vm="8">
        <v>#VALUE!</v>
      </c>
      <c r="I35" s="53" t="s">
        <v>27</v>
      </c>
      <c r="J35" s="1" t="s">
        <v>32</v>
      </c>
      <c r="K35" s="53" t="s">
        <v>21</v>
      </c>
      <c r="L35" s="53" t="s">
        <v>21</v>
      </c>
      <c r="M35" s="53">
        <v>0</v>
      </c>
      <c r="N35" s="1">
        <v>14</v>
      </c>
      <c r="O35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35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35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35" s="62">
        <v>0</v>
      </c>
      <c r="S35" s="53">
        <v>0</v>
      </c>
      <c r="T35" s="1">
        <v>0</v>
      </c>
      <c r="U35" s="54">
        <v>150</v>
      </c>
      <c r="V35" s="55">
        <v>150</v>
      </c>
      <c r="W35" s="55">
        <v>150</v>
      </c>
      <c r="X35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5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0.10000000000000002</v>
      </c>
      <c r="Z35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5" s="40">
        <v>0</v>
      </c>
      <c r="AB35" s="56">
        <v>0</v>
      </c>
      <c r="AC35" s="56">
        <v>85.555555555555557</v>
      </c>
      <c r="AD35" s="56">
        <v>70</v>
      </c>
      <c r="AE35" s="55" t="s">
        <v>60</v>
      </c>
      <c r="AF35" s="56">
        <v>0</v>
      </c>
      <c r="AG35" s="56">
        <v>0</v>
      </c>
      <c r="AH35" s="40">
        <f>IF(ISNUMBER(Tabella2[[#This Row],[Mean RADIAL stress  (MPa)]]), Tabella2[[#This Row],[Mean RADIAL stress  (MPa)]],"")</f>
        <v>0</v>
      </c>
      <c r="AI35" s="56">
        <f>IF(ISNUMBER(Tabella2[[#This Row],[Amplitute RADIAL stress  (MPa)]]), Tabella2[[#This Row],[Amplitute RADIAL stress  (MPa)]],"")</f>
        <v>0</v>
      </c>
      <c r="AJ35" s="56">
        <f>IF(ISNUMBER(Tabella2[[#This Row],[Mean AXIAL stress  (MPa)]]), IF(Tabella2[[#This Row],[derived from (AXIAL/BENDING) load]]="AXIAL",Tabella2[[#This Row],[Mean AXIAL stress  (MPa)]]*Tabella2[[#This Row],[Area (mm^2)]],"Null"), "")</f>
        <v>13170.254535549209</v>
      </c>
      <c r="AK35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10775.66280181299</v>
      </c>
      <c r="AL35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5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5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5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35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5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70</v>
      </c>
    </row>
    <row r="36" spans="1:43" s="53" customFormat="1" ht="20.100000000000001" customHeight="1" x14ac:dyDescent="0.25">
      <c r="A36" s="53" t="s">
        <v>65</v>
      </c>
      <c r="B36" s="53">
        <v>2023</v>
      </c>
      <c r="C36" s="53" t="s">
        <v>64</v>
      </c>
      <c r="D36" s="53" t="s">
        <v>102</v>
      </c>
      <c r="E36" s="53">
        <v>2204029</v>
      </c>
      <c r="F36" s="53" t="s">
        <v>20</v>
      </c>
      <c r="G36" s="53" t="s">
        <v>68</v>
      </c>
      <c r="H36" s="62" t="e" vm="9">
        <v>#VALUE!</v>
      </c>
      <c r="I36" s="53" t="s">
        <v>27</v>
      </c>
      <c r="J36" s="1" t="s">
        <v>32</v>
      </c>
      <c r="K36" s="53" t="s">
        <v>21</v>
      </c>
      <c r="L36" s="53" t="s">
        <v>21</v>
      </c>
      <c r="M36" s="53">
        <v>0</v>
      </c>
      <c r="N36" s="1">
        <v>14</v>
      </c>
      <c r="O36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36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36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36" s="62">
        <v>0</v>
      </c>
      <c r="S36" s="53">
        <v>0</v>
      </c>
      <c r="T36" s="1">
        <v>0</v>
      </c>
      <c r="U36" s="54">
        <v>150</v>
      </c>
      <c r="V36" s="55">
        <v>150</v>
      </c>
      <c r="W36" s="55">
        <v>150</v>
      </c>
      <c r="X36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6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9.9999999999999978E-2</v>
      </c>
      <c r="Z36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6" s="40">
        <v>0</v>
      </c>
      <c r="AB36" s="56">
        <v>0</v>
      </c>
      <c r="AC36" s="56">
        <v>73.333333333333329</v>
      </c>
      <c r="AD36" s="56">
        <v>60</v>
      </c>
      <c r="AE36" s="55" t="s">
        <v>60</v>
      </c>
      <c r="AF36" s="56">
        <v>0</v>
      </c>
      <c r="AG36" s="56">
        <v>0</v>
      </c>
      <c r="AH36" s="40">
        <f>IF(ISNUMBER(Tabella2[[#This Row],[Mean RADIAL stress  (MPa)]]), Tabella2[[#This Row],[Mean RADIAL stress  (MPa)]],"")</f>
        <v>0</v>
      </c>
      <c r="AI36" s="56">
        <f>IF(ISNUMBER(Tabella2[[#This Row],[Amplitute RADIAL stress  (MPa)]]), Tabella2[[#This Row],[Amplitute RADIAL stress  (MPa)]],"")</f>
        <v>0</v>
      </c>
      <c r="AJ36" s="56">
        <f>IF(ISNUMBER(Tabella2[[#This Row],[Mean AXIAL stress  (MPa)]]), IF(Tabella2[[#This Row],[derived from (AXIAL/BENDING) load]]="AXIAL",Tabella2[[#This Row],[Mean AXIAL stress  (MPa)]]*Tabella2[[#This Row],[Area (mm^2)]],"Null"), "")</f>
        <v>11288.789601899321</v>
      </c>
      <c r="AK36" s="56">
        <f>IF(ISNUMBER(Tabella2[[#This Row],[Amplitute AXIAL stress  (MPa)]]),    IF(Tabella2[[#This Row],[derived from (AXIAL/BENDING) load]]="AXIAL",Tabella2[[#This Row],[Amplitute AXIAL stress  (MPa)]]*Tabella2[[#This Row],[Area (mm^2)]],"Null"), "")</f>
        <v>9236.2824015539918</v>
      </c>
      <c r="AL36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6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6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6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36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6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60</v>
      </c>
    </row>
    <row r="37" spans="1:43" s="53" customFormat="1" ht="20.100000000000001" customHeight="1" x14ac:dyDescent="0.25">
      <c r="A37" s="53" t="s">
        <v>65</v>
      </c>
      <c r="B37" s="53">
        <v>2023</v>
      </c>
      <c r="C37" s="53" t="s">
        <v>64</v>
      </c>
      <c r="D37" s="53" t="s">
        <v>103</v>
      </c>
      <c r="E37" s="53">
        <v>5000000</v>
      </c>
      <c r="F37" s="53" t="s">
        <v>32</v>
      </c>
      <c r="G37" s="53" t="s">
        <v>68</v>
      </c>
      <c r="H37" s="62" t="e" vm="9">
        <v>#VALUE!</v>
      </c>
      <c r="I37" s="53" t="s">
        <v>27</v>
      </c>
      <c r="J37" s="1" t="s">
        <v>32</v>
      </c>
      <c r="K37" s="53" t="s">
        <v>21</v>
      </c>
      <c r="L37" s="53" t="s">
        <v>21</v>
      </c>
      <c r="M37" s="53">
        <v>0</v>
      </c>
      <c r="N37" s="1">
        <v>14</v>
      </c>
      <c r="O37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37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37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37" s="62">
        <v>0</v>
      </c>
      <c r="S37" s="53">
        <v>0</v>
      </c>
      <c r="T37" s="1">
        <v>0</v>
      </c>
      <c r="U37" s="54">
        <v>150</v>
      </c>
      <c r="V37" s="55">
        <v>150</v>
      </c>
      <c r="W37" s="55">
        <v>150</v>
      </c>
      <c r="X37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7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9.9999999999999978E-2</v>
      </c>
      <c r="Z37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7" s="40">
        <v>0</v>
      </c>
      <c r="AB37" s="56">
        <v>0</v>
      </c>
      <c r="AC37" s="56">
        <v>73.333333333333329</v>
      </c>
      <c r="AD37" s="56">
        <v>60</v>
      </c>
      <c r="AE37" s="55" t="s">
        <v>60</v>
      </c>
      <c r="AF37" s="56">
        <v>0</v>
      </c>
      <c r="AG37" s="56">
        <v>0</v>
      </c>
      <c r="AH37" s="40">
        <f>IF(ISNUMBER(Tabella2[[#This Row],[Mean RADIAL stress  (MPa)]]), Tabella2[[#This Row],[Mean RADIAL stress  (MPa)]],"")</f>
        <v>0</v>
      </c>
      <c r="AI37" s="56">
        <f>IF(ISNUMBER(Tabella2[[#This Row],[Amplitute RADIAL stress  (MPa)]]), Tabella2[[#This Row],[Amplitute RADIAL stress  (MPa)]],"")</f>
        <v>0</v>
      </c>
      <c r="AJ37" s="56">
        <f>IF(ISNUMBER(Tabella2[[#This Row],[Mean AXIAL stress  (MPa)]]), IF(Tabella2[[#This Row],[derived from (AXIAL/BENDING) load]]="AXIAL",Tabella2[[#This Row],[Mean AXIAL stress  (MPa)]]*Tabella2[[#This Row],[Area (mm^2)]],"Null"), "")</f>
        <v>11288.789601899321</v>
      </c>
      <c r="AK37" s="56">
        <f>IF(ISNUMBER(Tabella2[[#This Row],[Amplitute AXIAL stress  (MPa)]]),    IF(Tabella2[[#This Row],[derived from (AXIAL/BENDING) load]]="AXIAL",Tabella2[[#This Row],[Amplitute AXIAL stress  (MPa)]]*Tabella2[[#This Row],[Area (mm^2)]],"Null"), "")</f>
        <v>9236.2824015539918</v>
      </c>
      <c r="AL37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7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7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7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37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7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60</v>
      </c>
    </row>
    <row r="38" spans="1:43" s="53" customFormat="1" ht="20.100000000000001" customHeight="1" x14ac:dyDescent="0.25">
      <c r="A38" s="53" t="s">
        <v>65</v>
      </c>
      <c r="B38" s="53">
        <v>2023</v>
      </c>
      <c r="C38" s="53" t="s">
        <v>64</v>
      </c>
      <c r="D38" s="53" t="s">
        <v>104</v>
      </c>
      <c r="E38" s="53">
        <v>454439</v>
      </c>
      <c r="F38" s="53" t="s">
        <v>20</v>
      </c>
      <c r="G38" s="53" t="s">
        <v>68</v>
      </c>
      <c r="H38" s="62" t="e" vm="9">
        <v>#VALUE!</v>
      </c>
      <c r="I38" s="53" t="s">
        <v>27</v>
      </c>
      <c r="J38" s="1" t="s">
        <v>32</v>
      </c>
      <c r="K38" s="53" t="s">
        <v>21</v>
      </c>
      <c r="L38" s="53" t="s">
        <v>21</v>
      </c>
      <c r="M38" s="53">
        <v>0</v>
      </c>
      <c r="N38" s="1">
        <v>14</v>
      </c>
      <c r="O38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38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38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38" s="62">
        <v>0</v>
      </c>
      <c r="S38" s="53">
        <v>0</v>
      </c>
      <c r="T38" s="1">
        <v>0</v>
      </c>
      <c r="U38" s="54">
        <v>150</v>
      </c>
      <c r="V38" s="55">
        <v>150</v>
      </c>
      <c r="W38" s="55">
        <v>150</v>
      </c>
      <c r="X38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8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0.10000000000000002</v>
      </c>
      <c r="Z38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8" s="40">
        <v>0</v>
      </c>
      <c r="AB38" s="56">
        <v>0</v>
      </c>
      <c r="AC38" s="56">
        <v>85.555555555555557</v>
      </c>
      <c r="AD38" s="56">
        <v>70</v>
      </c>
      <c r="AE38" s="55" t="s">
        <v>60</v>
      </c>
      <c r="AF38" s="56">
        <v>0</v>
      </c>
      <c r="AG38" s="56">
        <v>0</v>
      </c>
      <c r="AH38" s="40">
        <f>IF(ISNUMBER(Tabella2[[#This Row],[Mean RADIAL stress  (MPa)]]), Tabella2[[#This Row],[Mean RADIAL stress  (MPa)]],"")</f>
        <v>0</v>
      </c>
      <c r="AI38" s="56">
        <f>IF(ISNUMBER(Tabella2[[#This Row],[Amplitute RADIAL stress  (MPa)]]), Tabella2[[#This Row],[Amplitute RADIAL stress  (MPa)]],"")</f>
        <v>0</v>
      </c>
      <c r="AJ38" s="56">
        <f>IF(ISNUMBER(Tabella2[[#This Row],[Mean AXIAL stress  (MPa)]]), IF(Tabella2[[#This Row],[derived from (AXIAL/BENDING) load]]="AXIAL",Tabella2[[#This Row],[Mean AXIAL stress  (MPa)]]*Tabella2[[#This Row],[Area (mm^2)]],"Null"), "")</f>
        <v>13170.254535549209</v>
      </c>
      <c r="AK38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10775.66280181299</v>
      </c>
      <c r="AL38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8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8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8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38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8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70</v>
      </c>
    </row>
    <row r="39" spans="1:43" s="53" customFormat="1" ht="20.100000000000001" customHeight="1" x14ac:dyDescent="0.25">
      <c r="A39" s="53" t="s">
        <v>65</v>
      </c>
      <c r="B39" s="53">
        <v>2023</v>
      </c>
      <c r="C39" s="53" t="s">
        <v>64</v>
      </c>
      <c r="D39" s="53" t="s">
        <v>105</v>
      </c>
      <c r="E39" s="53">
        <v>2265509</v>
      </c>
      <c r="F39" s="53" t="s">
        <v>20</v>
      </c>
      <c r="G39" s="53" t="s">
        <v>68</v>
      </c>
      <c r="H39" s="62" t="e" vm="9">
        <v>#VALUE!</v>
      </c>
      <c r="I39" s="53" t="s">
        <v>27</v>
      </c>
      <c r="J39" s="1" t="s">
        <v>32</v>
      </c>
      <c r="K39" s="53" t="s">
        <v>21</v>
      </c>
      <c r="L39" s="53" t="s">
        <v>21</v>
      </c>
      <c r="M39" s="53">
        <v>0</v>
      </c>
      <c r="N39" s="1">
        <v>14</v>
      </c>
      <c r="O39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39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39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39" s="62">
        <v>0</v>
      </c>
      <c r="S39" s="53">
        <v>0</v>
      </c>
      <c r="T39" s="1">
        <v>0</v>
      </c>
      <c r="U39" s="54">
        <v>150</v>
      </c>
      <c r="V39" s="55">
        <v>150</v>
      </c>
      <c r="W39" s="55">
        <v>150</v>
      </c>
      <c r="X39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9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9.9999999999999978E-2</v>
      </c>
      <c r="Z39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9" s="40">
        <v>0</v>
      </c>
      <c r="AB39" s="56">
        <v>0</v>
      </c>
      <c r="AC39" s="56">
        <v>73.333333333333329</v>
      </c>
      <c r="AD39" s="56">
        <v>60</v>
      </c>
      <c r="AE39" s="55" t="s">
        <v>60</v>
      </c>
      <c r="AF39" s="56">
        <v>0</v>
      </c>
      <c r="AG39" s="56">
        <v>0</v>
      </c>
      <c r="AH39" s="40">
        <f>IF(ISNUMBER(Tabella2[[#This Row],[Mean RADIAL stress  (MPa)]]), Tabella2[[#This Row],[Mean RADIAL stress  (MPa)]],"")</f>
        <v>0</v>
      </c>
      <c r="AI39" s="56">
        <f>IF(ISNUMBER(Tabella2[[#This Row],[Amplitute RADIAL stress  (MPa)]]), Tabella2[[#This Row],[Amplitute RADIAL stress  (MPa)]],"")</f>
        <v>0</v>
      </c>
      <c r="AJ39" s="56">
        <f>IF(ISNUMBER(Tabella2[[#This Row],[Mean AXIAL stress  (MPa)]]), IF(Tabella2[[#This Row],[derived from (AXIAL/BENDING) load]]="AXIAL",Tabella2[[#This Row],[Mean AXIAL stress  (MPa)]]*Tabella2[[#This Row],[Area (mm^2)]],"Null"), "")</f>
        <v>11288.789601899321</v>
      </c>
      <c r="AK39" s="56">
        <f>IF(ISNUMBER(Tabella2[[#This Row],[Amplitute AXIAL stress  (MPa)]]),    IF(Tabella2[[#This Row],[derived from (AXIAL/BENDING) load]]="AXIAL",Tabella2[[#This Row],[Amplitute AXIAL stress  (MPa)]]*Tabella2[[#This Row],[Area (mm^2)]],"Null"), "")</f>
        <v>9236.2824015539918</v>
      </c>
      <c r="AL39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9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9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9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39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9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60</v>
      </c>
    </row>
    <row r="40" spans="1:43" s="53" customFormat="1" ht="20.100000000000001" customHeight="1" x14ac:dyDescent="0.25">
      <c r="A40" s="53" t="s">
        <v>65</v>
      </c>
      <c r="B40" s="53">
        <v>2023</v>
      </c>
      <c r="C40" s="53" t="s">
        <v>64</v>
      </c>
      <c r="D40" s="53" t="s">
        <v>106</v>
      </c>
      <c r="E40" s="53">
        <v>1625713</v>
      </c>
      <c r="F40" s="53" t="s">
        <v>20</v>
      </c>
      <c r="G40" s="53" t="s">
        <v>68</v>
      </c>
      <c r="H40" s="62" t="e" vm="9">
        <v>#VALUE!</v>
      </c>
      <c r="I40" s="53" t="s">
        <v>27</v>
      </c>
      <c r="J40" s="1" t="s">
        <v>32</v>
      </c>
      <c r="K40" s="53" t="s">
        <v>21</v>
      </c>
      <c r="L40" s="53" t="s">
        <v>21</v>
      </c>
      <c r="M40" s="53">
        <v>0</v>
      </c>
      <c r="N40" s="1">
        <v>14</v>
      </c>
      <c r="O40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40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40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40" s="62">
        <v>0</v>
      </c>
      <c r="S40" s="53">
        <v>0</v>
      </c>
      <c r="T40" s="1">
        <v>0</v>
      </c>
      <c r="U40" s="54">
        <v>150</v>
      </c>
      <c r="V40" s="55">
        <v>150</v>
      </c>
      <c r="W40" s="55">
        <v>150</v>
      </c>
      <c r="X40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0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9.9999999999999978E-2</v>
      </c>
      <c r="Z40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0" s="40">
        <v>0</v>
      </c>
      <c r="AB40" s="56">
        <v>0</v>
      </c>
      <c r="AC40" s="56">
        <v>73.333333333333329</v>
      </c>
      <c r="AD40" s="56">
        <v>60</v>
      </c>
      <c r="AE40" s="55" t="s">
        <v>60</v>
      </c>
      <c r="AF40" s="56">
        <v>0</v>
      </c>
      <c r="AG40" s="56">
        <v>0</v>
      </c>
      <c r="AH40" s="40">
        <f>IF(ISNUMBER(Tabella2[[#This Row],[Mean RADIAL stress  (MPa)]]), Tabella2[[#This Row],[Mean RADIAL stress  (MPa)]],"")</f>
        <v>0</v>
      </c>
      <c r="AI40" s="56">
        <f>IF(ISNUMBER(Tabella2[[#This Row],[Amplitute RADIAL stress  (MPa)]]), Tabella2[[#This Row],[Amplitute RADIAL stress  (MPa)]],"")</f>
        <v>0</v>
      </c>
      <c r="AJ40" s="56">
        <f>IF(ISNUMBER(Tabella2[[#This Row],[Mean AXIAL stress  (MPa)]]), IF(Tabella2[[#This Row],[derived from (AXIAL/BENDING) load]]="AXIAL",Tabella2[[#This Row],[Mean AXIAL stress  (MPa)]]*Tabella2[[#This Row],[Area (mm^2)]],"Null"), "")</f>
        <v>11288.789601899321</v>
      </c>
      <c r="AK40" s="56">
        <f>IF(ISNUMBER(Tabella2[[#This Row],[Amplitute AXIAL stress  (MPa)]]),    IF(Tabella2[[#This Row],[derived from (AXIAL/BENDING) load]]="AXIAL",Tabella2[[#This Row],[Amplitute AXIAL stress  (MPa)]]*Tabella2[[#This Row],[Area (mm^2)]],"Null"), "")</f>
        <v>9236.2824015539918</v>
      </c>
      <c r="AL40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0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0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0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40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0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60</v>
      </c>
    </row>
    <row r="41" spans="1:43" s="53" customFormat="1" ht="20.100000000000001" customHeight="1" x14ac:dyDescent="0.25">
      <c r="A41" s="53" t="s">
        <v>65</v>
      </c>
      <c r="B41" s="53">
        <v>2023</v>
      </c>
      <c r="C41" s="53" t="s">
        <v>64</v>
      </c>
      <c r="D41" s="53" t="s">
        <v>107</v>
      </c>
      <c r="E41" s="53">
        <v>2656910</v>
      </c>
      <c r="F41" s="53" t="s">
        <v>20</v>
      </c>
      <c r="G41" s="53" t="s">
        <v>68</v>
      </c>
      <c r="H41" s="62" t="e" vm="9">
        <v>#VALUE!</v>
      </c>
      <c r="I41" s="53" t="s">
        <v>27</v>
      </c>
      <c r="J41" s="1" t="s">
        <v>32</v>
      </c>
      <c r="K41" s="53" t="s">
        <v>21</v>
      </c>
      <c r="L41" s="53" t="s">
        <v>21</v>
      </c>
      <c r="M41" s="53">
        <v>0</v>
      </c>
      <c r="N41" s="1">
        <v>14</v>
      </c>
      <c r="O41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41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41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41" s="62">
        <v>0</v>
      </c>
      <c r="S41" s="53">
        <v>0</v>
      </c>
      <c r="T41" s="1">
        <v>0</v>
      </c>
      <c r="U41" s="54">
        <v>150</v>
      </c>
      <c r="V41" s="55">
        <v>150</v>
      </c>
      <c r="W41" s="55">
        <v>150</v>
      </c>
      <c r="X41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1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9.9999999999999978E-2</v>
      </c>
      <c r="Z41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1" s="40">
        <v>0</v>
      </c>
      <c r="AB41" s="56">
        <v>0</v>
      </c>
      <c r="AC41" s="56">
        <v>73.333333333333329</v>
      </c>
      <c r="AD41" s="56">
        <v>60</v>
      </c>
      <c r="AE41" s="55" t="s">
        <v>60</v>
      </c>
      <c r="AF41" s="56">
        <v>0</v>
      </c>
      <c r="AG41" s="56">
        <v>0</v>
      </c>
      <c r="AH41" s="40">
        <f>IF(ISNUMBER(Tabella2[[#This Row],[Mean RADIAL stress  (MPa)]]), Tabella2[[#This Row],[Mean RADIAL stress  (MPa)]],"")</f>
        <v>0</v>
      </c>
      <c r="AI41" s="56">
        <f>IF(ISNUMBER(Tabella2[[#This Row],[Amplitute RADIAL stress  (MPa)]]), Tabella2[[#This Row],[Amplitute RADIAL stress  (MPa)]],"")</f>
        <v>0</v>
      </c>
      <c r="AJ41" s="56">
        <f>IF(ISNUMBER(Tabella2[[#This Row],[Mean AXIAL stress  (MPa)]]), IF(Tabella2[[#This Row],[derived from (AXIAL/BENDING) load]]="AXIAL",Tabella2[[#This Row],[Mean AXIAL stress  (MPa)]]*Tabella2[[#This Row],[Area (mm^2)]],"Null"), "")</f>
        <v>11288.789601899321</v>
      </c>
      <c r="AK41" s="56">
        <f>IF(ISNUMBER(Tabella2[[#This Row],[Amplitute AXIAL stress  (MPa)]]),    IF(Tabella2[[#This Row],[derived from (AXIAL/BENDING) load]]="AXIAL",Tabella2[[#This Row],[Amplitute AXIAL stress  (MPa)]]*Tabella2[[#This Row],[Area (mm^2)]],"Null"), "")</f>
        <v>9236.2824015539918</v>
      </c>
      <c r="AL41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1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1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1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41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1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60</v>
      </c>
    </row>
    <row r="42" spans="1:43" s="53" customFormat="1" ht="20.100000000000001" customHeight="1" x14ac:dyDescent="0.25">
      <c r="A42" s="53" t="s">
        <v>65</v>
      </c>
      <c r="B42" s="53">
        <v>2023</v>
      </c>
      <c r="C42" s="53" t="s">
        <v>64</v>
      </c>
      <c r="D42" s="53" t="s">
        <v>108</v>
      </c>
      <c r="E42" s="53">
        <v>2901015</v>
      </c>
      <c r="F42" s="53" t="s">
        <v>20</v>
      </c>
      <c r="G42" s="53" t="s">
        <v>68</v>
      </c>
      <c r="H42" s="62" t="e" vm="9">
        <v>#VALUE!</v>
      </c>
      <c r="I42" s="53" t="s">
        <v>27</v>
      </c>
      <c r="J42" s="1" t="s">
        <v>32</v>
      </c>
      <c r="K42" s="53" t="s">
        <v>21</v>
      </c>
      <c r="L42" s="53" t="s">
        <v>21</v>
      </c>
      <c r="M42" s="53">
        <v>0</v>
      </c>
      <c r="N42" s="1">
        <v>14</v>
      </c>
      <c r="O42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42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42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42" s="62">
        <v>0</v>
      </c>
      <c r="S42" s="53">
        <v>0</v>
      </c>
      <c r="T42" s="1">
        <v>0</v>
      </c>
      <c r="U42" s="54">
        <v>150</v>
      </c>
      <c r="V42" s="55">
        <v>150</v>
      </c>
      <c r="W42" s="55">
        <v>150</v>
      </c>
      <c r="X42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2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9.9999999999999978E-2</v>
      </c>
      <c r="Z42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2" s="40">
        <v>0</v>
      </c>
      <c r="AB42" s="56">
        <v>0</v>
      </c>
      <c r="AC42" s="56">
        <v>73.333333333333329</v>
      </c>
      <c r="AD42" s="56">
        <v>60</v>
      </c>
      <c r="AE42" s="55" t="s">
        <v>60</v>
      </c>
      <c r="AF42" s="56">
        <v>0</v>
      </c>
      <c r="AG42" s="56">
        <v>0</v>
      </c>
      <c r="AH42" s="40">
        <f>IF(ISNUMBER(Tabella2[[#This Row],[Mean RADIAL stress  (MPa)]]), Tabella2[[#This Row],[Mean RADIAL stress  (MPa)]],"")</f>
        <v>0</v>
      </c>
      <c r="AI42" s="56">
        <f>IF(ISNUMBER(Tabella2[[#This Row],[Amplitute RADIAL stress  (MPa)]]), Tabella2[[#This Row],[Amplitute RADIAL stress  (MPa)]],"")</f>
        <v>0</v>
      </c>
      <c r="AJ42" s="56">
        <f>IF(ISNUMBER(Tabella2[[#This Row],[Mean AXIAL stress  (MPa)]]), IF(Tabella2[[#This Row],[derived from (AXIAL/BENDING) load]]="AXIAL",Tabella2[[#This Row],[Mean AXIAL stress  (MPa)]]*Tabella2[[#This Row],[Area (mm^2)]],"Null"), "")</f>
        <v>11288.789601899321</v>
      </c>
      <c r="AK42" s="56">
        <f>IF(ISNUMBER(Tabella2[[#This Row],[Amplitute AXIAL stress  (MPa)]]),    IF(Tabella2[[#This Row],[derived from (AXIAL/BENDING) load]]="AXIAL",Tabella2[[#This Row],[Amplitute AXIAL stress  (MPa)]]*Tabella2[[#This Row],[Area (mm^2)]],"Null"), "")</f>
        <v>9236.2824015539918</v>
      </c>
      <c r="AL42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2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2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2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42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2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60</v>
      </c>
    </row>
    <row r="43" spans="1:43" s="53" customFormat="1" ht="20.100000000000001" customHeight="1" x14ac:dyDescent="0.25">
      <c r="A43" s="53" t="s">
        <v>65</v>
      </c>
      <c r="B43" s="53">
        <v>2023</v>
      </c>
      <c r="C43" s="53" t="s">
        <v>64</v>
      </c>
      <c r="D43" s="53" t="s">
        <v>109</v>
      </c>
      <c r="E43" s="53">
        <v>1352330</v>
      </c>
      <c r="F43" s="53" t="s">
        <v>20</v>
      </c>
      <c r="G43" s="53" t="s">
        <v>68</v>
      </c>
      <c r="H43" s="62" t="e" vm="9">
        <v>#VALUE!</v>
      </c>
      <c r="I43" s="53" t="s">
        <v>27</v>
      </c>
      <c r="J43" s="1" t="s">
        <v>32</v>
      </c>
      <c r="K43" s="53" t="s">
        <v>21</v>
      </c>
      <c r="L43" s="53" t="s">
        <v>21</v>
      </c>
      <c r="M43" s="53">
        <v>0</v>
      </c>
      <c r="N43" s="1">
        <v>14</v>
      </c>
      <c r="O43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43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43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43" s="62">
        <v>0</v>
      </c>
      <c r="S43" s="53">
        <v>0</v>
      </c>
      <c r="T43" s="1">
        <v>0</v>
      </c>
      <c r="U43" s="54">
        <v>150</v>
      </c>
      <c r="V43" s="55">
        <v>150</v>
      </c>
      <c r="W43" s="55">
        <v>150</v>
      </c>
      <c r="X43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3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9.9999999999999978E-2</v>
      </c>
      <c r="Z43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3" s="40">
        <v>0</v>
      </c>
      <c r="AB43" s="56">
        <v>0</v>
      </c>
      <c r="AC43" s="56">
        <v>73.333333333333329</v>
      </c>
      <c r="AD43" s="56">
        <v>60</v>
      </c>
      <c r="AE43" s="55" t="s">
        <v>60</v>
      </c>
      <c r="AF43" s="56">
        <v>0</v>
      </c>
      <c r="AG43" s="56">
        <v>0</v>
      </c>
      <c r="AH43" s="40">
        <f>IF(ISNUMBER(Tabella2[[#This Row],[Mean RADIAL stress  (MPa)]]), Tabella2[[#This Row],[Mean RADIAL stress  (MPa)]],"")</f>
        <v>0</v>
      </c>
      <c r="AI43" s="56">
        <f>IF(ISNUMBER(Tabella2[[#This Row],[Amplitute RADIAL stress  (MPa)]]), Tabella2[[#This Row],[Amplitute RADIAL stress  (MPa)]],"")</f>
        <v>0</v>
      </c>
      <c r="AJ43" s="56">
        <f>IF(ISNUMBER(Tabella2[[#This Row],[Mean AXIAL stress  (MPa)]]), IF(Tabella2[[#This Row],[derived from (AXIAL/BENDING) load]]="AXIAL",Tabella2[[#This Row],[Mean AXIAL stress  (MPa)]]*Tabella2[[#This Row],[Area (mm^2)]],"Null"), "")</f>
        <v>11288.789601899321</v>
      </c>
      <c r="AK43" s="56">
        <f>IF(ISNUMBER(Tabella2[[#This Row],[Amplitute AXIAL stress  (MPa)]]),    IF(Tabella2[[#This Row],[derived from (AXIAL/BENDING) load]]="AXIAL",Tabella2[[#This Row],[Amplitute AXIAL stress  (MPa)]]*Tabella2[[#This Row],[Area (mm^2)]],"Null"), "")</f>
        <v>9236.2824015539918</v>
      </c>
      <c r="AL43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3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3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3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43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3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60</v>
      </c>
    </row>
    <row r="44" spans="1:43" s="53" customFormat="1" ht="20.100000000000001" customHeight="1" x14ac:dyDescent="0.25">
      <c r="A44" s="53" t="s">
        <v>65</v>
      </c>
      <c r="B44" s="53">
        <v>2023</v>
      </c>
      <c r="C44" s="53" t="s">
        <v>64</v>
      </c>
      <c r="D44" s="53" t="s">
        <v>110</v>
      </c>
      <c r="E44" s="53">
        <v>5000000</v>
      </c>
      <c r="F44" s="53" t="s">
        <v>32</v>
      </c>
      <c r="G44" s="53" t="s">
        <v>68</v>
      </c>
      <c r="H44" s="62" t="e" vm="9">
        <v>#VALUE!</v>
      </c>
      <c r="I44" s="53" t="s">
        <v>27</v>
      </c>
      <c r="J44" s="1" t="s">
        <v>32</v>
      </c>
      <c r="K44" s="53" t="s">
        <v>21</v>
      </c>
      <c r="L44" s="53" t="s">
        <v>21</v>
      </c>
      <c r="M44" s="53">
        <v>0</v>
      </c>
      <c r="N44" s="1">
        <v>14</v>
      </c>
      <c r="O44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44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44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44" s="62">
        <v>0</v>
      </c>
      <c r="S44" s="53">
        <v>0</v>
      </c>
      <c r="T44" s="1">
        <v>0</v>
      </c>
      <c r="U44" s="54">
        <v>150</v>
      </c>
      <c r="V44" s="55">
        <v>150</v>
      </c>
      <c r="W44" s="55">
        <v>150</v>
      </c>
      <c r="X44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4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0.10000000000000005</v>
      </c>
      <c r="Z44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4" s="40">
        <v>0</v>
      </c>
      <c r="AB44" s="56">
        <v>0</v>
      </c>
      <c r="AC44" s="56">
        <v>67.222222222222229</v>
      </c>
      <c r="AD44" s="56">
        <v>55</v>
      </c>
      <c r="AE44" s="55" t="s">
        <v>60</v>
      </c>
      <c r="AF44" s="56">
        <v>0</v>
      </c>
      <c r="AG44" s="56">
        <v>0</v>
      </c>
      <c r="AH44" s="40">
        <f>IF(ISNUMBER(Tabella2[[#This Row],[Mean RADIAL stress  (MPa)]]), Tabella2[[#This Row],[Mean RADIAL stress  (MPa)]],"")</f>
        <v>0</v>
      </c>
      <c r="AI44" s="56">
        <f>IF(ISNUMBER(Tabella2[[#This Row],[Amplitute RADIAL stress  (MPa)]]), Tabella2[[#This Row],[Amplitute RADIAL stress  (MPa)]],"")</f>
        <v>0</v>
      </c>
      <c r="AJ44" s="56">
        <f>IF(ISNUMBER(Tabella2[[#This Row],[Mean AXIAL stress  (MPa)]]), IF(Tabella2[[#This Row],[derived from (AXIAL/BENDING) load]]="AXIAL",Tabella2[[#This Row],[Mean AXIAL stress  (MPa)]]*Tabella2[[#This Row],[Area (mm^2)]],"Null"), "")</f>
        <v>10348.057135074379</v>
      </c>
      <c r="AK44" s="56">
        <f>IF(ISNUMBER(Tabella2[[#This Row],[Amplitute AXIAL stress  (MPa)]]),    IF(Tabella2[[#This Row],[derived from (AXIAL/BENDING) load]]="AXIAL",Tabella2[[#This Row],[Amplitute AXIAL stress  (MPa)]]*Tabella2[[#This Row],[Area (mm^2)]],"Null"), "")</f>
        <v>8466.5922014244916</v>
      </c>
      <c r="AL44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4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4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4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44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4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55</v>
      </c>
    </row>
    <row r="45" spans="1:43" s="53" customFormat="1" ht="20.100000000000001" customHeight="1" x14ac:dyDescent="0.25">
      <c r="A45" s="53" t="s">
        <v>65</v>
      </c>
      <c r="B45" s="53">
        <v>2023</v>
      </c>
      <c r="C45" s="53" t="s">
        <v>64</v>
      </c>
      <c r="D45" s="53" t="s">
        <v>111</v>
      </c>
      <c r="E45" s="53">
        <v>5000000</v>
      </c>
      <c r="F45" s="53" t="s">
        <v>32</v>
      </c>
      <c r="G45" s="53" t="s">
        <v>68</v>
      </c>
      <c r="H45" s="62" t="e" vm="9">
        <v>#VALUE!</v>
      </c>
      <c r="I45" s="53" t="s">
        <v>27</v>
      </c>
      <c r="J45" s="1" t="s">
        <v>32</v>
      </c>
      <c r="K45" s="53" t="s">
        <v>21</v>
      </c>
      <c r="L45" s="53" t="s">
        <v>21</v>
      </c>
      <c r="M45" s="53">
        <v>0</v>
      </c>
      <c r="N45" s="1">
        <v>14</v>
      </c>
      <c r="O45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45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45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45" s="62">
        <v>0</v>
      </c>
      <c r="S45" s="53">
        <v>0</v>
      </c>
      <c r="T45" s="1">
        <v>0</v>
      </c>
      <c r="U45" s="54">
        <v>150</v>
      </c>
      <c r="V45" s="55">
        <v>150</v>
      </c>
      <c r="W45" s="55">
        <v>150</v>
      </c>
      <c r="X45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5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0.10000000000000005</v>
      </c>
      <c r="Z45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5" s="40">
        <v>0</v>
      </c>
      <c r="AB45" s="56">
        <v>0</v>
      </c>
      <c r="AC45" s="56">
        <v>67.222222222222229</v>
      </c>
      <c r="AD45" s="56">
        <v>55</v>
      </c>
      <c r="AE45" s="55" t="s">
        <v>60</v>
      </c>
      <c r="AF45" s="56">
        <v>0</v>
      </c>
      <c r="AG45" s="56">
        <v>0</v>
      </c>
      <c r="AH45" s="40">
        <f>IF(ISNUMBER(Tabella2[[#This Row],[Mean RADIAL stress  (MPa)]]), Tabella2[[#This Row],[Mean RADIAL stress  (MPa)]],"")</f>
        <v>0</v>
      </c>
      <c r="AI45" s="56">
        <f>IF(ISNUMBER(Tabella2[[#This Row],[Amplitute RADIAL stress  (MPa)]]), Tabella2[[#This Row],[Amplitute RADIAL stress  (MPa)]],"")</f>
        <v>0</v>
      </c>
      <c r="AJ45" s="56">
        <f>IF(ISNUMBER(Tabella2[[#This Row],[Mean AXIAL stress  (MPa)]]), IF(Tabella2[[#This Row],[derived from (AXIAL/BENDING) load]]="AXIAL",Tabella2[[#This Row],[Mean AXIAL stress  (MPa)]]*Tabella2[[#This Row],[Area (mm^2)]],"Null"), "")</f>
        <v>10348.057135074379</v>
      </c>
      <c r="AK45" s="56">
        <f>IF(ISNUMBER(Tabella2[[#This Row],[Amplitute AXIAL stress  (MPa)]]),    IF(Tabella2[[#This Row],[derived from (AXIAL/BENDING) load]]="AXIAL",Tabella2[[#This Row],[Amplitute AXIAL stress  (MPa)]]*Tabella2[[#This Row],[Area (mm^2)]],"Null"), "")</f>
        <v>8466.5922014244916</v>
      </c>
      <c r="AL45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5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5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5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45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5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55</v>
      </c>
    </row>
    <row r="46" spans="1:43" s="53" customFormat="1" ht="20.100000000000001" customHeight="1" x14ac:dyDescent="0.25">
      <c r="A46" s="53" t="s">
        <v>65</v>
      </c>
      <c r="B46" s="53">
        <v>2023</v>
      </c>
      <c r="C46" s="53" t="s">
        <v>64</v>
      </c>
      <c r="D46" s="53" t="s">
        <v>112</v>
      </c>
      <c r="E46" s="53">
        <v>5000000</v>
      </c>
      <c r="F46" s="53" t="s">
        <v>32</v>
      </c>
      <c r="G46" s="53" t="s">
        <v>68</v>
      </c>
      <c r="H46" s="62" t="e" vm="9">
        <v>#VALUE!</v>
      </c>
      <c r="I46" s="53" t="s">
        <v>27</v>
      </c>
      <c r="J46" s="1" t="s">
        <v>32</v>
      </c>
      <c r="K46" s="53" t="s">
        <v>21</v>
      </c>
      <c r="L46" s="53" t="s">
        <v>21</v>
      </c>
      <c r="M46" s="53">
        <v>0</v>
      </c>
      <c r="N46" s="1">
        <v>14</v>
      </c>
      <c r="O46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46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46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46" s="62">
        <v>0</v>
      </c>
      <c r="S46" s="53">
        <v>0</v>
      </c>
      <c r="T46" s="1">
        <v>0</v>
      </c>
      <c r="U46" s="54">
        <v>150</v>
      </c>
      <c r="V46" s="55">
        <v>150</v>
      </c>
      <c r="W46" s="55">
        <v>150</v>
      </c>
      <c r="X46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6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0.10000000000000005</v>
      </c>
      <c r="Z46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6" s="40">
        <v>0</v>
      </c>
      <c r="AB46" s="56">
        <v>0</v>
      </c>
      <c r="AC46" s="56">
        <v>67.222222222222229</v>
      </c>
      <c r="AD46" s="56">
        <v>55</v>
      </c>
      <c r="AE46" s="55" t="s">
        <v>60</v>
      </c>
      <c r="AF46" s="56">
        <v>0</v>
      </c>
      <c r="AG46" s="56">
        <v>0</v>
      </c>
      <c r="AH46" s="40">
        <f>IF(ISNUMBER(Tabella2[[#This Row],[Mean RADIAL stress  (MPa)]]), Tabella2[[#This Row],[Mean RADIAL stress  (MPa)]],"")</f>
        <v>0</v>
      </c>
      <c r="AI46" s="56">
        <f>IF(ISNUMBER(Tabella2[[#This Row],[Amplitute RADIAL stress  (MPa)]]), Tabella2[[#This Row],[Amplitute RADIAL stress  (MPa)]],"")</f>
        <v>0</v>
      </c>
      <c r="AJ46" s="56">
        <f>IF(ISNUMBER(Tabella2[[#This Row],[Mean AXIAL stress  (MPa)]]), IF(Tabella2[[#This Row],[derived from (AXIAL/BENDING) load]]="AXIAL",Tabella2[[#This Row],[Mean AXIAL stress  (MPa)]]*Tabella2[[#This Row],[Area (mm^2)]],"Null"), "")</f>
        <v>10348.057135074379</v>
      </c>
      <c r="AK46" s="56">
        <f>IF(ISNUMBER(Tabella2[[#This Row],[Amplitute AXIAL stress  (MPa)]]),    IF(Tabella2[[#This Row],[derived from (AXIAL/BENDING) load]]="AXIAL",Tabella2[[#This Row],[Amplitute AXIAL stress  (MPa)]]*Tabella2[[#This Row],[Area (mm^2)]],"Null"), "")</f>
        <v>8466.5922014244916</v>
      </c>
      <c r="AL46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6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6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6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46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6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55</v>
      </c>
    </row>
    <row r="47" spans="1:43" s="53" customFormat="1" ht="20.100000000000001" customHeight="1" x14ac:dyDescent="0.25">
      <c r="A47" s="53" t="s">
        <v>65</v>
      </c>
      <c r="B47" s="53">
        <v>2023</v>
      </c>
      <c r="C47" s="53" t="s">
        <v>64</v>
      </c>
      <c r="D47" s="53" t="s">
        <v>113</v>
      </c>
      <c r="E47" s="53">
        <v>2410301</v>
      </c>
      <c r="F47" s="53" t="s">
        <v>20</v>
      </c>
      <c r="G47" s="53" t="s">
        <v>68</v>
      </c>
      <c r="H47" s="62" t="e" vm="9">
        <v>#VALUE!</v>
      </c>
      <c r="I47" s="53" t="s">
        <v>27</v>
      </c>
      <c r="J47" s="1" t="s">
        <v>32</v>
      </c>
      <c r="K47" s="53" t="s">
        <v>21</v>
      </c>
      <c r="L47" s="53" t="s">
        <v>21</v>
      </c>
      <c r="M47" s="53">
        <v>0</v>
      </c>
      <c r="N47" s="1">
        <v>14</v>
      </c>
      <c r="O47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47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47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47" s="62">
        <v>0</v>
      </c>
      <c r="S47" s="53">
        <v>0</v>
      </c>
      <c r="T47" s="1">
        <v>0</v>
      </c>
      <c r="U47" s="54">
        <v>150</v>
      </c>
      <c r="V47" s="55">
        <v>150</v>
      </c>
      <c r="W47" s="55">
        <v>150</v>
      </c>
      <c r="X47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7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0.10000000000000005</v>
      </c>
      <c r="Z47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7" s="40">
        <v>0</v>
      </c>
      <c r="AB47" s="56">
        <v>0</v>
      </c>
      <c r="AC47" s="56">
        <v>67.222222222222229</v>
      </c>
      <c r="AD47" s="56">
        <v>55</v>
      </c>
      <c r="AE47" s="55" t="s">
        <v>60</v>
      </c>
      <c r="AF47" s="56">
        <v>0</v>
      </c>
      <c r="AG47" s="56">
        <v>0</v>
      </c>
      <c r="AH47" s="40">
        <f>IF(ISNUMBER(Tabella2[[#This Row],[Mean RADIAL stress  (MPa)]]), Tabella2[[#This Row],[Mean RADIAL stress  (MPa)]],"")</f>
        <v>0</v>
      </c>
      <c r="AI47" s="56">
        <f>IF(ISNUMBER(Tabella2[[#This Row],[Amplitute RADIAL stress  (MPa)]]), Tabella2[[#This Row],[Amplitute RADIAL stress  (MPa)]],"")</f>
        <v>0</v>
      </c>
      <c r="AJ47" s="56">
        <f>IF(ISNUMBER(Tabella2[[#This Row],[Mean AXIAL stress  (MPa)]]), IF(Tabella2[[#This Row],[derived from (AXIAL/BENDING) load]]="AXIAL",Tabella2[[#This Row],[Mean AXIAL stress  (MPa)]]*Tabella2[[#This Row],[Area (mm^2)]],"Null"), "")</f>
        <v>10348.057135074379</v>
      </c>
      <c r="AK47" s="56">
        <f>IF(ISNUMBER(Tabella2[[#This Row],[Amplitute AXIAL stress  (MPa)]]),    IF(Tabella2[[#This Row],[derived from (AXIAL/BENDING) load]]="AXIAL",Tabella2[[#This Row],[Amplitute AXIAL stress  (MPa)]]*Tabella2[[#This Row],[Area (mm^2)]],"Null"), "")</f>
        <v>8466.5922014244916</v>
      </c>
      <c r="AL47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7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7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7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47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7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55</v>
      </c>
    </row>
    <row r="48" spans="1:43" s="53" customFormat="1" ht="20.100000000000001" customHeight="1" x14ac:dyDescent="0.25">
      <c r="A48" s="53" t="s">
        <v>65</v>
      </c>
      <c r="B48" s="53">
        <v>2023</v>
      </c>
      <c r="C48" s="53" t="s">
        <v>64</v>
      </c>
      <c r="D48" s="53" t="s">
        <v>114</v>
      </c>
      <c r="E48" s="53">
        <v>2777083</v>
      </c>
      <c r="F48" s="53" t="s">
        <v>20</v>
      </c>
      <c r="G48" s="53" t="s">
        <v>68</v>
      </c>
      <c r="H48" s="62" t="e" vm="9">
        <v>#VALUE!</v>
      </c>
      <c r="I48" s="53" t="s">
        <v>27</v>
      </c>
      <c r="J48" s="1" t="s">
        <v>32</v>
      </c>
      <c r="K48" s="53" t="s">
        <v>21</v>
      </c>
      <c r="L48" s="53" t="s">
        <v>21</v>
      </c>
      <c r="M48" s="53">
        <v>0</v>
      </c>
      <c r="N48" s="1">
        <v>14</v>
      </c>
      <c r="O48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48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48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48" s="62">
        <v>0</v>
      </c>
      <c r="S48" s="53">
        <v>0</v>
      </c>
      <c r="T48" s="1">
        <v>0</v>
      </c>
      <c r="U48" s="54">
        <v>150</v>
      </c>
      <c r="V48" s="55">
        <v>150</v>
      </c>
      <c r="W48" s="55">
        <v>150</v>
      </c>
      <c r="X48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8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0.10000000000000005</v>
      </c>
      <c r="Z48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8" s="40">
        <v>0</v>
      </c>
      <c r="AB48" s="56">
        <v>0</v>
      </c>
      <c r="AC48" s="56">
        <v>67.222222222222229</v>
      </c>
      <c r="AD48" s="56">
        <v>55</v>
      </c>
      <c r="AE48" s="55" t="s">
        <v>60</v>
      </c>
      <c r="AF48" s="56">
        <v>0</v>
      </c>
      <c r="AG48" s="56">
        <v>0</v>
      </c>
      <c r="AH48" s="40">
        <f>IF(ISNUMBER(Tabella2[[#This Row],[Mean RADIAL stress  (MPa)]]), Tabella2[[#This Row],[Mean RADIAL stress  (MPa)]],"")</f>
        <v>0</v>
      </c>
      <c r="AI48" s="56">
        <f>IF(ISNUMBER(Tabella2[[#This Row],[Amplitute RADIAL stress  (MPa)]]), Tabella2[[#This Row],[Amplitute RADIAL stress  (MPa)]],"")</f>
        <v>0</v>
      </c>
      <c r="AJ48" s="56">
        <f>IF(ISNUMBER(Tabella2[[#This Row],[Mean AXIAL stress  (MPa)]]), IF(Tabella2[[#This Row],[derived from (AXIAL/BENDING) load]]="AXIAL",Tabella2[[#This Row],[Mean AXIAL stress  (MPa)]]*Tabella2[[#This Row],[Area (mm^2)]],"Null"), "")</f>
        <v>10348.057135074379</v>
      </c>
      <c r="AK48" s="56">
        <f>IF(ISNUMBER(Tabella2[[#This Row],[Amplitute AXIAL stress  (MPa)]]),    IF(Tabella2[[#This Row],[derived from (AXIAL/BENDING) load]]="AXIAL",Tabella2[[#This Row],[Amplitute AXIAL stress  (MPa)]]*Tabella2[[#This Row],[Area (mm^2)]],"Null"), "")</f>
        <v>8466.5922014244916</v>
      </c>
      <c r="AL48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8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8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8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48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8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55</v>
      </c>
    </row>
    <row r="49" spans="1:43" s="53" customFormat="1" ht="20.100000000000001" customHeight="1" x14ac:dyDescent="0.25">
      <c r="A49" s="53" t="s">
        <v>65</v>
      </c>
      <c r="B49" s="53">
        <v>2023</v>
      </c>
      <c r="C49" s="53" t="s">
        <v>64</v>
      </c>
      <c r="D49" s="53" t="s">
        <v>115</v>
      </c>
      <c r="E49" s="53">
        <v>891311</v>
      </c>
      <c r="F49" s="53" t="s">
        <v>20</v>
      </c>
      <c r="G49" s="53" t="s">
        <v>68</v>
      </c>
      <c r="H49" s="62" t="e" vm="9">
        <v>#VALUE!</v>
      </c>
      <c r="I49" s="53" t="s">
        <v>27</v>
      </c>
      <c r="J49" s="1" t="s">
        <v>32</v>
      </c>
      <c r="K49" s="53" t="s">
        <v>21</v>
      </c>
      <c r="L49" s="53" t="s">
        <v>21</v>
      </c>
      <c r="M49" s="53">
        <v>0</v>
      </c>
      <c r="N49" s="1">
        <v>14</v>
      </c>
      <c r="O49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49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49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49" s="62">
        <v>0</v>
      </c>
      <c r="S49" s="53">
        <v>0</v>
      </c>
      <c r="T49" s="1">
        <v>0</v>
      </c>
      <c r="U49" s="54">
        <v>150</v>
      </c>
      <c r="V49" s="55">
        <v>150</v>
      </c>
      <c r="W49" s="55">
        <v>150</v>
      </c>
      <c r="X49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9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0.10000000000000002</v>
      </c>
      <c r="Z49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9" s="40">
        <v>0</v>
      </c>
      <c r="AB49" s="56">
        <v>0</v>
      </c>
      <c r="AC49" s="56">
        <v>85.555555555555557</v>
      </c>
      <c r="AD49" s="56">
        <v>70</v>
      </c>
      <c r="AE49" s="55" t="s">
        <v>60</v>
      </c>
      <c r="AF49" s="56">
        <v>0</v>
      </c>
      <c r="AG49" s="56">
        <v>0</v>
      </c>
      <c r="AH49" s="40">
        <f>IF(ISNUMBER(Tabella2[[#This Row],[Mean RADIAL stress  (MPa)]]), Tabella2[[#This Row],[Mean RADIAL stress  (MPa)]],"")</f>
        <v>0</v>
      </c>
      <c r="AI49" s="56">
        <f>IF(ISNUMBER(Tabella2[[#This Row],[Amplitute RADIAL stress  (MPa)]]), Tabella2[[#This Row],[Amplitute RADIAL stress  (MPa)]],"")</f>
        <v>0</v>
      </c>
      <c r="AJ49" s="56">
        <f>IF(ISNUMBER(Tabella2[[#This Row],[Mean AXIAL stress  (MPa)]]), IF(Tabella2[[#This Row],[derived from (AXIAL/BENDING) load]]="AXIAL",Tabella2[[#This Row],[Mean AXIAL stress  (MPa)]]*Tabella2[[#This Row],[Area (mm^2)]],"Null"), "")</f>
        <v>13170.254535549209</v>
      </c>
      <c r="AK49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10775.66280181299</v>
      </c>
      <c r="AL49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9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9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9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49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9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70</v>
      </c>
    </row>
    <row r="50" spans="1:43" s="53" customFormat="1" ht="20.100000000000001" customHeight="1" x14ac:dyDescent="0.25">
      <c r="A50" s="53" t="s">
        <v>65</v>
      </c>
      <c r="B50" s="53">
        <v>2023</v>
      </c>
      <c r="C50" s="53" t="s">
        <v>64</v>
      </c>
      <c r="D50" s="53" t="s">
        <v>116</v>
      </c>
      <c r="E50" s="53">
        <v>273768</v>
      </c>
      <c r="F50" s="53" t="s">
        <v>20</v>
      </c>
      <c r="G50" s="53" t="s">
        <v>68</v>
      </c>
      <c r="H50" s="62" t="e" vm="9">
        <v>#VALUE!</v>
      </c>
      <c r="I50" s="53" t="s">
        <v>27</v>
      </c>
      <c r="J50" s="1" t="s">
        <v>32</v>
      </c>
      <c r="K50" s="53" t="s">
        <v>21</v>
      </c>
      <c r="L50" s="53" t="s">
        <v>21</v>
      </c>
      <c r="M50" s="53">
        <v>0</v>
      </c>
      <c r="N50" s="1">
        <v>14</v>
      </c>
      <c r="O50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50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50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50" s="62">
        <v>0</v>
      </c>
      <c r="S50" s="53">
        <v>0</v>
      </c>
      <c r="T50" s="1">
        <v>0</v>
      </c>
      <c r="U50" s="54">
        <v>150</v>
      </c>
      <c r="V50" s="55">
        <v>150</v>
      </c>
      <c r="W50" s="55">
        <v>150</v>
      </c>
      <c r="X50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0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9.9999999999999964E-2</v>
      </c>
      <c r="Z50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0" s="40">
        <v>0</v>
      </c>
      <c r="AB50" s="56">
        <v>0</v>
      </c>
      <c r="AC50" s="56">
        <v>97.777777777777771</v>
      </c>
      <c r="AD50" s="56">
        <v>80</v>
      </c>
      <c r="AE50" s="55" t="s">
        <v>60</v>
      </c>
      <c r="AF50" s="56">
        <v>0</v>
      </c>
      <c r="AG50" s="56">
        <v>0</v>
      </c>
      <c r="AH50" s="40">
        <f>IF(ISNUMBER(Tabella2[[#This Row],[Mean RADIAL stress  (MPa)]]), Tabella2[[#This Row],[Mean RADIAL stress  (MPa)]],"")</f>
        <v>0</v>
      </c>
      <c r="AI50" s="56">
        <f>IF(ISNUMBER(Tabella2[[#This Row],[Amplitute RADIAL stress  (MPa)]]), Tabella2[[#This Row],[Amplitute RADIAL stress  (MPa)]],"")</f>
        <v>0</v>
      </c>
      <c r="AJ50" s="56">
        <f>IF(ISNUMBER(Tabella2[[#This Row],[Mean AXIAL stress  (MPa)]]), IF(Tabella2[[#This Row],[derived from (AXIAL/BENDING) load]]="AXIAL",Tabella2[[#This Row],[Mean AXIAL stress  (MPa)]]*Tabella2[[#This Row],[Area (mm^2)]],"Null"), "")</f>
        <v>15051.719469199095</v>
      </c>
      <c r="AK50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12315.043202071989</v>
      </c>
      <c r="AL50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0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0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50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50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0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80</v>
      </c>
    </row>
    <row r="51" spans="1:43" s="53" customFormat="1" ht="20.100000000000001" customHeight="1" x14ac:dyDescent="0.25">
      <c r="A51" s="53" t="s">
        <v>65</v>
      </c>
      <c r="B51" s="53">
        <v>2023</v>
      </c>
      <c r="C51" s="53" t="s">
        <v>64</v>
      </c>
      <c r="D51" s="53" t="s">
        <v>117</v>
      </c>
      <c r="E51" s="53">
        <v>299783</v>
      </c>
      <c r="F51" s="53" t="s">
        <v>20</v>
      </c>
      <c r="G51" s="53" t="s">
        <v>68</v>
      </c>
      <c r="H51" s="62" t="e" vm="9">
        <v>#VALUE!</v>
      </c>
      <c r="I51" s="53" t="s">
        <v>27</v>
      </c>
      <c r="J51" s="1" t="s">
        <v>32</v>
      </c>
      <c r="K51" s="53" t="s">
        <v>21</v>
      </c>
      <c r="L51" s="53" t="s">
        <v>21</v>
      </c>
      <c r="M51" s="53">
        <v>0</v>
      </c>
      <c r="N51" s="1">
        <v>14</v>
      </c>
      <c r="O51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51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51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51" s="62">
        <v>0</v>
      </c>
      <c r="S51" s="53">
        <v>0</v>
      </c>
      <c r="T51" s="1">
        <v>0</v>
      </c>
      <c r="U51" s="54">
        <v>150</v>
      </c>
      <c r="V51" s="55">
        <v>150</v>
      </c>
      <c r="W51" s="55">
        <v>150</v>
      </c>
      <c r="X51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1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9.9999999999999964E-2</v>
      </c>
      <c r="Z51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1" s="40">
        <v>0</v>
      </c>
      <c r="AB51" s="56">
        <v>0</v>
      </c>
      <c r="AC51" s="56">
        <v>97.777777777777771</v>
      </c>
      <c r="AD51" s="56">
        <v>80</v>
      </c>
      <c r="AE51" s="55" t="s">
        <v>60</v>
      </c>
      <c r="AF51" s="56">
        <v>0</v>
      </c>
      <c r="AG51" s="56">
        <v>0</v>
      </c>
      <c r="AH51" s="40">
        <f>IF(ISNUMBER(Tabella2[[#This Row],[Mean RADIAL stress  (MPa)]]), Tabella2[[#This Row],[Mean RADIAL stress  (MPa)]],"")</f>
        <v>0</v>
      </c>
      <c r="AI51" s="56">
        <f>IF(ISNUMBER(Tabella2[[#This Row],[Amplitute RADIAL stress  (MPa)]]), Tabella2[[#This Row],[Amplitute RADIAL stress  (MPa)]],"")</f>
        <v>0</v>
      </c>
      <c r="AJ51" s="56">
        <f>IF(ISNUMBER(Tabella2[[#This Row],[Mean AXIAL stress  (MPa)]]), IF(Tabella2[[#This Row],[derived from (AXIAL/BENDING) load]]="AXIAL",Tabella2[[#This Row],[Mean AXIAL stress  (MPa)]]*Tabella2[[#This Row],[Area (mm^2)]],"Null"), "")</f>
        <v>15051.719469199095</v>
      </c>
      <c r="AK51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12315.043202071989</v>
      </c>
      <c r="AL51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1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1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51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51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1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80</v>
      </c>
    </row>
    <row r="52" spans="1:43" s="53" customFormat="1" ht="20.100000000000001" customHeight="1" x14ac:dyDescent="0.25">
      <c r="A52" s="53" t="s">
        <v>65</v>
      </c>
      <c r="B52" s="53">
        <v>2023</v>
      </c>
      <c r="C52" s="53" t="s">
        <v>64</v>
      </c>
      <c r="D52" s="53" t="s">
        <v>118</v>
      </c>
      <c r="E52" s="53">
        <v>385664</v>
      </c>
      <c r="F52" s="53" t="s">
        <v>20</v>
      </c>
      <c r="G52" s="53" t="s">
        <v>68</v>
      </c>
      <c r="H52" s="62" t="e" vm="9">
        <v>#VALUE!</v>
      </c>
      <c r="I52" s="53" t="s">
        <v>27</v>
      </c>
      <c r="J52" s="1" t="s">
        <v>32</v>
      </c>
      <c r="K52" s="53" t="s">
        <v>21</v>
      </c>
      <c r="L52" s="53" t="s">
        <v>21</v>
      </c>
      <c r="M52" s="53">
        <v>0</v>
      </c>
      <c r="N52" s="1">
        <v>14</v>
      </c>
      <c r="O52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52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52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52" s="62">
        <v>0</v>
      </c>
      <c r="S52" s="53">
        <v>0</v>
      </c>
      <c r="T52" s="1">
        <v>0</v>
      </c>
      <c r="U52" s="54">
        <v>150</v>
      </c>
      <c r="V52" s="55">
        <v>150</v>
      </c>
      <c r="W52" s="55">
        <v>150</v>
      </c>
      <c r="X52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2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9.9999999999999964E-2</v>
      </c>
      <c r="Z52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2" s="40">
        <v>0</v>
      </c>
      <c r="AB52" s="56">
        <v>0</v>
      </c>
      <c r="AC52" s="56">
        <v>97.777777777777771</v>
      </c>
      <c r="AD52" s="56">
        <v>80</v>
      </c>
      <c r="AE52" s="55" t="s">
        <v>60</v>
      </c>
      <c r="AF52" s="56">
        <v>0</v>
      </c>
      <c r="AG52" s="56">
        <v>0</v>
      </c>
      <c r="AH52" s="40">
        <f>IF(ISNUMBER(Tabella2[[#This Row],[Mean RADIAL stress  (MPa)]]), Tabella2[[#This Row],[Mean RADIAL stress  (MPa)]],"")</f>
        <v>0</v>
      </c>
      <c r="AI52" s="56">
        <f>IF(ISNUMBER(Tabella2[[#This Row],[Amplitute RADIAL stress  (MPa)]]), Tabella2[[#This Row],[Amplitute RADIAL stress  (MPa)]],"")</f>
        <v>0</v>
      </c>
      <c r="AJ52" s="56">
        <f>IF(ISNUMBER(Tabella2[[#This Row],[Mean AXIAL stress  (MPa)]]), IF(Tabella2[[#This Row],[derived from (AXIAL/BENDING) load]]="AXIAL",Tabella2[[#This Row],[Mean AXIAL stress  (MPa)]]*Tabella2[[#This Row],[Area (mm^2)]],"Null"), "")</f>
        <v>15051.719469199095</v>
      </c>
      <c r="AK52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12315.043202071989</v>
      </c>
      <c r="AL52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2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2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52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52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2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80</v>
      </c>
    </row>
    <row r="53" spans="1:43" s="53" customFormat="1" ht="20.100000000000001" customHeight="1" x14ac:dyDescent="0.25">
      <c r="A53" s="53" t="s">
        <v>65</v>
      </c>
      <c r="B53" s="53">
        <v>2023</v>
      </c>
      <c r="C53" s="53" t="s">
        <v>64</v>
      </c>
      <c r="D53" s="53" t="s">
        <v>119</v>
      </c>
      <c r="E53" s="53">
        <v>185040</v>
      </c>
      <c r="F53" s="53" t="s">
        <v>20</v>
      </c>
      <c r="G53" s="53" t="s">
        <v>68</v>
      </c>
      <c r="H53" s="62" t="e" vm="9">
        <v>#VALUE!</v>
      </c>
      <c r="I53" s="53" t="s">
        <v>27</v>
      </c>
      <c r="J53" s="1" t="s">
        <v>32</v>
      </c>
      <c r="K53" s="53" t="s">
        <v>21</v>
      </c>
      <c r="L53" s="53" t="s">
        <v>21</v>
      </c>
      <c r="M53" s="53">
        <v>0</v>
      </c>
      <c r="N53" s="1">
        <v>14</v>
      </c>
      <c r="O53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53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53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53" s="62">
        <v>0</v>
      </c>
      <c r="S53" s="53">
        <v>0</v>
      </c>
      <c r="T53" s="1">
        <v>0</v>
      </c>
      <c r="U53" s="54">
        <v>150</v>
      </c>
      <c r="V53" s="55">
        <v>150</v>
      </c>
      <c r="W53" s="55">
        <v>150</v>
      </c>
      <c r="X53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3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0.10000000000000007</v>
      </c>
      <c r="Z53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3" s="40">
        <v>0</v>
      </c>
      <c r="AB53" s="56">
        <v>0</v>
      </c>
      <c r="AC53" s="56">
        <v>110.00000000000001</v>
      </c>
      <c r="AD53" s="56">
        <v>90</v>
      </c>
      <c r="AE53" s="55" t="s">
        <v>60</v>
      </c>
      <c r="AF53" s="56">
        <v>0</v>
      </c>
      <c r="AG53" s="56">
        <v>0</v>
      </c>
      <c r="AH53" s="40">
        <f>IF(ISNUMBER(Tabella2[[#This Row],[Mean RADIAL stress  (MPa)]]), Tabella2[[#This Row],[Mean RADIAL stress  (MPa)]],"")</f>
        <v>0</v>
      </c>
      <c r="AI53" s="56">
        <f>IF(ISNUMBER(Tabella2[[#This Row],[Amplitute RADIAL stress  (MPa)]]), Tabella2[[#This Row],[Amplitute RADIAL stress  (MPa)]],"")</f>
        <v>0</v>
      </c>
      <c r="AJ53" s="56">
        <f>IF(ISNUMBER(Tabella2[[#This Row],[Mean AXIAL stress  (MPa)]]), IF(Tabella2[[#This Row],[derived from (AXIAL/BENDING) load]]="AXIAL",Tabella2[[#This Row],[Mean AXIAL stress  (MPa)]]*Tabella2[[#This Row],[Area (mm^2)]],"Null"), "")</f>
        <v>16933.184402848987</v>
      </c>
      <c r="AK53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13854.423602330986</v>
      </c>
      <c r="AL53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3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3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53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53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3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90</v>
      </c>
    </row>
    <row r="54" spans="1:43" s="53" customFormat="1" ht="20.100000000000001" customHeight="1" x14ac:dyDescent="0.25">
      <c r="A54" s="53" t="s">
        <v>65</v>
      </c>
      <c r="B54" s="53">
        <v>2023</v>
      </c>
      <c r="C54" s="53" t="s">
        <v>64</v>
      </c>
      <c r="D54" s="53" t="s">
        <v>120</v>
      </c>
      <c r="E54" s="53">
        <v>213037</v>
      </c>
      <c r="F54" s="53" t="s">
        <v>20</v>
      </c>
      <c r="G54" s="53" t="s">
        <v>68</v>
      </c>
      <c r="H54" s="62" t="e" vm="9">
        <v>#VALUE!</v>
      </c>
      <c r="I54" s="53" t="s">
        <v>27</v>
      </c>
      <c r="J54" s="1" t="s">
        <v>32</v>
      </c>
      <c r="K54" s="53" t="s">
        <v>21</v>
      </c>
      <c r="L54" s="53" t="s">
        <v>21</v>
      </c>
      <c r="M54" s="53">
        <v>0</v>
      </c>
      <c r="N54" s="1">
        <v>14</v>
      </c>
      <c r="O54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54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54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54" s="62">
        <v>0</v>
      </c>
      <c r="S54" s="53">
        <v>0</v>
      </c>
      <c r="T54" s="1">
        <v>0</v>
      </c>
      <c r="U54" s="54">
        <v>150</v>
      </c>
      <c r="V54" s="55">
        <v>150</v>
      </c>
      <c r="W54" s="55">
        <v>150</v>
      </c>
      <c r="X54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4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0.10000000000000007</v>
      </c>
      <c r="Z54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4" s="40">
        <v>0</v>
      </c>
      <c r="AB54" s="56">
        <v>0</v>
      </c>
      <c r="AC54" s="56">
        <v>110.00000000000001</v>
      </c>
      <c r="AD54" s="56">
        <v>90</v>
      </c>
      <c r="AE54" s="55" t="s">
        <v>60</v>
      </c>
      <c r="AF54" s="56">
        <v>0</v>
      </c>
      <c r="AG54" s="56">
        <v>0</v>
      </c>
      <c r="AH54" s="40">
        <f>IF(ISNUMBER(Tabella2[[#This Row],[Mean RADIAL stress  (MPa)]]), Tabella2[[#This Row],[Mean RADIAL stress  (MPa)]],"")</f>
        <v>0</v>
      </c>
      <c r="AI54" s="56">
        <f>IF(ISNUMBER(Tabella2[[#This Row],[Amplitute RADIAL stress  (MPa)]]), Tabella2[[#This Row],[Amplitute RADIAL stress  (MPa)]],"")</f>
        <v>0</v>
      </c>
      <c r="AJ54" s="56">
        <f>IF(ISNUMBER(Tabella2[[#This Row],[Mean AXIAL stress  (MPa)]]), IF(Tabella2[[#This Row],[derived from (AXIAL/BENDING) load]]="AXIAL",Tabella2[[#This Row],[Mean AXIAL stress  (MPa)]]*Tabella2[[#This Row],[Area (mm^2)]],"Null"), "")</f>
        <v>16933.184402848987</v>
      </c>
      <c r="AK54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13854.423602330986</v>
      </c>
      <c r="AL54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4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4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54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54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4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90</v>
      </c>
    </row>
    <row r="55" spans="1:43" s="53" customFormat="1" ht="20.100000000000001" customHeight="1" x14ac:dyDescent="0.25">
      <c r="A55" s="53" t="s">
        <v>65</v>
      </c>
      <c r="B55" s="53">
        <v>2023</v>
      </c>
      <c r="C55" s="53" t="s">
        <v>64</v>
      </c>
      <c r="D55" s="53" t="s">
        <v>121</v>
      </c>
      <c r="E55" s="53">
        <v>187023</v>
      </c>
      <c r="F55" s="53" t="s">
        <v>20</v>
      </c>
      <c r="G55" s="53" t="s">
        <v>68</v>
      </c>
      <c r="H55" s="62" t="e" vm="9">
        <v>#VALUE!</v>
      </c>
      <c r="I55" s="53" t="s">
        <v>27</v>
      </c>
      <c r="J55" s="1" t="s">
        <v>32</v>
      </c>
      <c r="K55" s="53" t="s">
        <v>21</v>
      </c>
      <c r="L55" s="53" t="s">
        <v>21</v>
      </c>
      <c r="M55" s="53">
        <v>0</v>
      </c>
      <c r="N55" s="1">
        <v>14</v>
      </c>
      <c r="O55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55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55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55" s="62">
        <v>0</v>
      </c>
      <c r="S55" s="53">
        <v>0</v>
      </c>
      <c r="T55" s="1">
        <v>0</v>
      </c>
      <c r="U55" s="54">
        <v>150</v>
      </c>
      <c r="V55" s="55">
        <v>150</v>
      </c>
      <c r="W55" s="55">
        <v>150</v>
      </c>
      <c r="X55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5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0.10000000000000007</v>
      </c>
      <c r="Z55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5" s="40">
        <v>0</v>
      </c>
      <c r="AB55" s="56">
        <v>0</v>
      </c>
      <c r="AC55" s="56">
        <v>110.00000000000001</v>
      </c>
      <c r="AD55" s="56">
        <v>90</v>
      </c>
      <c r="AE55" s="55" t="s">
        <v>60</v>
      </c>
      <c r="AF55" s="56">
        <v>0</v>
      </c>
      <c r="AG55" s="56">
        <v>0</v>
      </c>
      <c r="AH55" s="40">
        <f>IF(ISNUMBER(Tabella2[[#This Row],[Mean RADIAL stress  (MPa)]]), Tabella2[[#This Row],[Mean RADIAL stress  (MPa)]],"")</f>
        <v>0</v>
      </c>
      <c r="AI55" s="56">
        <f>IF(ISNUMBER(Tabella2[[#This Row],[Amplitute RADIAL stress  (MPa)]]), Tabella2[[#This Row],[Amplitute RADIAL stress  (MPa)]],"")</f>
        <v>0</v>
      </c>
      <c r="AJ55" s="56">
        <f>IF(ISNUMBER(Tabella2[[#This Row],[Mean AXIAL stress  (MPa)]]), IF(Tabella2[[#This Row],[derived from (AXIAL/BENDING) load]]="AXIAL",Tabella2[[#This Row],[Mean AXIAL stress  (MPa)]]*Tabella2[[#This Row],[Area (mm^2)]],"Null"), "")</f>
        <v>16933.184402848987</v>
      </c>
      <c r="AK55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13854.423602330986</v>
      </c>
      <c r="AL55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5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5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55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55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5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90</v>
      </c>
    </row>
    <row r="56" spans="1:43" s="53" customFormat="1" ht="20.100000000000001" customHeight="1" x14ac:dyDescent="0.25">
      <c r="A56" s="53" t="s">
        <v>65</v>
      </c>
      <c r="B56" s="53">
        <v>2023</v>
      </c>
      <c r="C56" s="53" t="s">
        <v>64</v>
      </c>
      <c r="D56" s="53" t="s">
        <v>122</v>
      </c>
      <c r="E56" s="53">
        <v>101563</v>
      </c>
      <c r="F56" s="53" t="s">
        <v>20</v>
      </c>
      <c r="G56" s="53" t="s">
        <v>68</v>
      </c>
      <c r="H56" s="62" t="e" vm="10">
        <v>#VALUE!</v>
      </c>
      <c r="I56" s="53" t="s">
        <v>27</v>
      </c>
      <c r="J56" s="1" t="s">
        <v>32</v>
      </c>
      <c r="K56" s="53" t="s">
        <v>21</v>
      </c>
      <c r="L56" s="53" t="s">
        <v>21</v>
      </c>
      <c r="M56" s="53">
        <v>0</v>
      </c>
      <c r="N56" s="1">
        <v>14</v>
      </c>
      <c r="O56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56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56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56" s="62">
        <v>0</v>
      </c>
      <c r="S56" s="53">
        <v>0</v>
      </c>
      <c r="T56" s="1">
        <v>0</v>
      </c>
      <c r="U56" s="54">
        <v>150</v>
      </c>
      <c r="V56" s="55">
        <v>150</v>
      </c>
      <c r="W56" s="55">
        <v>150</v>
      </c>
      <c r="X56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6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0.10000000000000002</v>
      </c>
      <c r="Z56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6" s="40">
        <v>0</v>
      </c>
      <c r="AB56" s="56">
        <v>0</v>
      </c>
      <c r="AC56" s="56">
        <v>122.22222222222223</v>
      </c>
      <c r="AD56" s="56">
        <v>100</v>
      </c>
      <c r="AE56" s="55" t="s">
        <v>60</v>
      </c>
      <c r="AF56" s="56">
        <v>0</v>
      </c>
      <c r="AG56" s="56">
        <v>0</v>
      </c>
      <c r="AH56" s="40">
        <f>IF(ISNUMBER(Tabella2[[#This Row],[Mean RADIAL stress  (MPa)]]), Tabella2[[#This Row],[Mean RADIAL stress  (MPa)]],"")</f>
        <v>0</v>
      </c>
      <c r="AI56" s="56">
        <f>IF(ISNUMBER(Tabella2[[#This Row],[Amplitute RADIAL stress  (MPa)]]), Tabella2[[#This Row],[Amplitute RADIAL stress  (MPa)]],"")</f>
        <v>0</v>
      </c>
      <c r="AJ56" s="56">
        <f>IF(ISNUMBER(Tabella2[[#This Row],[Mean AXIAL stress  (MPa)]]), IF(Tabella2[[#This Row],[derived from (AXIAL/BENDING) load]]="AXIAL",Tabella2[[#This Row],[Mean AXIAL stress  (MPa)]]*Tabella2[[#This Row],[Area (mm^2)]],"Null"), "")</f>
        <v>18814.649336498871</v>
      </c>
      <c r="AK56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15393.804002589985</v>
      </c>
      <c r="AL56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6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6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56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56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6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100</v>
      </c>
    </row>
    <row r="57" spans="1:43" s="53" customFormat="1" ht="20.100000000000001" customHeight="1" x14ac:dyDescent="0.25">
      <c r="A57" s="53" t="s">
        <v>65</v>
      </c>
      <c r="B57" s="53">
        <v>2023</v>
      </c>
      <c r="C57" s="53" t="s">
        <v>64</v>
      </c>
      <c r="D57" s="53" t="s">
        <v>123</v>
      </c>
      <c r="E57" s="53">
        <v>100282</v>
      </c>
      <c r="F57" s="53" t="s">
        <v>20</v>
      </c>
      <c r="G57" s="53" t="s">
        <v>68</v>
      </c>
      <c r="H57" s="62" t="e" vm="9">
        <v>#VALUE!</v>
      </c>
      <c r="I57" s="53" t="s">
        <v>27</v>
      </c>
      <c r="J57" s="1" t="s">
        <v>32</v>
      </c>
      <c r="K57" s="53" t="s">
        <v>21</v>
      </c>
      <c r="L57" s="53" t="s">
        <v>21</v>
      </c>
      <c r="M57" s="53">
        <v>0</v>
      </c>
      <c r="N57" s="1">
        <v>14</v>
      </c>
      <c r="O57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57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57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57" s="62">
        <v>0</v>
      </c>
      <c r="S57" s="53">
        <v>0</v>
      </c>
      <c r="T57" s="1">
        <v>0</v>
      </c>
      <c r="U57" s="54">
        <v>150</v>
      </c>
      <c r="V57" s="55">
        <v>150</v>
      </c>
      <c r="W57" s="55">
        <v>150</v>
      </c>
      <c r="X57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7" s="5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0.10000000000000002</v>
      </c>
      <c r="Z57" s="5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7" s="40">
        <v>0</v>
      </c>
      <c r="AB57" s="56">
        <v>0</v>
      </c>
      <c r="AC57" s="56">
        <v>122.22222222222223</v>
      </c>
      <c r="AD57" s="56">
        <v>100</v>
      </c>
      <c r="AE57" s="55" t="s">
        <v>60</v>
      </c>
      <c r="AF57" s="56">
        <v>0</v>
      </c>
      <c r="AG57" s="56">
        <v>0</v>
      </c>
      <c r="AH57" s="40">
        <f>IF(ISNUMBER(Tabella2[[#This Row],[Mean RADIAL stress  (MPa)]]), Tabella2[[#This Row],[Mean RADIAL stress  (MPa)]],"")</f>
        <v>0</v>
      </c>
      <c r="AI57" s="56">
        <f>IF(ISNUMBER(Tabella2[[#This Row],[Amplitute RADIAL stress  (MPa)]]), Tabella2[[#This Row],[Amplitute RADIAL stress  (MPa)]],"")</f>
        <v>0</v>
      </c>
      <c r="AJ57" s="56">
        <f>IF(ISNUMBER(Tabella2[[#This Row],[Mean AXIAL stress  (MPa)]]), IF(Tabella2[[#This Row],[derived from (AXIAL/BENDING) load]]="AXIAL",Tabella2[[#This Row],[Mean AXIAL stress  (MPa)]]*Tabella2[[#This Row],[Area (mm^2)]],"Null"), "")</f>
        <v>18814.649336498871</v>
      </c>
      <c r="AK57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15393.804002589985</v>
      </c>
      <c r="AL57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7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7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57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57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7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100</v>
      </c>
    </row>
    <row r="58" spans="1:43" s="25" customFormat="1" ht="20.100000000000001" customHeight="1" x14ac:dyDescent="0.25">
      <c r="A58" s="25" t="s">
        <v>65</v>
      </c>
      <c r="B58" s="25">
        <v>2023</v>
      </c>
      <c r="C58" s="25" t="s">
        <v>64</v>
      </c>
      <c r="D58" s="25" t="s">
        <v>124</v>
      </c>
      <c r="E58" s="25">
        <v>87474</v>
      </c>
      <c r="F58" s="25" t="s">
        <v>20</v>
      </c>
      <c r="G58" s="25" t="s">
        <v>68</v>
      </c>
      <c r="H58" s="63" t="e" vm="9">
        <v>#VALUE!</v>
      </c>
      <c r="I58" s="25" t="s">
        <v>27</v>
      </c>
      <c r="J58" s="25" t="s">
        <v>32</v>
      </c>
      <c r="K58" s="25" t="s">
        <v>21</v>
      </c>
      <c r="L58" s="25" t="s">
        <v>21</v>
      </c>
      <c r="M58" s="25">
        <v>0</v>
      </c>
      <c r="N58" s="25">
        <v>14</v>
      </c>
      <c r="O58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58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58" s="26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58" s="63">
        <v>0</v>
      </c>
      <c r="S58" s="25">
        <v>0</v>
      </c>
      <c r="T58" s="25">
        <v>0</v>
      </c>
      <c r="U58" s="26">
        <v>150</v>
      </c>
      <c r="V58" s="27">
        <v>150</v>
      </c>
      <c r="W58" s="27">
        <v>150</v>
      </c>
      <c r="X58" s="2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8" s="2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0.10000000000000002</v>
      </c>
      <c r="Z58" s="25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8" s="42">
        <v>0</v>
      </c>
      <c r="AB58" s="28">
        <v>0</v>
      </c>
      <c r="AC58" s="28">
        <v>122.22222222222223</v>
      </c>
      <c r="AD58" s="28">
        <v>100</v>
      </c>
      <c r="AE58" s="27" t="s">
        <v>60</v>
      </c>
      <c r="AF58" s="28">
        <v>0</v>
      </c>
      <c r="AG58" s="28">
        <v>0</v>
      </c>
      <c r="AH58" s="42">
        <f>IF(ISNUMBER(Tabella2[[#This Row],[Mean RADIAL stress  (MPa)]]), Tabella2[[#This Row],[Mean RADIAL stress  (MPa)]],"")</f>
        <v>0</v>
      </c>
      <c r="AI58" s="28">
        <f>IF(ISNUMBER(Tabella2[[#This Row],[Amplitute RADIAL stress  (MPa)]]), Tabella2[[#This Row],[Amplitute RADIAL stress  (MPa)]],"")</f>
        <v>0</v>
      </c>
      <c r="AJ58" s="28">
        <f>IF(ISNUMBER(Tabella2[[#This Row],[Mean AXIAL stress  (MPa)]]), IF(Tabella2[[#This Row],[derived from (AXIAL/BENDING) load]]="AXIAL",Tabella2[[#This Row],[Mean AXIAL stress  (MPa)]]*Tabella2[[#This Row],[Area (mm^2)]],"Null"), "")</f>
        <v>18814.649336498871</v>
      </c>
      <c r="AK58" s="28">
        <f>IF(ISNUMBER(Tabella2[[#This Row],[Amplitute AXIAL stress  (MPa)]]),    IF(Tabella2[[#This Row],[derived from (AXIAL/BENDING) load]]="AXIAL",Tabella2[[#This Row],[Amplitute AXIAL stress  (MPa)]]*Tabella2[[#This Row],[Area (mm^2)]],"Null"), "")</f>
        <v>15393.804002589985</v>
      </c>
      <c r="AL58" s="2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8" s="2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8" s="2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58" s="2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58" s="69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8" s="3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100</v>
      </c>
    </row>
    <row r="59" spans="1:43" s="53" customFormat="1" ht="20.100000000000001" customHeight="1" x14ac:dyDescent="0.25">
      <c r="A59" s="53" t="s">
        <v>65</v>
      </c>
      <c r="B59" s="53">
        <v>2023</v>
      </c>
      <c r="C59" s="53" t="s">
        <v>64</v>
      </c>
      <c r="D59" s="53" t="s">
        <v>125</v>
      </c>
      <c r="E59" s="53">
        <v>1960572</v>
      </c>
      <c r="F59" s="53" t="s">
        <v>20</v>
      </c>
      <c r="G59" s="53" t="s">
        <v>68</v>
      </c>
      <c r="H59" s="62" t="e" vm="11">
        <v>#VALUE!</v>
      </c>
      <c r="I59" s="53" t="s">
        <v>27</v>
      </c>
      <c r="J59" s="1" t="s">
        <v>32</v>
      </c>
      <c r="K59" s="53" t="s">
        <v>21</v>
      </c>
      <c r="L59" s="53" t="s">
        <v>21</v>
      </c>
      <c r="M59" s="53">
        <v>0</v>
      </c>
      <c r="N59" s="1">
        <v>14</v>
      </c>
      <c r="O59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59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59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59" s="62">
        <v>0</v>
      </c>
      <c r="S59" s="53">
        <v>0</v>
      </c>
      <c r="T59" s="1">
        <v>0</v>
      </c>
      <c r="U59" s="54" t="s">
        <v>245</v>
      </c>
      <c r="V59" s="54" t="s">
        <v>245</v>
      </c>
      <c r="W59" s="54" t="s">
        <v>245</v>
      </c>
      <c r="X59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9" s="53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59" s="53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59" s="40">
        <v>0</v>
      </c>
      <c r="AB59" s="56">
        <v>0</v>
      </c>
      <c r="AC59" s="56">
        <v>0</v>
      </c>
      <c r="AD59" s="56">
        <v>0</v>
      </c>
      <c r="AE59" s="55" t="s">
        <v>60</v>
      </c>
      <c r="AF59" s="56">
        <v>0</v>
      </c>
      <c r="AG59" s="56">
        <v>200</v>
      </c>
      <c r="AH59" s="40">
        <f>IF(ISNUMBER(Tabella2[[#This Row],[Mean RADIAL stress  (MPa)]]), Tabella2[[#This Row],[Mean RADIAL stress  (MPa)]],"")</f>
        <v>0</v>
      </c>
      <c r="AI59" s="56">
        <f>IF(ISNUMBER(Tabella2[[#This Row],[Amplitute RADIAL stress  (MPa)]]), Tabella2[[#This Row],[Amplitute RADIAL stress  (MPa)]],"")</f>
        <v>0</v>
      </c>
      <c r="AJ59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59" s="5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59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9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9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59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107756.62801812989</v>
      </c>
      <c r="AP59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59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346.41016151377545</v>
      </c>
    </row>
    <row r="60" spans="1:43" s="53" customFormat="1" ht="20.100000000000001" customHeight="1" x14ac:dyDescent="0.25">
      <c r="A60" s="53" t="s">
        <v>65</v>
      </c>
      <c r="B60" s="53">
        <v>2023</v>
      </c>
      <c r="C60" s="53" t="s">
        <v>64</v>
      </c>
      <c r="D60" s="53" t="s">
        <v>126</v>
      </c>
      <c r="E60" s="53">
        <v>471522</v>
      </c>
      <c r="F60" s="53" t="s">
        <v>20</v>
      </c>
      <c r="G60" s="53" t="s">
        <v>68</v>
      </c>
      <c r="H60" s="62" t="e" vm="12">
        <v>#VALUE!</v>
      </c>
      <c r="I60" s="53" t="s">
        <v>27</v>
      </c>
      <c r="J60" s="1" t="s">
        <v>32</v>
      </c>
      <c r="K60" s="53" t="s">
        <v>21</v>
      </c>
      <c r="L60" s="53" t="s">
        <v>21</v>
      </c>
      <c r="M60" s="53">
        <v>0</v>
      </c>
      <c r="N60" s="1">
        <v>14</v>
      </c>
      <c r="O60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60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60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60" s="62">
        <v>0</v>
      </c>
      <c r="S60" s="53">
        <v>0</v>
      </c>
      <c r="T60" s="1">
        <v>0</v>
      </c>
      <c r="U60" s="54" t="s">
        <v>245</v>
      </c>
      <c r="V60" s="54" t="s">
        <v>245</v>
      </c>
      <c r="W60" s="54" t="s">
        <v>245</v>
      </c>
      <c r="X60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0" s="53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60" s="53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60" s="40">
        <v>0</v>
      </c>
      <c r="AB60" s="56">
        <v>0</v>
      </c>
      <c r="AC60" s="56">
        <v>0</v>
      </c>
      <c r="AD60" s="56">
        <v>0</v>
      </c>
      <c r="AE60" s="55" t="s">
        <v>60</v>
      </c>
      <c r="AF60" s="56">
        <v>0</v>
      </c>
      <c r="AG60" s="56">
        <v>220</v>
      </c>
      <c r="AH60" s="40">
        <f>IF(ISNUMBER(Tabella2[[#This Row],[Mean RADIAL stress  (MPa)]]), Tabella2[[#This Row],[Mean RADIAL stress  (MPa)]],"")</f>
        <v>0</v>
      </c>
      <c r="AI60" s="56">
        <f>IF(ISNUMBER(Tabella2[[#This Row],[Amplitute RADIAL stress  (MPa)]]), Tabella2[[#This Row],[Amplitute RADIAL stress  (MPa)]],"")</f>
        <v>0</v>
      </c>
      <c r="AJ60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60" s="5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60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0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0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60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118532.29081994291</v>
      </c>
      <c r="AP60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60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381.05117766515298</v>
      </c>
    </row>
    <row r="61" spans="1:43" s="53" customFormat="1" ht="20.100000000000001" customHeight="1" x14ac:dyDescent="0.25">
      <c r="A61" s="53" t="s">
        <v>65</v>
      </c>
      <c r="B61" s="53">
        <v>2023</v>
      </c>
      <c r="C61" s="53" t="s">
        <v>64</v>
      </c>
      <c r="D61" s="53" t="s">
        <v>127</v>
      </c>
      <c r="E61" s="53">
        <v>239157</v>
      </c>
      <c r="F61" s="53" t="s">
        <v>20</v>
      </c>
      <c r="G61" s="53" t="s">
        <v>68</v>
      </c>
      <c r="H61" s="62" t="e" vm="12">
        <v>#VALUE!</v>
      </c>
      <c r="I61" s="53" t="s">
        <v>27</v>
      </c>
      <c r="J61" s="1" t="s">
        <v>32</v>
      </c>
      <c r="K61" s="53" t="s">
        <v>21</v>
      </c>
      <c r="L61" s="53" t="s">
        <v>21</v>
      </c>
      <c r="M61" s="53">
        <v>0</v>
      </c>
      <c r="N61" s="1">
        <v>14</v>
      </c>
      <c r="O61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61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61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61" s="62">
        <v>0</v>
      </c>
      <c r="S61" s="53">
        <v>0</v>
      </c>
      <c r="T61" s="1">
        <v>0</v>
      </c>
      <c r="U61" s="54" t="s">
        <v>245</v>
      </c>
      <c r="V61" s="54" t="s">
        <v>245</v>
      </c>
      <c r="W61" s="54" t="s">
        <v>245</v>
      </c>
      <c r="X61" s="5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1" s="53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61" s="53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61" s="40">
        <v>0</v>
      </c>
      <c r="AB61" s="56">
        <v>0</v>
      </c>
      <c r="AC61" s="56">
        <v>0</v>
      </c>
      <c r="AD61" s="56">
        <v>0</v>
      </c>
      <c r="AE61" s="55" t="s">
        <v>60</v>
      </c>
      <c r="AF61" s="56">
        <v>0</v>
      </c>
      <c r="AG61" s="56">
        <v>240</v>
      </c>
      <c r="AH61" s="40">
        <f>IF(ISNUMBER(Tabella2[[#This Row],[Mean RADIAL stress  (MPa)]]), Tabella2[[#This Row],[Mean RADIAL stress  (MPa)]],"")</f>
        <v>0</v>
      </c>
      <c r="AI61" s="56">
        <f>IF(ISNUMBER(Tabella2[[#This Row],[Amplitute RADIAL stress  (MPa)]]), Tabella2[[#This Row],[Amplitute RADIAL stress  (MPa)]],"")</f>
        <v>0</v>
      </c>
      <c r="AJ61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61" s="5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61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1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1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61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129307.95362175589</v>
      </c>
      <c r="AP61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61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415.69219381653056</v>
      </c>
    </row>
    <row r="62" spans="1:43" s="53" customFormat="1" ht="20.100000000000001" customHeight="1" x14ac:dyDescent="0.25">
      <c r="A62" s="53" t="s">
        <v>65</v>
      </c>
      <c r="B62" s="53">
        <v>2023</v>
      </c>
      <c r="C62" s="53" t="s">
        <v>64</v>
      </c>
      <c r="D62" s="53" t="s">
        <v>128</v>
      </c>
      <c r="E62" s="53">
        <v>2353571</v>
      </c>
      <c r="F62" s="53" t="s">
        <v>20</v>
      </c>
      <c r="G62" s="53" t="s">
        <v>68</v>
      </c>
      <c r="H62" s="62" t="e" vm="12">
        <v>#VALUE!</v>
      </c>
      <c r="I62" s="53" t="s">
        <v>27</v>
      </c>
      <c r="J62" s="1" t="s">
        <v>32</v>
      </c>
      <c r="K62" s="53" t="s">
        <v>21</v>
      </c>
      <c r="L62" s="53" t="s">
        <v>21</v>
      </c>
      <c r="M62" s="53">
        <v>0</v>
      </c>
      <c r="N62" s="1">
        <v>14</v>
      </c>
      <c r="O62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62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62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62" s="62">
        <v>0</v>
      </c>
      <c r="S62" s="53">
        <v>0</v>
      </c>
      <c r="T62" s="1">
        <v>0</v>
      </c>
      <c r="U62" s="54" t="s">
        <v>245</v>
      </c>
      <c r="V62" s="54" t="s">
        <v>245</v>
      </c>
      <c r="W62" s="54" t="s">
        <v>245</v>
      </c>
      <c r="X62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2" s="5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62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62" s="40">
        <v>0</v>
      </c>
      <c r="AB62" s="56">
        <v>0</v>
      </c>
      <c r="AC62" s="56">
        <v>0</v>
      </c>
      <c r="AD62" s="56">
        <v>0</v>
      </c>
      <c r="AE62" s="55" t="s">
        <v>60</v>
      </c>
      <c r="AF62" s="56">
        <v>0</v>
      </c>
      <c r="AG62" s="56">
        <v>200</v>
      </c>
      <c r="AH62" s="40">
        <f>IF(ISNUMBER(Tabella2[[#This Row],[Mean RADIAL stress  (MPa)]]), Tabella2[[#This Row],[Mean RADIAL stress  (MPa)]],"")</f>
        <v>0</v>
      </c>
      <c r="AI62" s="56">
        <f>IF(ISNUMBER(Tabella2[[#This Row],[Amplitute RADIAL stress  (MPa)]]), Tabella2[[#This Row],[Amplitute RADIAL stress  (MPa)]],"")</f>
        <v>0</v>
      </c>
      <c r="AJ62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62" s="5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62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2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2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62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107756.62801812989</v>
      </c>
      <c r="AP62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62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346.41016151377545</v>
      </c>
    </row>
    <row r="63" spans="1:43" s="53" customFormat="1" ht="20.100000000000001" customHeight="1" x14ac:dyDescent="0.25">
      <c r="A63" s="53" t="s">
        <v>65</v>
      </c>
      <c r="B63" s="53">
        <v>2023</v>
      </c>
      <c r="C63" s="53" t="s">
        <v>64</v>
      </c>
      <c r="D63" s="53" t="s">
        <v>129</v>
      </c>
      <c r="E63" s="53">
        <v>791874</v>
      </c>
      <c r="F63" s="53" t="s">
        <v>20</v>
      </c>
      <c r="G63" s="53" t="s">
        <v>68</v>
      </c>
      <c r="H63" s="62" t="e" vm="12">
        <v>#VALUE!</v>
      </c>
      <c r="I63" s="53" t="s">
        <v>27</v>
      </c>
      <c r="J63" s="1" t="s">
        <v>32</v>
      </c>
      <c r="K63" s="53" t="s">
        <v>21</v>
      </c>
      <c r="L63" s="53" t="s">
        <v>21</v>
      </c>
      <c r="M63" s="53">
        <v>0</v>
      </c>
      <c r="N63" s="1">
        <v>14</v>
      </c>
      <c r="O63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63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63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63" s="62">
        <v>0</v>
      </c>
      <c r="S63" s="53">
        <v>0</v>
      </c>
      <c r="T63" s="1">
        <v>0</v>
      </c>
      <c r="U63" s="54" t="s">
        <v>245</v>
      </c>
      <c r="V63" s="54" t="s">
        <v>245</v>
      </c>
      <c r="W63" s="54" t="s">
        <v>245</v>
      </c>
      <c r="X63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3" s="5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63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63" s="40">
        <v>0</v>
      </c>
      <c r="AB63" s="56">
        <v>0</v>
      </c>
      <c r="AC63" s="56">
        <v>0</v>
      </c>
      <c r="AD63" s="56">
        <v>0</v>
      </c>
      <c r="AE63" s="55" t="s">
        <v>60</v>
      </c>
      <c r="AF63" s="56">
        <v>0</v>
      </c>
      <c r="AG63" s="56">
        <v>220</v>
      </c>
      <c r="AH63" s="40">
        <f>IF(ISNUMBER(Tabella2[[#This Row],[Mean RADIAL stress  (MPa)]]), Tabella2[[#This Row],[Mean RADIAL stress  (MPa)]],"")</f>
        <v>0</v>
      </c>
      <c r="AI63" s="56">
        <f>IF(ISNUMBER(Tabella2[[#This Row],[Amplitute RADIAL stress  (MPa)]]), Tabella2[[#This Row],[Amplitute RADIAL stress  (MPa)]],"")</f>
        <v>0</v>
      </c>
      <c r="AJ63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63" s="5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63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3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3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63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118532.29081994291</v>
      </c>
      <c r="AP63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63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381.05117766515298</v>
      </c>
    </row>
    <row r="64" spans="1:43" s="53" customFormat="1" ht="20.100000000000001" customHeight="1" x14ac:dyDescent="0.25">
      <c r="A64" s="53" t="s">
        <v>65</v>
      </c>
      <c r="B64" s="53">
        <v>2023</v>
      </c>
      <c r="C64" s="53" t="s">
        <v>64</v>
      </c>
      <c r="D64" s="53" t="s">
        <v>130</v>
      </c>
      <c r="E64" s="53">
        <v>214739</v>
      </c>
      <c r="F64" s="53" t="s">
        <v>20</v>
      </c>
      <c r="G64" s="53" t="s">
        <v>68</v>
      </c>
      <c r="H64" s="62" t="e" vm="12">
        <v>#VALUE!</v>
      </c>
      <c r="I64" s="53" t="s">
        <v>27</v>
      </c>
      <c r="J64" s="1" t="s">
        <v>32</v>
      </c>
      <c r="K64" s="53" t="s">
        <v>21</v>
      </c>
      <c r="L64" s="53" t="s">
        <v>21</v>
      </c>
      <c r="M64" s="53">
        <v>0</v>
      </c>
      <c r="N64" s="1">
        <v>14</v>
      </c>
      <c r="O64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64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64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64" s="62">
        <v>0</v>
      </c>
      <c r="S64" s="53">
        <v>0</v>
      </c>
      <c r="T64" s="1">
        <v>0</v>
      </c>
      <c r="U64" s="54" t="s">
        <v>245</v>
      </c>
      <c r="V64" s="54" t="s">
        <v>245</v>
      </c>
      <c r="W64" s="54" t="s">
        <v>245</v>
      </c>
      <c r="X64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4" s="5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64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64" s="40">
        <v>0</v>
      </c>
      <c r="AB64" s="56">
        <v>0</v>
      </c>
      <c r="AC64" s="56">
        <v>0</v>
      </c>
      <c r="AD64" s="56">
        <v>0</v>
      </c>
      <c r="AE64" s="55" t="s">
        <v>60</v>
      </c>
      <c r="AF64" s="56">
        <v>0</v>
      </c>
      <c r="AG64" s="56">
        <v>240</v>
      </c>
      <c r="AH64" s="40">
        <f>IF(ISNUMBER(Tabella2[[#This Row],[Mean RADIAL stress  (MPa)]]), Tabella2[[#This Row],[Mean RADIAL stress  (MPa)]],"")</f>
        <v>0</v>
      </c>
      <c r="AI64" s="56">
        <f>IF(ISNUMBER(Tabella2[[#This Row],[Amplitute RADIAL stress  (MPa)]]), Tabella2[[#This Row],[Amplitute RADIAL stress  (MPa)]],"")</f>
        <v>0</v>
      </c>
      <c r="AJ64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64" s="5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64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4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4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64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129307.95362175589</v>
      </c>
      <c r="AP64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64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415.69219381653056</v>
      </c>
    </row>
    <row r="65" spans="1:43" s="53" customFormat="1" ht="20.100000000000001" customHeight="1" x14ac:dyDescent="0.25">
      <c r="A65" s="53" t="s">
        <v>65</v>
      </c>
      <c r="B65" s="53">
        <v>2023</v>
      </c>
      <c r="C65" s="53" t="s">
        <v>64</v>
      </c>
      <c r="D65" s="53" t="s">
        <v>131</v>
      </c>
      <c r="E65" s="53">
        <v>3000000</v>
      </c>
      <c r="F65" s="53" t="s">
        <v>32</v>
      </c>
      <c r="G65" s="53" t="s">
        <v>68</v>
      </c>
      <c r="H65" s="62" t="e" vm="12">
        <v>#VALUE!</v>
      </c>
      <c r="I65" s="53" t="s">
        <v>27</v>
      </c>
      <c r="J65" s="1" t="s">
        <v>32</v>
      </c>
      <c r="K65" s="53" t="s">
        <v>21</v>
      </c>
      <c r="L65" s="53" t="s">
        <v>21</v>
      </c>
      <c r="M65" s="53">
        <v>0</v>
      </c>
      <c r="N65" s="1">
        <v>14</v>
      </c>
      <c r="O65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65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65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65" s="62">
        <v>0</v>
      </c>
      <c r="S65" s="53">
        <v>0</v>
      </c>
      <c r="T65" s="1">
        <v>0</v>
      </c>
      <c r="U65" s="54" t="s">
        <v>245</v>
      </c>
      <c r="V65" s="54" t="s">
        <v>245</v>
      </c>
      <c r="W65" s="54" t="s">
        <v>245</v>
      </c>
      <c r="X65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5" s="5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65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65" s="40">
        <v>0</v>
      </c>
      <c r="AB65" s="56">
        <v>0</v>
      </c>
      <c r="AC65" s="56">
        <v>0</v>
      </c>
      <c r="AD65" s="56">
        <v>0</v>
      </c>
      <c r="AE65" s="55" t="s">
        <v>60</v>
      </c>
      <c r="AF65" s="56">
        <v>0</v>
      </c>
      <c r="AG65" s="56">
        <v>190</v>
      </c>
      <c r="AH65" s="40">
        <f>IF(ISNUMBER(Tabella2[[#This Row],[Mean RADIAL stress  (MPa)]]), Tabella2[[#This Row],[Mean RADIAL stress  (MPa)]],"")</f>
        <v>0</v>
      </c>
      <c r="AI65" s="56">
        <f>IF(ISNUMBER(Tabella2[[#This Row],[Amplitute RADIAL stress  (MPa)]]), Tabella2[[#This Row],[Amplitute RADIAL stress  (MPa)]],"")</f>
        <v>0</v>
      </c>
      <c r="AJ65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65" s="5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65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5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5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65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102368.79661722342</v>
      </c>
      <c r="AP65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65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329.08965343808671</v>
      </c>
    </row>
    <row r="66" spans="1:43" s="53" customFormat="1" ht="20.100000000000001" customHeight="1" x14ac:dyDescent="0.25">
      <c r="A66" s="53" t="s">
        <v>65</v>
      </c>
      <c r="B66" s="53">
        <v>2023</v>
      </c>
      <c r="C66" s="53" t="s">
        <v>64</v>
      </c>
      <c r="D66" s="53" t="s">
        <v>132</v>
      </c>
      <c r="E66" s="53">
        <v>83000</v>
      </c>
      <c r="F66" s="53" t="s">
        <v>20</v>
      </c>
      <c r="G66" s="53" t="s">
        <v>68</v>
      </c>
      <c r="H66" s="62" t="e" vm="12">
        <v>#VALUE!</v>
      </c>
      <c r="I66" s="53" t="s">
        <v>27</v>
      </c>
      <c r="J66" s="1" t="s">
        <v>32</v>
      </c>
      <c r="K66" s="53" t="s">
        <v>21</v>
      </c>
      <c r="L66" s="53" t="s">
        <v>21</v>
      </c>
      <c r="M66" s="53">
        <v>0</v>
      </c>
      <c r="N66" s="1">
        <v>14</v>
      </c>
      <c r="O66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66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66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66" s="62">
        <v>0</v>
      </c>
      <c r="S66" s="53">
        <v>0</v>
      </c>
      <c r="T66" s="1">
        <v>0</v>
      </c>
      <c r="U66" s="54" t="s">
        <v>245</v>
      </c>
      <c r="V66" s="54" t="s">
        <v>245</v>
      </c>
      <c r="W66" s="54" t="s">
        <v>245</v>
      </c>
      <c r="X66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6" s="5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66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66" s="40">
        <v>0</v>
      </c>
      <c r="AB66" s="56">
        <v>0</v>
      </c>
      <c r="AC66" s="56">
        <v>0</v>
      </c>
      <c r="AD66" s="56">
        <v>0</v>
      </c>
      <c r="AE66" s="55" t="s">
        <v>60</v>
      </c>
      <c r="AF66" s="56">
        <v>0</v>
      </c>
      <c r="AG66" s="56">
        <v>260</v>
      </c>
      <c r="AH66" s="40">
        <f>IF(ISNUMBER(Tabella2[[#This Row],[Mean RADIAL stress  (MPa)]]), Tabella2[[#This Row],[Mean RADIAL stress  (MPa)]],"")</f>
        <v>0</v>
      </c>
      <c r="AI66" s="56">
        <f>IF(ISNUMBER(Tabella2[[#This Row],[Amplitute RADIAL stress  (MPa)]]), Tabella2[[#This Row],[Amplitute RADIAL stress  (MPa)]],"")</f>
        <v>0</v>
      </c>
      <c r="AJ66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66" s="5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66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6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6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66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140083.61642356886</v>
      </c>
      <c r="AP66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66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450.33320996790809</v>
      </c>
    </row>
    <row r="67" spans="1:43" s="53" customFormat="1" ht="20.100000000000001" customHeight="1" x14ac:dyDescent="0.25">
      <c r="A67" s="53" t="s">
        <v>65</v>
      </c>
      <c r="B67" s="53">
        <v>2023</v>
      </c>
      <c r="C67" s="53" t="s">
        <v>64</v>
      </c>
      <c r="D67" s="53" t="s">
        <v>133</v>
      </c>
      <c r="E67" s="53">
        <v>3000000</v>
      </c>
      <c r="F67" s="53" t="s">
        <v>32</v>
      </c>
      <c r="G67" s="53" t="s">
        <v>68</v>
      </c>
      <c r="H67" s="62" t="e" vm="12">
        <v>#VALUE!</v>
      </c>
      <c r="I67" s="53" t="s">
        <v>27</v>
      </c>
      <c r="J67" s="1" t="s">
        <v>32</v>
      </c>
      <c r="K67" s="53" t="s">
        <v>21</v>
      </c>
      <c r="L67" s="53" t="s">
        <v>21</v>
      </c>
      <c r="M67" s="53">
        <v>0</v>
      </c>
      <c r="N67" s="1">
        <v>14</v>
      </c>
      <c r="O67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67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67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67" s="62">
        <v>0</v>
      </c>
      <c r="S67" s="53">
        <v>0</v>
      </c>
      <c r="T67" s="1">
        <v>0</v>
      </c>
      <c r="U67" s="54" t="s">
        <v>245</v>
      </c>
      <c r="V67" s="54" t="s">
        <v>245</v>
      </c>
      <c r="W67" s="54" t="s">
        <v>245</v>
      </c>
      <c r="X67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7" s="5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67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67" s="40">
        <v>0</v>
      </c>
      <c r="AB67" s="56">
        <v>0</v>
      </c>
      <c r="AC67" s="56">
        <v>0</v>
      </c>
      <c r="AD67" s="56">
        <v>0</v>
      </c>
      <c r="AE67" s="55" t="s">
        <v>60</v>
      </c>
      <c r="AF67" s="56">
        <v>0</v>
      </c>
      <c r="AG67" s="56">
        <v>200</v>
      </c>
      <c r="AH67" s="40">
        <f>IF(ISNUMBER(Tabella2[[#This Row],[Mean RADIAL stress  (MPa)]]), Tabella2[[#This Row],[Mean RADIAL stress  (MPa)]],"")</f>
        <v>0</v>
      </c>
      <c r="AI67" s="56">
        <f>IF(ISNUMBER(Tabella2[[#This Row],[Amplitute RADIAL stress  (MPa)]]), Tabella2[[#This Row],[Amplitute RADIAL stress  (MPa)]],"")</f>
        <v>0</v>
      </c>
      <c r="AJ67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67" s="5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67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7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7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67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107756.62801812989</v>
      </c>
      <c r="AP67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67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346.41016151377545</v>
      </c>
    </row>
    <row r="68" spans="1:43" s="53" customFormat="1" ht="20.100000000000001" customHeight="1" x14ac:dyDescent="0.25">
      <c r="A68" s="53" t="s">
        <v>65</v>
      </c>
      <c r="B68" s="53">
        <v>2023</v>
      </c>
      <c r="C68" s="53" t="s">
        <v>64</v>
      </c>
      <c r="D68" s="53" t="s">
        <v>134</v>
      </c>
      <c r="E68" s="53">
        <v>90600</v>
      </c>
      <c r="F68" s="53" t="s">
        <v>20</v>
      </c>
      <c r="G68" s="53" t="s">
        <v>68</v>
      </c>
      <c r="H68" s="62" t="e" vm="12">
        <v>#VALUE!</v>
      </c>
      <c r="I68" s="53" t="s">
        <v>27</v>
      </c>
      <c r="J68" s="1" t="s">
        <v>32</v>
      </c>
      <c r="K68" s="53" t="s">
        <v>21</v>
      </c>
      <c r="L68" s="53" t="s">
        <v>21</v>
      </c>
      <c r="M68" s="53">
        <v>0</v>
      </c>
      <c r="N68" s="1">
        <v>14</v>
      </c>
      <c r="O68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68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68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68" s="62">
        <v>0</v>
      </c>
      <c r="S68" s="53">
        <v>0</v>
      </c>
      <c r="T68" s="1">
        <v>0</v>
      </c>
      <c r="U68" s="54" t="s">
        <v>245</v>
      </c>
      <c r="V68" s="54" t="s">
        <v>245</v>
      </c>
      <c r="W68" s="54" t="s">
        <v>245</v>
      </c>
      <c r="X68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8" s="5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68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68" s="40">
        <v>0</v>
      </c>
      <c r="AB68" s="56">
        <v>0</v>
      </c>
      <c r="AC68" s="56">
        <v>0</v>
      </c>
      <c r="AD68" s="56">
        <v>0</v>
      </c>
      <c r="AE68" s="55" t="s">
        <v>60</v>
      </c>
      <c r="AF68" s="56">
        <v>0</v>
      </c>
      <c r="AG68" s="56">
        <v>260</v>
      </c>
      <c r="AH68" s="40">
        <f>IF(ISNUMBER(Tabella2[[#This Row],[Mean RADIAL stress  (MPa)]]), Tabella2[[#This Row],[Mean RADIAL stress  (MPa)]],"")</f>
        <v>0</v>
      </c>
      <c r="AI68" s="56">
        <f>IF(ISNUMBER(Tabella2[[#This Row],[Amplitute RADIAL stress  (MPa)]]), Tabella2[[#This Row],[Amplitute RADIAL stress  (MPa)]],"")</f>
        <v>0</v>
      </c>
      <c r="AJ68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68" s="5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68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8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8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68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140083.61642356886</v>
      </c>
      <c r="AP68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68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450.33320996790809</v>
      </c>
    </row>
    <row r="69" spans="1:43" s="53" customFormat="1" ht="20.100000000000001" customHeight="1" x14ac:dyDescent="0.25">
      <c r="A69" s="53" t="s">
        <v>65</v>
      </c>
      <c r="B69" s="53">
        <v>2023</v>
      </c>
      <c r="C69" s="53" t="s">
        <v>64</v>
      </c>
      <c r="D69" s="53" t="s">
        <v>135</v>
      </c>
      <c r="E69" s="53">
        <v>690738</v>
      </c>
      <c r="F69" s="53" t="s">
        <v>20</v>
      </c>
      <c r="G69" s="53" t="s">
        <v>68</v>
      </c>
      <c r="H69" s="62" t="e" vm="12">
        <v>#VALUE!</v>
      </c>
      <c r="I69" s="53" t="s">
        <v>27</v>
      </c>
      <c r="J69" s="1" t="s">
        <v>32</v>
      </c>
      <c r="K69" s="53" t="s">
        <v>21</v>
      </c>
      <c r="L69" s="53" t="s">
        <v>21</v>
      </c>
      <c r="M69" s="53">
        <v>0</v>
      </c>
      <c r="N69" s="1">
        <v>14</v>
      </c>
      <c r="O69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69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69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69" s="62">
        <v>0</v>
      </c>
      <c r="S69" s="53">
        <v>0</v>
      </c>
      <c r="T69" s="1">
        <v>0</v>
      </c>
      <c r="U69" s="54" t="s">
        <v>245</v>
      </c>
      <c r="V69" s="54" t="s">
        <v>245</v>
      </c>
      <c r="W69" s="54" t="s">
        <v>245</v>
      </c>
      <c r="X69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9" s="5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69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69" s="40">
        <v>0</v>
      </c>
      <c r="AB69" s="56">
        <v>0</v>
      </c>
      <c r="AC69" s="56">
        <v>0</v>
      </c>
      <c r="AD69" s="56">
        <v>0</v>
      </c>
      <c r="AE69" s="55" t="s">
        <v>60</v>
      </c>
      <c r="AF69" s="56">
        <v>0</v>
      </c>
      <c r="AG69" s="56">
        <v>220</v>
      </c>
      <c r="AH69" s="40">
        <f>IF(ISNUMBER(Tabella2[[#This Row],[Mean RADIAL stress  (MPa)]]), Tabella2[[#This Row],[Mean RADIAL stress  (MPa)]],"")</f>
        <v>0</v>
      </c>
      <c r="AI69" s="56">
        <f>IF(ISNUMBER(Tabella2[[#This Row],[Amplitute RADIAL stress  (MPa)]]), Tabella2[[#This Row],[Amplitute RADIAL stress  (MPa)]],"")</f>
        <v>0</v>
      </c>
      <c r="AJ69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69" s="5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69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9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9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69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118532.29081994291</v>
      </c>
      <c r="AP69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69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381.05117766515298</v>
      </c>
    </row>
    <row r="70" spans="1:43" s="53" customFormat="1" ht="20.100000000000001" customHeight="1" x14ac:dyDescent="0.25">
      <c r="A70" s="53" t="s">
        <v>65</v>
      </c>
      <c r="B70" s="53">
        <v>2023</v>
      </c>
      <c r="C70" s="53" t="s">
        <v>64</v>
      </c>
      <c r="D70" s="53" t="s">
        <v>136</v>
      </c>
      <c r="E70" s="53">
        <v>208668</v>
      </c>
      <c r="F70" s="53" t="s">
        <v>20</v>
      </c>
      <c r="G70" s="53" t="s">
        <v>68</v>
      </c>
      <c r="H70" s="62" t="e" vm="12">
        <v>#VALUE!</v>
      </c>
      <c r="I70" s="53" t="s">
        <v>27</v>
      </c>
      <c r="J70" s="1" t="s">
        <v>32</v>
      </c>
      <c r="K70" s="53" t="s">
        <v>21</v>
      </c>
      <c r="L70" s="53" t="s">
        <v>21</v>
      </c>
      <c r="M70" s="53">
        <v>0</v>
      </c>
      <c r="N70" s="1">
        <v>14</v>
      </c>
      <c r="O70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70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70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70" s="62">
        <v>0</v>
      </c>
      <c r="S70" s="53">
        <v>0</v>
      </c>
      <c r="T70" s="1">
        <v>0</v>
      </c>
      <c r="U70" s="54" t="s">
        <v>245</v>
      </c>
      <c r="V70" s="54" t="s">
        <v>245</v>
      </c>
      <c r="W70" s="54" t="s">
        <v>245</v>
      </c>
      <c r="X70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0" s="5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70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70" s="40">
        <v>0</v>
      </c>
      <c r="AB70" s="56">
        <v>0</v>
      </c>
      <c r="AC70" s="56">
        <v>0</v>
      </c>
      <c r="AD70" s="56">
        <v>0</v>
      </c>
      <c r="AE70" s="55" t="s">
        <v>60</v>
      </c>
      <c r="AF70" s="56">
        <v>0</v>
      </c>
      <c r="AG70" s="56">
        <v>240</v>
      </c>
      <c r="AH70" s="40">
        <f>IF(ISNUMBER(Tabella2[[#This Row],[Mean RADIAL stress  (MPa)]]), Tabella2[[#This Row],[Mean RADIAL stress  (MPa)]],"")</f>
        <v>0</v>
      </c>
      <c r="AI70" s="56">
        <f>IF(ISNUMBER(Tabella2[[#This Row],[Amplitute RADIAL stress  (MPa)]]), Tabella2[[#This Row],[Amplitute RADIAL stress  (MPa)]],"")</f>
        <v>0</v>
      </c>
      <c r="AJ70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70" s="5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70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0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0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70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129307.95362175589</v>
      </c>
      <c r="AP70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70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415.69219381653056</v>
      </c>
    </row>
    <row r="71" spans="1:43" s="53" customFormat="1" ht="20.100000000000001" customHeight="1" x14ac:dyDescent="0.25">
      <c r="A71" s="53" t="s">
        <v>65</v>
      </c>
      <c r="B71" s="53">
        <v>2023</v>
      </c>
      <c r="C71" s="53" t="s">
        <v>64</v>
      </c>
      <c r="D71" s="53" t="s">
        <v>137</v>
      </c>
      <c r="E71" s="53">
        <v>77766</v>
      </c>
      <c r="F71" s="53" t="s">
        <v>20</v>
      </c>
      <c r="G71" s="53" t="s">
        <v>68</v>
      </c>
      <c r="H71" s="62" t="e" vm="12">
        <v>#VALUE!</v>
      </c>
      <c r="I71" s="53" t="s">
        <v>27</v>
      </c>
      <c r="J71" s="1" t="s">
        <v>32</v>
      </c>
      <c r="K71" s="53" t="s">
        <v>21</v>
      </c>
      <c r="L71" s="53" t="s">
        <v>21</v>
      </c>
      <c r="M71" s="53">
        <v>0</v>
      </c>
      <c r="N71" s="1">
        <v>14</v>
      </c>
      <c r="O71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71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71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71" s="62">
        <v>0</v>
      </c>
      <c r="S71" s="53">
        <v>0</v>
      </c>
      <c r="T71" s="1">
        <v>0</v>
      </c>
      <c r="U71" s="54" t="s">
        <v>245</v>
      </c>
      <c r="V71" s="54" t="s">
        <v>245</v>
      </c>
      <c r="W71" s="54" t="s">
        <v>245</v>
      </c>
      <c r="X71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1" s="5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71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71" s="40">
        <v>0</v>
      </c>
      <c r="AB71" s="56">
        <v>0</v>
      </c>
      <c r="AC71" s="56">
        <v>0</v>
      </c>
      <c r="AD71" s="56">
        <v>0</v>
      </c>
      <c r="AE71" s="55" t="s">
        <v>60</v>
      </c>
      <c r="AF71" s="56">
        <v>0</v>
      </c>
      <c r="AG71" s="56">
        <v>260</v>
      </c>
      <c r="AH71" s="40">
        <f>IF(ISNUMBER(Tabella2[[#This Row],[Mean RADIAL stress  (MPa)]]), Tabella2[[#This Row],[Mean RADIAL stress  (MPa)]],"")</f>
        <v>0</v>
      </c>
      <c r="AI71" s="56">
        <f>IF(ISNUMBER(Tabella2[[#This Row],[Amplitute RADIAL stress  (MPa)]]), Tabella2[[#This Row],[Amplitute RADIAL stress  (MPa)]],"")</f>
        <v>0</v>
      </c>
      <c r="AJ71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71" s="5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71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1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1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71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140083.61642356886</v>
      </c>
      <c r="AP71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71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450.33320996790809</v>
      </c>
    </row>
    <row r="72" spans="1:43" s="53" customFormat="1" ht="20.100000000000001" customHeight="1" x14ac:dyDescent="0.25">
      <c r="A72" s="53" t="s">
        <v>65</v>
      </c>
      <c r="B72" s="53">
        <v>2023</v>
      </c>
      <c r="C72" s="53" t="s">
        <v>64</v>
      </c>
      <c r="D72" s="53" t="s">
        <v>138</v>
      </c>
      <c r="E72" s="53">
        <v>1619225</v>
      </c>
      <c r="F72" s="53" t="s">
        <v>20</v>
      </c>
      <c r="G72" s="53" t="s">
        <v>68</v>
      </c>
      <c r="H72" s="62" t="e" vm="12">
        <v>#VALUE!</v>
      </c>
      <c r="I72" s="53" t="s">
        <v>27</v>
      </c>
      <c r="J72" s="1" t="s">
        <v>32</v>
      </c>
      <c r="K72" s="53" t="s">
        <v>21</v>
      </c>
      <c r="L72" s="53" t="s">
        <v>21</v>
      </c>
      <c r="M72" s="53">
        <v>0</v>
      </c>
      <c r="N72" s="1">
        <v>14</v>
      </c>
      <c r="O72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72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72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72" s="62">
        <v>0</v>
      </c>
      <c r="S72" s="53">
        <v>0</v>
      </c>
      <c r="T72" s="1">
        <v>0</v>
      </c>
      <c r="U72" s="54" t="s">
        <v>245</v>
      </c>
      <c r="V72" s="54" t="s">
        <v>245</v>
      </c>
      <c r="W72" s="54" t="s">
        <v>245</v>
      </c>
      <c r="X72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2" s="5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72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72" s="40">
        <v>0</v>
      </c>
      <c r="AB72" s="56">
        <v>0</v>
      </c>
      <c r="AC72" s="56">
        <v>0</v>
      </c>
      <c r="AD72" s="56">
        <v>0</v>
      </c>
      <c r="AE72" s="55" t="s">
        <v>60</v>
      </c>
      <c r="AF72" s="56">
        <v>0</v>
      </c>
      <c r="AG72" s="56">
        <v>210</v>
      </c>
      <c r="AH72" s="40">
        <f>IF(ISNUMBER(Tabella2[[#This Row],[Mean RADIAL stress  (MPa)]]), Tabella2[[#This Row],[Mean RADIAL stress  (MPa)]],"")</f>
        <v>0</v>
      </c>
      <c r="AI72" s="56">
        <f>IF(ISNUMBER(Tabella2[[#This Row],[Amplitute RADIAL stress  (MPa)]]), Tabella2[[#This Row],[Amplitute RADIAL stress  (MPa)]],"")</f>
        <v>0</v>
      </c>
      <c r="AJ72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72" s="5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72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2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2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72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113144.4594190364</v>
      </c>
      <c r="AP72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72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363.73066958946424</v>
      </c>
    </row>
    <row r="73" spans="1:43" s="53" customFormat="1" ht="20.100000000000001" customHeight="1" x14ac:dyDescent="0.25">
      <c r="A73" s="53" t="s">
        <v>65</v>
      </c>
      <c r="B73" s="53">
        <v>2023</v>
      </c>
      <c r="C73" s="53" t="s">
        <v>64</v>
      </c>
      <c r="D73" s="53" t="s">
        <v>139</v>
      </c>
      <c r="E73" s="53">
        <v>460906</v>
      </c>
      <c r="F73" s="53" t="s">
        <v>20</v>
      </c>
      <c r="G73" s="53" t="s">
        <v>68</v>
      </c>
      <c r="H73" s="62" t="e" vm="12">
        <v>#VALUE!</v>
      </c>
      <c r="I73" s="53" t="s">
        <v>27</v>
      </c>
      <c r="J73" s="1" t="s">
        <v>32</v>
      </c>
      <c r="K73" s="53" t="s">
        <v>21</v>
      </c>
      <c r="L73" s="53" t="s">
        <v>21</v>
      </c>
      <c r="M73" s="53">
        <v>0</v>
      </c>
      <c r="N73" s="1">
        <v>14</v>
      </c>
      <c r="O73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73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73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73" s="62">
        <v>0</v>
      </c>
      <c r="S73" s="53">
        <v>0</v>
      </c>
      <c r="T73" s="1">
        <v>0</v>
      </c>
      <c r="U73" s="54" t="s">
        <v>245</v>
      </c>
      <c r="V73" s="54" t="s">
        <v>245</v>
      </c>
      <c r="W73" s="54" t="s">
        <v>245</v>
      </c>
      <c r="X73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3" s="5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73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9.9999999999999978E-2</v>
      </c>
      <c r="AA73" s="40">
        <v>0</v>
      </c>
      <c r="AB73" s="56">
        <v>0</v>
      </c>
      <c r="AC73" s="56">
        <v>0</v>
      </c>
      <c r="AD73" s="56">
        <v>0</v>
      </c>
      <c r="AE73" s="55" t="s">
        <v>60</v>
      </c>
      <c r="AF73" s="56">
        <v>158.88888888888889</v>
      </c>
      <c r="AG73" s="56">
        <v>130</v>
      </c>
      <c r="AH73" s="40">
        <f>IF(ISNUMBER(Tabella2[[#This Row],[Mean RADIAL stress  (MPa)]]), Tabella2[[#This Row],[Mean RADIAL stress  (MPa)]],"")</f>
        <v>0</v>
      </c>
      <c r="AI73" s="56">
        <f>IF(ISNUMBER(Tabella2[[#This Row],[Amplitute RADIAL stress  (MPa)]]), Tabella2[[#This Row],[Amplitute RADIAL stress  (MPa)]],"")</f>
        <v>0</v>
      </c>
      <c r="AJ73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73" s="5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73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3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3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85606.654481069869</v>
      </c>
      <c r="AO73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70041.808211784431</v>
      </c>
      <c r="AP73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73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225.16660498395404</v>
      </c>
    </row>
    <row r="74" spans="1:43" s="53" customFormat="1" ht="20.100000000000001" customHeight="1" x14ac:dyDescent="0.25">
      <c r="A74" s="53" t="s">
        <v>65</v>
      </c>
      <c r="B74" s="53">
        <v>2023</v>
      </c>
      <c r="C74" s="53" t="s">
        <v>64</v>
      </c>
      <c r="D74" s="53" t="s">
        <v>140</v>
      </c>
      <c r="E74" s="53">
        <v>2301839</v>
      </c>
      <c r="F74" s="53" t="s">
        <v>20</v>
      </c>
      <c r="G74" s="53" t="s">
        <v>68</v>
      </c>
      <c r="H74" s="62" t="e" vm="13">
        <v>#VALUE!</v>
      </c>
      <c r="I74" s="53" t="s">
        <v>27</v>
      </c>
      <c r="J74" s="1" t="s">
        <v>32</v>
      </c>
      <c r="K74" s="53" t="s">
        <v>21</v>
      </c>
      <c r="L74" s="53" t="s">
        <v>21</v>
      </c>
      <c r="M74" s="53">
        <v>0</v>
      </c>
      <c r="N74" s="1">
        <v>14</v>
      </c>
      <c r="O74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74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74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74" s="62">
        <v>0</v>
      </c>
      <c r="S74" s="53">
        <v>0</v>
      </c>
      <c r="T74" s="1">
        <v>0</v>
      </c>
      <c r="U74" s="54" t="s">
        <v>245</v>
      </c>
      <c r="V74" s="54" t="s">
        <v>245</v>
      </c>
      <c r="W74" s="54" t="s">
        <v>245</v>
      </c>
      <c r="X74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4" s="5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74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0.10000000000000005</v>
      </c>
      <c r="AA74" s="40">
        <v>0</v>
      </c>
      <c r="AB74" s="56">
        <v>0</v>
      </c>
      <c r="AC74" s="56">
        <v>0</v>
      </c>
      <c r="AD74" s="56">
        <v>0</v>
      </c>
      <c r="AE74" s="55" t="s">
        <v>60</v>
      </c>
      <c r="AF74" s="56">
        <v>134.44444444444446</v>
      </c>
      <c r="AG74" s="56">
        <v>110</v>
      </c>
      <c r="AH74" s="40">
        <f>IF(ISNUMBER(Tabella2[[#This Row],[Mean RADIAL stress  (MPa)]]), Tabella2[[#This Row],[Mean RADIAL stress  (MPa)]],"")</f>
        <v>0</v>
      </c>
      <c r="AI74" s="56">
        <f>IF(ISNUMBER(Tabella2[[#This Row],[Amplitute RADIAL stress  (MPa)]]), Tabella2[[#This Row],[Amplitute RADIAL stress  (MPa)]],"")</f>
        <v>0</v>
      </c>
      <c r="AJ74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74" s="5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74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4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4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72436.399945520665</v>
      </c>
      <c r="AO74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59266.145409971454</v>
      </c>
      <c r="AP74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74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190.52558883257649</v>
      </c>
    </row>
    <row r="75" spans="1:43" s="53" customFormat="1" ht="20.100000000000001" customHeight="1" x14ac:dyDescent="0.25">
      <c r="A75" s="53" t="s">
        <v>65</v>
      </c>
      <c r="B75" s="53">
        <v>2023</v>
      </c>
      <c r="C75" s="53" t="s">
        <v>64</v>
      </c>
      <c r="D75" s="53" t="s">
        <v>141</v>
      </c>
      <c r="E75" s="53">
        <v>700891</v>
      </c>
      <c r="F75" s="53" t="s">
        <v>20</v>
      </c>
      <c r="G75" s="53" t="s">
        <v>68</v>
      </c>
      <c r="H75" s="62" t="e" vm="12">
        <v>#VALUE!</v>
      </c>
      <c r="I75" s="53" t="s">
        <v>27</v>
      </c>
      <c r="J75" s="1" t="s">
        <v>32</v>
      </c>
      <c r="K75" s="53" t="s">
        <v>21</v>
      </c>
      <c r="L75" s="53" t="s">
        <v>21</v>
      </c>
      <c r="M75" s="53">
        <v>0</v>
      </c>
      <c r="N75" s="1">
        <v>14</v>
      </c>
      <c r="O75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75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75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75" s="62">
        <v>0</v>
      </c>
      <c r="S75" s="53">
        <v>0</v>
      </c>
      <c r="T75" s="1">
        <v>0</v>
      </c>
      <c r="U75" s="54" t="s">
        <v>245</v>
      </c>
      <c r="V75" s="54" t="s">
        <v>245</v>
      </c>
      <c r="W75" s="54" t="s">
        <v>245</v>
      </c>
      <c r="X75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5" s="5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75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9.9999999999999978E-2</v>
      </c>
      <c r="AA75" s="40">
        <v>0</v>
      </c>
      <c r="AB75" s="56">
        <v>0</v>
      </c>
      <c r="AC75" s="56">
        <v>0</v>
      </c>
      <c r="AD75" s="56">
        <v>0</v>
      </c>
      <c r="AE75" s="55" t="s">
        <v>60</v>
      </c>
      <c r="AF75" s="56">
        <v>158.88888888888889</v>
      </c>
      <c r="AG75" s="56">
        <v>130</v>
      </c>
      <c r="AH75" s="40">
        <f>IF(ISNUMBER(Tabella2[[#This Row],[Mean RADIAL stress  (MPa)]]), Tabella2[[#This Row],[Mean RADIAL stress  (MPa)]],"")</f>
        <v>0</v>
      </c>
      <c r="AI75" s="56">
        <f>IF(ISNUMBER(Tabella2[[#This Row],[Amplitute RADIAL stress  (MPa)]]), Tabella2[[#This Row],[Amplitute RADIAL stress  (MPa)]],"")</f>
        <v>0</v>
      </c>
      <c r="AJ75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75" s="5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75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5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5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85606.654481069869</v>
      </c>
      <c r="AO75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70041.808211784431</v>
      </c>
      <c r="AP75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75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225.16660498395404</v>
      </c>
    </row>
    <row r="76" spans="1:43" s="53" customFormat="1" ht="20.100000000000001" customHeight="1" x14ac:dyDescent="0.25">
      <c r="A76" s="53" t="s">
        <v>65</v>
      </c>
      <c r="B76" s="53">
        <v>2023</v>
      </c>
      <c r="C76" s="53" t="s">
        <v>64</v>
      </c>
      <c r="D76" s="53" t="s">
        <v>142</v>
      </c>
      <c r="E76" s="53">
        <v>5000000</v>
      </c>
      <c r="F76" s="53" t="s">
        <v>32</v>
      </c>
      <c r="G76" s="53" t="s">
        <v>68</v>
      </c>
      <c r="H76" s="62" t="e" vm="12">
        <v>#VALUE!</v>
      </c>
      <c r="I76" s="53" t="s">
        <v>27</v>
      </c>
      <c r="J76" s="1" t="s">
        <v>32</v>
      </c>
      <c r="K76" s="53" t="s">
        <v>21</v>
      </c>
      <c r="L76" s="53" t="s">
        <v>21</v>
      </c>
      <c r="M76" s="53">
        <v>0</v>
      </c>
      <c r="N76" s="1">
        <v>14</v>
      </c>
      <c r="O76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76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76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76" s="62">
        <v>0</v>
      </c>
      <c r="S76" s="53">
        <v>0</v>
      </c>
      <c r="T76" s="1">
        <v>0</v>
      </c>
      <c r="U76" s="54" t="s">
        <v>245</v>
      </c>
      <c r="V76" s="54" t="s">
        <v>245</v>
      </c>
      <c r="W76" s="54" t="s">
        <v>245</v>
      </c>
      <c r="X76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6" s="5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76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0.10000000000000002</v>
      </c>
      <c r="AA76" s="40">
        <v>0</v>
      </c>
      <c r="AB76" s="56">
        <v>0</v>
      </c>
      <c r="AC76" s="56">
        <v>0</v>
      </c>
      <c r="AD76" s="56">
        <v>0</v>
      </c>
      <c r="AE76" s="55" t="s">
        <v>60</v>
      </c>
      <c r="AF76" s="56">
        <v>122.22222222222223</v>
      </c>
      <c r="AG76" s="56">
        <v>100</v>
      </c>
      <c r="AH76" s="40">
        <f>IF(ISNUMBER(Tabella2[[#This Row],[Mean RADIAL stress  (MPa)]]), Tabella2[[#This Row],[Mean RADIAL stress  (MPa)]],"")</f>
        <v>0</v>
      </c>
      <c r="AI76" s="56">
        <f>IF(ISNUMBER(Tabella2[[#This Row],[Amplitute RADIAL stress  (MPa)]]), Tabella2[[#This Row],[Amplitute RADIAL stress  (MPa)]],"")</f>
        <v>0</v>
      </c>
      <c r="AJ76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76" s="5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76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6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6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65851.272677746063</v>
      </c>
      <c r="AO76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53878.314009064947</v>
      </c>
      <c r="AP76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76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173.20508075688772</v>
      </c>
    </row>
    <row r="77" spans="1:43" s="53" customFormat="1" ht="20.100000000000001" customHeight="1" x14ac:dyDescent="0.25">
      <c r="A77" s="53" t="s">
        <v>65</v>
      </c>
      <c r="B77" s="53">
        <v>2023</v>
      </c>
      <c r="C77" s="53" t="s">
        <v>64</v>
      </c>
      <c r="D77" s="53" t="s">
        <v>143</v>
      </c>
      <c r="E77" s="53">
        <v>139002</v>
      </c>
      <c r="F77" s="53" t="s">
        <v>20</v>
      </c>
      <c r="G77" s="53" t="s">
        <v>68</v>
      </c>
      <c r="H77" s="62" t="e" vm="12">
        <v>#VALUE!</v>
      </c>
      <c r="I77" s="53" t="s">
        <v>27</v>
      </c>
      <c r="J77" s="1" t="s">
        <v>32</v>
      </c>
      <c r="K77" s="53" t="s">
        <v>21</v>
      </c>
      <c r="L77" s="53" t="s">
        <v>21</v>
      </c>
      <c r="M77" s="53">
        <v>0</v>
      </c>
      <c r="N77" s="1">
        <v>14</v>
      </c>
      <c r="O77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77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77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77" s="62">
        <v>0</v>
      </c>
      <c r="S77" s="53">
        <v>0</v>
      </c>
      <c r="T77" s="1">
        <v>0</v>
      </c>
      <c r="U77" s="54" t="s">
        <v>245</v>
      </c>
      <c r="V77" s="54" t="s">
        <v>245</v>
      </c>
      <c r="W77" s="54" t="s">
        <v>245</v>
      </c>
      <c r="X77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7" s="5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77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0.10000000000000002</v>
      </c>
      <c r="AA77" s="40">
        <v>0</v>
      </c>
      <c r="AB77" s="56">
        <v>0</v>
      </c>
      <c r="AC77" s="56">
        <v>0</v>
      </c>
      <c r="AD77" s="56">
        <v>0</v>
      </c>
      <c r="AE77" s="55" t="s">
        <v>60</v>
      </c>
      <c r="AF77" s="56">
        <v>183.33333333333334</v>
      </c>
      <c r="AG77" s="56">
        <v>150</v>
      </c>
      <c r="AH77" s="40">
        <f>IF(ISNUMBER(Tabella2[[#This Row],[Mean RADIAL stress  (MPa)]]), Tabella2[[#This Row],[Mean RADIAL stress  (MPa)]],"")</f>
        <v>0</v>
      </c>
      <c r="AI77" s="56">
        <f>IF(ISNUMBER(Tabella2[[#This Row],[Amplitute RADIAL stress  (MPa)]]), Tabella2[[#This Row],[Amplitute RADIAL stress  (MPa)]],"")</f>
        <v>0</v>
      </c>
      <c r="AJ77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77" s="5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77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7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7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98776.909016619087</v>
      </c>
      <c r="AO77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80817.471013597431</v>
      </c>
      <c r="AP77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77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259.8076211353316</v>
      </c>
    </row>
    <row r="78" spans="1:43" s="53" customFormat="1" ht="20.100000000000001" customHeight="1" x14ac:dyDescent="0.25">
      <c r="A78" s="53" t="s">
        <v>65</v>
      </c>
      <c r="B78" s="53">
        <v>2023</v>
      </c>
      <c r="C78" s="53" t="s">
        <v>64</v>
      </c>
      <c r="D78" s="53" t="s">
        <v>144</v>
      </c>
      <c r="E78" s="53">
        <v>286159</v>
      </c>
      <c r="F78" s="53" t="s">
        <v>20</v>
      </c>
      <c r="G78" s="53" t="s">
        <v>68</v>
      </c>
      <c r="H78" s="62" t="e" vm="12">
        <v>#VALUE!</v>
      </c>
      <c r="I78" s="53" t="s">
        <v>27</v>
      </c>
      <c r="J78" s="1" t="s">
        <v>32</v>
      </c>
      <c r="K78" s="53" t="s">
        <v>21</v>
      </c>
      <c r="L78" s="53" t="s">
        <v>21</v>
      </c>
      <c r="M78" s="53">
        <v>0</v>
      </c>
      <c r="N78" s="1">
        <v>14</v>
      </c>
      <c r="O78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78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78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78" s="62">
        <v>0</v>
      </c>
      <c r="S78" s="53">
        <v>0</v>
      </c>
      <c r="T78" s="1">
        <v>0</v>
      </c>
      <c r="U78" s="54" t="s">
        <v>245</v>
      </c>
      <c r="V78" s="54" t="s">
        <v>245</v>
      </c>
      <c r="W78" s="54" t="s">
        <v>245</v>
      </c>
      <c r="X78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8" s="5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78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0.10000000000000002</v>
      </c>
      <c r="AA78" s="40">
        <v>0</v>
      </c>
      <c r="AB78" s="56">
        <v>0</v>
      </c>
      <c r="AC78" s="56">
        <v>0</v>
      </c>
      <c r="AD78" s="56">
        <v>0</v>
      </c>
      <c r="AE78" s="55" t="s">
        <v>60</v>
      </c>
      <c r="AF78" s="56">
        <v>183.33333333333334</v>
      </c>
      <c r="AG78" s="56">
        <v>150</v>
      </c>
      <c r="AH78" s="40">
        <f>IF(ISNUMBER(Tabella2[[#This Row],[Mean RADIAL stress  (MPa)]]), Tabella2[[#This Row],[Mean RADIAL stress  (MPa)]],"")</f>
        <v>0</v>
      </c>
      <c r="AI78" s="56">
        <f>IF(ISNUMBER(Tabella2[[#This Row],[Amplitute RADIAL stress  (MPa)]]), Tabella2[[#This Row],[Amplitute RADIAL stress  (MPa)]],"")</f>
        <v>0</v>
      </c>
      <c r="AJ78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78" s="5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78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8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8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98776.909016619087</v>
      </c>
      <c r="AO78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80817.471013597431</v>
      </c>
      <c r="AP78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78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259.8076211353316</v>
      </c>
    </row>
    <row r="79" spans="1:43" s="53" customFormat="1" ht="20.100000000000001" customHeight="1" x14ac:dyDescent="0.25">
      <c r="A79" s="53" t="s">
        <v>65</v>
      </c>
      <c r="B79" s="53">
        <v>2023</v>
      </c>
      <c r="C79" s="53" t="s">
        <v>64</v>
      </c>
      <c r="D79" s="53" t="s">
        <v>145</v>
      </c>
      <c r="E79" s="53">
        <v>1245382</v>
      </c>
      <c r="F79" s="53" t="s">
        <v>20</v>
      </c>
      <c r="G79" s="53" t="s">
        <v>68</v>
      </c>
      <c r="H79" s="62" t="e" vm="12">
        <v>#VALUE!</v>
      </c>
      <c r="I79" s="53" t="s">
        <v>27</v>
      </c>
      <c r="J79" s="1" t="s">
        <v>32</v>
      </c>
      <c r="K79" s="53" t="s">
        <v>21</v>
      </c>
      <c r="L79" s="53" t="s">
        <v>21</v>
      </c>
      <c r="M79" s="53">
        <v>0</v>
      </c>
      <c r="N79" s="1">
        <v>14</v>
      </c>
      <c r="O79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79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79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79" s="62">
        <v>0</v>
      </c>
      <c r="S79" s="53">
        <v>0</v>
      </c>
      <c r="T79" s="1">
        <v>0</v>
      </c>
      <c r="U79" s="54" t="s">
        <v>245</v>
      </c>
      <c r="V79" s="54" t="s">
        <v>245</v>
      </c>
      <c r="W79" s="54" t="s">
        <v>245</v>
      </c>
      <c r="X79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9" s="5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79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0.10000000000000005</v>
      </c>
      <c r="AA79" s="40">
        <v>0</v>
      </c>
      <c r="AB79" s="56">
        <v>0</v>
      </c>
      <c r="AC79" s="56">
        <v>0</v>
      </c>
      <c r="AD79" s="56">
        <v>0</v>
      </c>
      <c r="AE79" s="55" t="s">
        <v>60</v>
      </c>
      <c r="AF79" s="56">
        <v>134.44444444444446</v>
      </c>
      <c r="AG79" s="56">
        <v>110</v>
      </c>
      <c r="AH79" s="40">
        <f>IF(ISNUMBER(Tabella2[[#This Row],[Mean RADIAL stress  (MPa)]]), Tabella2[[#This Row],[Mean RADIAL stress  (MPa)]],"")</f>
        <v>0</v>
      </c>
      <c r="AI79" s="56">
        <f>IF(ISNUMBER(Tabella2[[#This Row],[Amplitute RADIAL stress  (MPa)]]), Tabella2[[#This Row],[Amplitute RADIAL stress  (MPa)]],"")</f>
        <v>0</v>
      </c>
      <c r="AJ79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79" s="5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79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9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9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72436.399945520665</v>
      </c>
      <c r="AO79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59266.145409971454</v>
      </c>
      <c r="AP79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79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190.52558883257649</v>
      </c>
    </row>
    <row r="80" spans="1:43" s="53" customFormat="1" ht="20.100000000000001" customHeight="1" x14ac:dyDescent="0.25">
      <c r="A80" s="53" t="s">
        <v>65</v>
      </c>
      <c r="B80" s="53">
        <v>2023</v>
      </c>
      <c r="C80" s="53" t="s">
        <v>64</v>
      </c>
      <c r="D80" s="53" t="s">
        <v>146</v>
      </c>
      <c r="E80" s="53">
        <v>1260414</v>
      </c>
      <c r="F80" s="53" t="s">
        <v>20</v>
      </c>
      <c r="G80" s="53" t="s">
        <v>68</v>
      </c>
      <c r="H80" s="62" t="e" vm="12">
        <v>#VALUE!</v>
      </c>
      <c r="I80" s="53" t="s">
        <v>27</v>
      </c>
      <c r="J80" s="1" t="s">
        <v>32</v>
      </c>
      <c r="K80" s="53" t="s">
        <v>21</v>
      </c>
      <c r="L80" s="53" t="s">
        <v>21</v>
      </c>
      <c r="M80" s="53">
        <v>0</v>
      </c>
      <c r="N80" s="1">
        <v>14</v>
      </c>
      <c r="O80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80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80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80" s="62">
        <v>0</v>
      </c>
      <c r="S80" s="53">
        <v>0</v>
      </c>
      <c r="T80" s="1">
        <v>0</v>
      </c>
      <c r="U80" s="54" t="s">
        <v>245</v>
      </c>
      <c r="V80" s="54" t="s">
        <v>245</v>
      </c>
      <c r="W80" s="54" t="s">
        <v>245</v>
      </c>
      <c r="X80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0" s="5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80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0.10000000000000005</v>
      </c>
      <c r="AA80" s="40">
        <v>0</v>
      </c>
      <c r="AB80" s="56">
        <v>0</v>
      </c>
      <c r="AC80" s="56">
        <v>0</v>
      </c>
      <c r="AD80" s="56">
        <v>0</v>
      </c>
      <c r="AE80" s="55" t="s">
        <v>60</v>
      </c>
      <c r="AF80" s="56">
        <v>134.44444444444446</v>
      </c>
      <c r="AG80" s="56">
        <v>110</v>
      </c>
      <c r="AH80" s="40">
        <f>IF(ISNUMBER(Tabella2[[#This Row],[Mean RADIAL stress  (MPa)]]), Tabella2[[#This Row],[Mean RADIAL stress  (MPa)]],"")</f>
        <v>0</v>
      </c>
      <c r="AI80" s="56">
        <f>IF(ISNUMBER(Tabella2[[#This Row],[Amplitute RADIAL stress  (MPa)]]), Tabella2[[#This Row],[Amplitute RADIAL stress  (MPa)]],"")</f>
        <v>0</v>
      </c>
      <c r="AJ80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80" s="5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80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0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0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72436.399945520665</v>
      </c>
      <c r="AO80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59266.145409971454</v>
      </c>
      <c r="AP80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80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190.52558883257649</v>
      </c>
    </row>
    <row r="81" spans="1:43" s="25" customFormat="1" ht="20.100000000000001" customHeight="1" x14ac:dyDescent="0.25">
      <c r="A81" s="25" t="s">
        <v>65</v>
      </c>
      <c r="B81" s="25">
        <v>2023</v>
      </c>
      <c r="C81" s="25" t="s">
        <v>64</v>
      </c>
      <c r="D81" s="25" t="s">
        <v>147</v>
      </c>
      <c r="E81" s="25">
        <v>591800</v>
      </c>
      <c r="F81" s="25" t="s">
        <v>20</v>
      </c>
      <c r="G81" s="25" t="s">
        <v>68</v>
      </c>
      <c r="H81" s="63" t="e" vm="12">
        <v>#VALUE!</v>
      </c>
      <c r="I81" s="25" t="s">
        <v>27</v>
      </c>
      <c r="J81" s="25" t="s">
        <v>32</v>
      </c>
      <c r="K81" s="25" t="s">
        <v>21</v>
      </c>
      <c r="L81" s="25" t="s">
        <v>21</v>
      </c>
      <c r="M81" s="25">
        <v>0</v>
      </c>
      <c r="N81" s="25">
        <v>14</v>
      </c>
      <c r="O81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81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81" s="26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81" s="63">
        <v>0</v>
      </c>
      <c r="S81" s="25">
        <v>0</v>
      </c>
      <c r="T81" s="25">
        <v>0</v>
      </c>
      <c r="U81" s="26" t="s">
        <v>245</v>
      </c>
      <c r="V81" s="26" t="s">
        <v>245</v>
      </c>
      <c r="W81" s="26" t="s">
        <v>245</v>
      </c>
      <c r="X81" s="5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1" s="59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81" s="59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9.9999999999999978E-2</v>
      </c>
      <c r="AA81" s="42">
        <v>0</v>
      </c>
      <c r="AB81" s="28">
        <v>0</v>
      </c>
      <c r="AC81" s="28">
        <v>0</v>
      </c>
      <c r="AD81" s="28">
        <v>0</v>
      </c>
      <c r="AE81" s="27" t="s">
        <v>60</v>
      </c>
      <c r="AF81" s="28">
        <v>158.88888888888889</v>
      </c>
      <c r="AG81" s="28">
        <v>130</v>
      </c>
      <c r="AH81" s="42">
        <f>IF(ISNUMBER(Tabella2[[#This Row],[Mean RADIAL stress  (MPa)]]), Tabella2[[#This Row],[Mean RADIAL stress  (MPa)]],"")</f>
        <v>0</v>
      </c>
      <c r="AI81" s="28">
        <f>IF(ISNUMBER(Tabella2[[#This Row],[Amplitute RADIAL stress  (MPa)]]), Tabella2[[#This Row],[Amplitute RADIAL stress  (MPa)]],"")</f>
        <v>0</v>
      </c>
      <c r="AJ81" s="2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81" s="28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81" s="2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1" s="2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1" s="2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85606.654481069869</v>
      </c>
      <c r="AO81" s="2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70041.808211784431</v>
      </c>
      <c r="AP81" s="69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81" s="3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225.16660498395404</v>
      </c>
    </row>
    <row r="82" spans="1:43" s="53" customFormat="1" ht="20.100000000000001" customHeight="1" x14ac:dyDescent="0.25">
      <c r="A82" s="53" t="s">
        <v>65</v>
      </c>
      <c r="B82" s="53">
        <v>2023</v>
      </c>
      <c r="C82" s="53" t="s">
        <v>64</v>
      </c>
      <c r="D82" s="53" t="s">
        <v>148</v>
      </c>
      <c r="E82" s="53">
        <v>2000000</v>
      </c>
      <c r="F82" s="53" t="s">
        <v>32</v>
      </c>
      <c r="G82" s="53" t="s">
        <v>68</v>
      </c>
      <c r="H82" s="62" t="e" vm="14">
        <v>#VALUE!</v>
      </c>
      <c r="I82" s="53" t="s">
        <v>27</v>
      </c>
      <c r="J82" s="1" t="s">
        <v>32</v>
      </c>
      <c r="K82" s="53" t="s">
        <v>21</v>
      </c>
      <c r="L82" s="53" t="s">
        <v>21</v>
      </c>
      <c r="M82" s="53">
        <v>0</v>
      </c>
      <c r="N82" s="1">
        <v>14</v>
      </c>
      <c r="O82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82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82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82" s="62">
        <v>0</v>
      </c>
      <c r="S82" s="53">
        <v>0</v>
      </c>
      <c r="T82" s="1">
        <v>0</v>
      </c>
      <c r="U82" s="54" t="s">
        <v>245</v>
      </c>
      <c r="V82" s="54" t="s">
        <v>245</v>
      </c>
      <c r="W82" s="54" t="s">
        <v>245</v>
      </c>
      <c r="X82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2" s="5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82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82" s="40">
        <v>0</v>
      </c>
      <c r="AB82" s="56">
        <v>0</v>
      </c>
      <c r="AC82" s="56">
        <v>0</v>
      </c>
      <c r="AD82" s="56">
        <v>0</v>
      </c>
      <c r="AE82" s="55" t="s">
        <v>60</v>
      </c>
      <c r="AF82" s="56">
        <v>0</v>
      </c>
      <c r="AG82" s="56">
        <v>100</v>
      </c>
      <c r="AH82" s="40">
        <f>IF(ISNUMBER(Tabella2[[#This Row],[Mean RADIAL stress  (MPa)]]), Tabella2[[#This Row],[Mean RADIAL stress  (MPa)]],"")</f>
        <v>0</v>
      </c>
      <c r="AI82" s="56">
        <f>IF(ISNUMBER(Tabella2[[#This Row],[Amplitute RADIAL stress  (MPa)]]), Tabella2[[#This Row],[Amplitute RADIAL stress  (MPa)]],"")</f>
        <v>0</v>
      </c>
      <c r="AJ82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82" s="5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82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2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2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82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53878.314009064947</v>
      </c>
      <c r="AP82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82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173.20508075688772</v>
      </c>
    </row>
    <row r="83" spans="1:43" s="53" customFormat="1" ht="20.100000000000001" customHeight="1" x14ac:dyDescent="0.25">
      <c r="A83" s="53" t="s">
        <v>65</v>
      </c>
      <c r="B83" s="53">
        <v>2023</v>
      </c>
      <c r="C83" s="53" t="s">
        <v>64</v>
      </c>
      <c r="D83" s="53" t="s">
        <v>149</v>
      </c>
      <c r="E83" s="53">
        <v>2000000</v>
      </c>
      <c r="F83" s="53" t="s">
        <v>32</v>
      </c>
      <c r="G83" s="53" t="s">
        <v>68</v>
      </c>
      <c r="H83" s="62" t="e" vm="15">
        <v>#VALUE!</v>
      </c>
      <c r="I83" s="53" t="s">
        <v>27</v>
      </c>
      <c r="J83" s="1" t="s">
        <v>32</v>
      </c>
      <c r="K83" s="53" t="s">
        <v>21</v>
      </c>
      <c r="L83" s="53" t="s">
        <v>21</v>
      </c>
      <c r="M83" s="53">
        <v>0</v>
      </c>
      <c r="N83" s="1">
        <v>14</v>
      </c>
      <c r="O83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83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83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83" s="62">
        <v>0</v>
      </c>
      <c r="S83" s="53">
        <v>0</v>
      </c>
      <c r="T83" s="1">
        <v>0</v>
      </c>
      <c r="U83" s="54" t="s">
        <v>245</v>
      </c>
      <c r="V83" s="54" t="s">
        <v>245</v>
      </c>
      <c r="W83" s="54" t="s">
        <v>245</v>
      </c>
      <c r="X83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3" s="5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83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83" s="40">
        <v>0</v>
      </c>
      <c r="AB83" s="56">
        <v>0</v>
      </c>
      <c r="AC83" s="56">
        <v>0</v>
      </c>
      <c r="AD83" s="56">
        <v>0</v>
      </c>
      <c r="AE83" s="55" t="s">
        <v>60</v>
      </c>
      <c r="AF83" s="56">
        <v>0</v>
      </c>
      <c r="AG83" s="56">
        <v>150</v>
      </c>
      <c r="AH83" s="40">
        <f>IF(ISNUMBER(Tabella2[[#This Row],[Mean RADIAL stress  (MPa)]]), Tabella2[[#This Row],[Mean RADIAL stress  (MPa)]],"")</f>
        <v>0</v>
      </c>
      <c r="AI83" s="56">
        <f>IF(ISNUMBER(Tabella2[[#This Row],[Amplitute RADIAL stress  (MPa)]]), Tabella2[[#This Row],[Amplitute RADIAL stress  (MPa)]],"")</f>
        <v>0</v>
      </c>
      <c r="AJ83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83" s="5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83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3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3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83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80817.471013597431</v>
      </c>
      <c r="AP83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83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259.8076211353316</v>
      </c>
    </row>
    <row r="84" spans="1:43" s="53" customFormat="1" ht="20.100000000000001" customHeight="1" x14ac:dyDescent="0.25">
      <c r="A84" s="53" t="s">
        <v>65</v>
      </c>
      <c r="B84" s="53">
        <v>2023</v>
      </c>
      <c r="C84" s="53" t="s">
        <v>64</v>
      </c>
      <c r="D84" s="53" t="s">
        <v>150</v>
      </c>
      <c r="E84" s="53">
        <v>70000</v>
      </c>
      <c r="F84" s="53" t="s">
        <v>20</v>
      </c>
      <c r="G84" s="53" t="s">
        <v>68</v>
      </c>
      <c r="H84" s="62" t="e" vm="15">
        <v>#VALUE!</v>
      </c>
      <c r="I84" s="53" t="s">
        <v>27</v>
      </c>
      <c r="J84" s="1" t="s">
        <v>32</v>
      </c>
      <c r="K84" s="53" t="s">
        <v>21</v>
      </c>
      <c r="L84" s="53" t="s">
        <v>21</v>
      </c>
      <c r="M84" s="53">
        <v>0</v>
      </c>
      <c r="N84" s="1">
        <v>14</v>
      </c>
      <c r="O84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84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84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84" s="62">
        <v>0</v>
      </c>
      <c r="S84" s="53">
        <v>0</v>
      </c>
      <c r="T84" s="1">
        <v>0</v>
      </c>
      <c r="U84" s="54" t="s">
        <v>245</v>
      </c>
      <c r="V84" s="54" t="s">
        <v>245</v>
      </c>
      <c r="W84" s="54" t="s">
        <v>245</v>
      </c>
      <c r="X84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4" s="5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84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84" s="40">
        <v>0</v>
      </c>
      <c r="AB84" s="56">
        <v>0</v>
      </c>
      <c r="AC84" s="56">
        <v>0</v>
      </c>
      <c r="AD84" s="56">
        <v>0</v>
      </c>
      <c r="AE84" s="55" t="s">
        <v>60</v>
      </c>
      <c r="AF84" s="56">
        <v>0</v>
      </c>
      <c r="AG84" s="56">
        <v>220</v>
      </c>
      <c r="AH84" s="40">
        <f>IF(ISNUMBER(Tabella2[[#This Row],[Mean RADIAL stress  (MPa)]]), Tabella2[[#This Row],[Mean RADIAL stress  (MPa)]],"")</f>
        <v>0</v>
      </c>
      <c r="AI84" s="56">
        <f>IF(ISNUMBER(Tabella2[[#This Row],[Amplitute RADIAL stress  (MPa)]]), Tabella2[[#This Row],[Amplitute RADIAL stress  (MPa)]],"")</f>
        <v>0</v>
      </c>
      <c r="AJ84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84" s="5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84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4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4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84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118532.29081994291</v>
      </c>
      <c r="AP84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84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381.05117766515298</v>
      </c>
    </row>
    <row r="85" spans="1:43" s="53" customFormat="1" ht="20.100000000000001" customHeight="1" x14ac:dyDescent="0.25">
      <c r="A85" s="53" t="s">
        <v>65</v>
      </c>
      <c r="B85" s="53">
        <v>2023</v>
      </c>
      <c r="C85" s="53" t="s">
        <v>64</v>
      </c>
      <c r="D85" s="53" t="s">
        <v>151</v>
      </c>
      <c r="E85" s="53">
        <v>2000000</v>
      </c>
      <c r="F85" s="53" t="s">
        <v>32</v>
      </c>
      <c r="G85" s="53" t="s">
        <v>68</v>
      </c>
      <c r="H85" s="62" t="e" vm="15">
        <v>#VALUE!</v>
      </c>
      <c r="I85" s="53" t="s">
        <v>27</v>
      </c>
      <c r="J85" s="1" t="s">
        <v>32</v>
      </c>
      <c r="K85" s="53" t="s">
        <v>21</v>
      </c>
      <c r="L85" s="53" t="s">
        <v>21</v>
      </c>
      <c r="M85" s="53">
        <v>0</v>
      </c>
      <c r="N85" s="1">
        <v>14</v>
      </c>
      <c r="O85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85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85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85" s="62">
        <v>0</v>
      </c>
      <c r="S85" s="53">
        <v>0</v>
      </c>
      <c r="T85" s="1">
        <v>0</v>
      </c>
      <c r="U85" s="54" t="s">
        <v>245</v>
      </c>
      <c r="V85" s="54" t="s">
        <v>245</v>
      </c>
      <c r="W85" s="54" t="s">
        <v>245</v>
      </c>
      <c r="X85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5" s="5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85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85" s="40">
        <v>0</v>
      </c>
      <c r="AB85" s="56">
        <v>0</v>
      </c>
      <c r="AC85" s="56">
        <v>0</v>
      </c>
      <c r="AD85" s="56">
        <v>0</v>
      </c>
      <c r="AE85" s="55" t="s">
        <v>60</v>
      </c>
      <c r="AF85" s="56">
        <v>0</v>
      </c>
      <c r="AG85" s="56">
        <v>180</v>
      </c>
      <c r="AH85" s="40">
        <f>IF(ISNUMBER(Tabella2[[#This Row],[Mean RADIAL stress  (MPa)]]), Tabella2[[#This Row],[Mean RADIAL stress  (MPa)]],"")</f>
        <v>0</v>
      </c>
      <c r="AI85" s="56">
        <f>IF(ISNUMBER(Tabella2[[#This Row],[Amplitute RADIAL stress  (MPa)]]), Tabella2[[#This Row],[Amplitute RADIAL stress  (MPa)]],"")</f>
        <v>0</v>
      </c>
      <c r="AJ85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85" s="5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85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5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5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85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96980.965216316908</v>
      </c>
      <c r="AP85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85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311.76914536239792</v>
      </c>
    </row>
    <row r="86" spans="1:43" s="53" customFormat="1" ht="20.100000000000001" customHeight="1" x14ac:dyDescent="0.25">
      <c r="A86" s="53" t="s">
        <v>65</v>
      </c>
      <c r="B86" s="53">
        <v>2023</v>
      </c>
      <c r="C86" s="53" t="s">
        <v>64</v>
      </c>
      <c r="D86" s="53" t="s">
        <v>152</v>
      </c>
      <c r="E86" s="53">
        <v>5597</v>
      </c>
      <c r="F86" s="53" t="s">
        <v>20</v>
      </c>
      <c r="G86" s="53" t="s">
        <v>68</v>
      </c>
      <c r="H86" s="62" t="e" vm="15">
        <v>#VALUE!</v>
      </c>
      <c r="I86" s="53" t="s">
        <v>27</v>
      </c>
      <c r="J86" s="1" t="s">
        <v>32</v>
      </c>
      <c r="K86" s="53" t="s">
        <v>21</v>
      </c>
      <c r="L86" s="53" t="s">
        <v>21</v>
      </c>
      <c r="M86" s="53">
        <v>0</v>
      </c>
      <c r="N86" s="1">
        <v>14</v>
      </c>
      <c r="O86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86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86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86" s="62">
        <v>0</v>
      </c>
      <c r="S86" s="53">
        <v>0</v>
      </c>
      <c r="T86" s="1">
        <v>0</v>
      </c>
      <c r="U86" s="54" t="s">
        <v>245</v>
      </c>
      <c r="V86" s="54" t="s">
        <v>245</v>
      </c>
      <c r="W86" s="54" t="s">
        <v>245</v>
      </c>
      <c r="X86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6" s="5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86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86" s="40">
        <v>0</v>
      </c>
      <c r="AB86" s="56">
        <v>0</v>
      </c>
      <c r="AC86" s="56">
        <v>0</v>
      </c>
      <c r="AD86" s="56">
        <v>0</v>
      </c>
      <c r="AE86" s="55" t="s">
        <v>60</v>
      </c>
      <c r="AF86" s="56">
        <v>0</v>
      </c>
      <c r="AG86" s="56">
        <v>270</v>
      </c>
      <c r="AH86" s="40">
        <f>IF(ISNUMBER(Tabella2[[#This Row],[Mean RADIAL stress  (MPa)]]), Tabella2[[#This Row],[Mean RADIAL stress  (MPa)]],"")</f>
        <v>0</v>
      </c>
      <c r="AI86" s="56">
        <f>IF(ISNUMBER(Tabella2[[#This Row],[Amplitute RADIAL stress  (MPa)]]), Tabella2[[#This Row],[Amplitute RADIAL stress  (MPa)]],"")</f>
        <v>0</v>
      </c>
      <c r="AJ86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86" s="5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86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6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6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86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145471.44782447538</v>
      </c>
      <c r="AP86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86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467.65371804359688</v>
      </c>
    </row>
    <row r="87" spans="1:43" s="53" customFormat="1" ht="20.100000000000001" customHeight="1" x14ac:dyDescent="0.25">
      <c r="A87" s="53" t="s">
        <v>65</v>
      </c>
      <c r="B87" s="53">
        <v>2023</v>
      </c>
      <c r="C87" s="53" t="s">
        <v>64</v>
      </c>
      <c r="D87" s="53" t="s">
        <v>153</v>
      </c>
      <c r="E87" s="53">
        <v>126125</v>
      </c>
      <c r="F87" s="53" t="s">
        <v>20</v>
      </c>
      <c r="G87" s="53" t="s">
        <v>68</v>
      </c>
      <c r="H87" s="62" t="e" vm="15">
        <v>#VALUE!</v>
      </c>
      <c r="I87" s="53" t="s">
        <v>27</v>
      </c>
      <c r="J87" s="1" t="s">
        <v>32</v>
      </c>
      <c r="K87" s="53" t="s">
        <v>21</v>
      </c>
      <c r="L87" s="53" t="s">
        <v>21</v>
      </c>
      <c r="M87" s="53">
        <v>0</v>
      </c>
      <c r="N87" s="1">
        <v>14</v>
      </c>
      <c r="O87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87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87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87" s="62">
        <v>0</v>
      </c>
      <c r="S87" s="53">
        <v>0</v>
      </c>
      <c r="T87" s="1">
        <v>0</v>
      </c>
      <c r="U87" s="54" t="s">
        <v>245</v>
      </c>
      <c r="V87" s="54" t="s">
        <v>245</v>
      </c>
      <c r="W87" s="54" t="s">
        <v>245</v>
      </c>
      <c r="X87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7" s="5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87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87" s="40">
        <v>0</v>
      </c>
      <c r="AB87" s="56">
        <v>0</v>
      </c>
      <c r="AC87" s="56">
        <v>0</v>
      </c>
      <c r="AD87" s="56">
        <v>0</v>
      </c>
      <c r="AE87" s="55" t="s">
        <v>60</v>
      </c>
      <c r="AF87" s="56">
        <v>0</v>
      </c>
      <c r="AG87" s="56">
        <v>220</v>
      </c>
      <c r="AH87" s="40">
        <f>IF(ISNUMBER(Tabella2[[#This Row],[Mean RADIAL stress  (MPa)]]), Tabella2[[#This Row],[Mean RADIAL stress  (MPa)]],"")</f>
        <v>0</v>
      </c>
      <c r="AI87" s="56">
        <f>IF(ISNUMBER(Tabella2[[#This Row],[Amplitute RADIAL stress  (MPa)]]), Tabella2[[#This Row],[Amplitute RADIAL stress  (MPa)]],"")</f>
        <v>0</v>
      </c>
      <c r="AJ87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87" s="5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87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7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7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87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118532.29081994291</v>
      </c>
      <c r="AP87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87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381.05117766515298</v>
      </c>
    </row>
    <row r="88" spans="1:43" s="53" customFormat="1" ht="20.100000000000001" customHeight="1" x14ac:dyDescent="0.25">
      <c r="A88" s="53" t="s">
        <v>65</v>
      </c>
      <c r="B88" s="53">
        <v>2023</v>
      </c>
      <c r="C88" s="53" t="s">
        <v>64</v>
      </c>
      <c r="D88" s="53" t="s">
        <v>154</v>
      </c>
      <c r="E88" s="53">
        <v>409480</v>
      </c>
      <c r="F88" s="53" t="s">
        <v>20</v>
      </c>
      <c r="G88" s="53" t="s">
        <v>68</v>
      </c>
      <c r="H88" s="62" t="e" vm="15">
        <v>#VALUE!</v>
      </c>
      <c r="I88" s="53" t="s">
        <v>27</v>
      </c>
      <c r="J88" s="1" t="s">
        <v>32</v>
      </c>
      <c r="K88" s="53" t="s">
        <v>21</v>
      </c>
      <c r="L88" s="53" t="s">
        <v>21</v>
      </c>
      <c r="M88" s="53">
        <v>0</v>
      </c>
      <c r="N88" s="1">
        <v>14</v>
      </c>
      <c r="O88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88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88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88" s="62">
        <v>0</v>
      </c>
      <c r="S88" s="53">
        <v>0</v>
      </c>
      <c r="T88" s="1">
        <v>0</v>
      </c>
      <c r="U88" s="54" t="s">
        <v>245</v>
      </c>
      <c r="V88" s="54" t="s">
        <v>245</v>
      </c>
      <c r="W88" s="54" t="s">
        <v>245</v>
      </c>
      <c r="X88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8" s="5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88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88" s="40">
        <v>0</v>
      </c>
      <c r="AB88" s="56">
        <v>0</v>
      </c>
      <c r="AC88" s="56">
        <v>0</v>
      </c>
      <c r="AD88" s="56">
        <v>0</v>
      </c>
      <c r="AE88" s="55" t="s">
        <v>60</v>
      </c>
      <c r="AF88" s="56">
        <v>0</v>
      </c>
      <c r="AG88" s="56">
        <v>200</v>
      </c>
      <c r="AH88" s="40">
        <f>IF(ISNUMBER(Tabella2[[#This Row],[Mean RADIAL stress  (MPa)]]), Tabella2[[#This Row],[Mean RADIAL stress  (MPa)]],"")</f>
        <v>0</v>
      </c>
      <c r="AI88" s="56">
        <f>IF(ISNUMBER(Tabella2[[#This Row],[Amplitute RADIAL stress  (MPa)]]), Tabella2[[#This Row],[Amplitute RADIAL stress  (MPa)]],"")</f>
        <v>0</v>
      </c>
      <c r="AJ88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88" s="5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88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8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8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88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107756.62801812989</v>
      </c>
      <c r="AP88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88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346.41016151377545</v>
      </c>
    </row>
    <row r="89" spans="1:43" s="53" customFormat="1" ht="20.100000000000001" customHeight="1" x14ac:dyDescent="0.25">
      <c r="A89" s="53" t="s">
        <v>65</v>
      </c>
      <c r="B89" s="53">
        <v>2023</v>
      </c>
      <c r="C89" s="53" t="s">
        <v>64</v>
      </c>
      <c r="D89" s="53" t="s">
        <v>155</v>
      </c>
      <c r="E89" s="53">
        <v>2000000</v>
      </c>
      <c r="F89" s="53" t="s">
        <v>32</v>
      </c>
      <c r="G89" s="53" t="s">
        <v>68</v>
      </c>
      <c r="H89" s="62" t="e" vm="15">
        <v>#VALUE!</v>
      </c>
      <c r="I89" s="53" t="s">
        <v>27</v>
      </c>
      <c r="J89" s="1" t="s">
        <v>32</v>
      </c>
      <c r="K89" s="53" t="s">
        <v>21</v>
      </c>
      <c r="L89" s="53" t="s">
        <v>21</v>
      </c>
      <c r="M89" s="53">
        <v>0</v>
      </c>
      <c r="N89" s="1">
        <v>14</v>
      </c>
      <c r="O89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89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89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89" s="62">
        <v>0</v>
      </c>
      <c r="S89" s="53">
        <v>0</v>
      </c>
      <c r="T89" s="1">
        <v>0</v>
      </c>
      <c r="U89" s="54" t="s">
        <v>245</v>
      </c>
      <c r="V89" s="54" t="s">
        <v>245</v>
      </c>
      <c r="W89" s="54" t="s">
        <v>245</v>
      </c>
      <c r="X89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9" s="5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89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89" s="40">
        <v>0</v>
      </c>
      <c r="AB89" s="56">
        <v>0</v>
      </c>
      <c r="AC89" s="56">
        <v>0</v>
      </c>
      <c r="AD89" s="56">
        <v>0</v>
      </c>
      <c r="AE89" s="55" t="s">
        <v>60</v>
      </c>
      <c r="AF89" s="56">
        <v>0</v>
      </c>
      <c r="AG89" s="56">
        <v>180</v>
      </c>
      <c r="AH89" s="40">
        <f>IF(ISNUMBER(Tabella2[[#This Row],[Mean RADIAL stress  (MPa)]]), Tabella2[[#This Row],[Mean RADIAL stress  (MPa)]],"")</f>
        <v>0</v>
      </c>
      <c r="AI89" s="56">
        <f>IF(ISNUMBER(Tabella2[[#This Row],[Amplitute RADIAL stress  (MPa)]]), Tabella2[[#This Row],[Amplitute RADIAL stress  (MPa)]],"")</f>
        <v>0</v>
      </c>
      <c r="AJ89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89" s="5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89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9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9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89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96980.965216316908</v>
      </c>
      <c r="AP89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89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311.76914536239792</v>
      </c>
    </row>
    <row r="90" spans="1:43" s="53" customFormat="1" ht="20.100000000000001" customHeight="1" x14ac:dyDescent="0.25">
      <c r="A90" s="53" t="s">
        <v>65</v>
      </c>
      <c r="B90" s="53">
        <v>2023</v>
      </c>
      <c r="C90" s="53" t="s">
        <v>64</v>
      </c>
      <c r="D90" s="53" t="s">
        <v>156</v>
      </c>
      <c r="E90" s="53">
        <v>17285</v>
      </c>
      <c r="F90" s="53" t="s">
        <v>20</v>
      </c>
      <c r="G90" s="53" t="s">
        <v>68</v>
      </c>
      <c r="H90" s="62" t="e" vm="15">
        <v>#VALUE!</v>
      </c>
      <c r="I90" s="53" t="s">
        <v>27</v>
      </c>
      <c r="J90" s="1" t="s">
        <v>32</v>
      </c>
      <c r="K90" s="53" t="s">
        <v>21</v>
      </c>
      <c r="L90" s="53" t="s">
        <v>21</v>
      </c>
      <c r="M90" s="53">
        <v>0</v>
      </c>
      <c r="N90" s="1">
        <v>14</v>
      </c>
      <c r="O90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90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90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90" s="62">
        <v>0</v>
      </c>
      <c r="S90" s="53">
        <v>0</v>
      </c>
      <c r="T90" s="1">
        <v>0</v>
      </c>
      <c r="U90" s="54" t="s">
        <v>245</v>
      </c>
      <c r="V90" s="54" t="s">
        <v>245</v>
      </c>
      <c r="W90" s="54" t="s">
        <v>245</v>
      </c>
      <c r="X90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90" s="5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90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90" s="40">
        <v>0</v>
      </c>
      <c r="AB90" s="56">
        <v>0</v>
      </c>
      <c r="AC90" s="56">
        <v>0</v>
      </c>
      <c r="AD90" s="56">
        <v>0</v>
      </c>
      <c r="AE90" s="55" t="s">
        <v>60</v>
      </c>
      <c r="AF90" s="56">
        <v>0</v>
      </c>
      <c r="AG90" s="56">
        <v>250</v>
      </c>
      <c r="AH90" s="40">
        <f>IF(ISNUMBER(Tabella2[[#This Row],[Mean RADIAL stress  (MPa)]]), Tabella2[[#This Row],[Mean RADIAL stress  (MPa)]],"")</f>
        <v>0</v>
      </c>
      <c r="AI90" s="56">
        <f>IF(ISNUMBER(Tabella2[[#This Row],[Amplitute RADIAL stress  (MPa)]]), Tabella2[[#This Row],[Amplitute RADIAL stress  (MPa)]],"")</f>
        <v>0</v>
      </c>
      <c r="AJ90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90" s="5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90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90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90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90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134695.7850226624</v>
      </c>
      <c r="AP90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90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433.0127018922193</v>
      </c>
    </row>
    <row r="91" spans="1:43" s="53" customFormat="1" ht="20.100000000000001" customHeight="1" x14ac:dyDescent="0.25">
      <c r="A91" s="53" t="s">
        <v>65</v>
      </c>
      <c r="B91" s="53">
        <v>2023</v>
      </c>
      <c r="C91" s="53" t="s">
        <v>64</v>
      </c>
      <c r="D91" s="53" t="s">
        <v>157</v>
      </c>
      <c r="E91" s="53">
        <v>475383</v>
      </c>
      <c r="F91" s="53" t="s">
        <v>20</v>
      </c>
      <c r="G91" s="53" t="s">
        <v>68</v>
      </c>
      <c r="H91" s="62" t="e" vm="15">
        <v>#VALUE!</v>
      </c>
      <c r="I91" s="53" t="s">
        <v>27</v>
      </c>
      <c r="J91" s="1" t="s">
        <v>32</v>
      </c>
      <c r="K91" s="53" t="s">
        <v>21</v>
      </c>
      <c r="L91" s="53" t="s">
        <v>21</v>
      </c>
      <c r="M91" s="53">
        <v>0</v>
      </c>
      <c r="N91" s="1">
        <v>14</v>
      </c>
      <c r="O91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91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91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91" s="62">
        <v>0</v>
      </c>
      <c r="S91" s="53">
        <v>0</v>
      </c>
      <c r="T91" s="1">
        <v>0</v>
      </c>
      <c r="U91" s="54" t="s">
        <v>245</v>
      </c>
      <c r="V91" s="54" t="s">
        <v>245</v>
      </c>
      <c r="W91" s="54" t="s">
        <v>245</v>
      </c>
      <c r="X91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91" s="5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91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91" s="40">
        <v>0</v>
      </c>
      <c r="AB91" s="56">
        <v>0</v>
      </c>
      <c r="AC91" s="56">
        <v>0</v>
      </c>
      <c r="AD91" s="56">
        <v>0</v>
      </c>
      <c r="AE91" s="55" t="s">
        <v>60</v>
      </c>
      <c r="AF91" s="56">
        <v>0</v>
      </c>
      <c r="AG91" s="56">
        <v>200</v>
      </c>
      <c r="AH91" s="40">
        <f>IF(ISNUMBER(Tabella2[[#This Row],[Mean RADIAL stress  (MPa)]]), Tabella2[[#This Row],[Mean RADIAL stress  (MPa)]],"")</f>
        <v>0</v>
      </c>
      <c r="AI91" s="56">
        <f>IF(ISNUMBER(Tabella2[[#This Row],[Amplitute RADIAL stress  (MPa)]]), Tabella2[[#This Row],[Amplitute RADIAL stress  (MPa)]],"")</f>
        <v>0</v>
      </c>
      <c r="AJ91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91" s="5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91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91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91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91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107756.62801812989</v>
      </c>
      <c r="AP91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91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346.41016151377545</v>
      </c>
    </row>
    <row r="92" spans="1:43" s="53" customFormat="1" ht="20.100000000000001" customHeight="1" x14ac:dyDescent="0.25">
      <c r="A92" s="53" t="s">
        <v>65</v>
      </c>
      <c r="B92" s="53">
        <v>2023</v>
      </c>
      <c r="C92" s="53" t="s">
        <v>64</v>
      </c>
      <c r="D92" s="53" t="s">
        <v>158</v>
      </c>
      <c r="E92" s="53">
        <v>103954</v>
      </c>
      <c r="F92" s="53" t="s">
        <v>20</v>
      </c>
      <c r="G92" s="53" t="s">
        <v>68</v>
      </c>
      <c r="H92" s="62" t="e" vm="15">
        <v>#VALUE!</v>
      </c>
      <c r="I92" s="53" t="s">
        <v>27</v>
      </c>
      <c r="J92" s="1" t="s">
        <v>32</v>
      </c>
      <c r="K92" s="53" t="s">
        <v>21</v>
      </c>
      <c r="L92" s="53" t="s">
        <v>21</v>
      </c>
      <c r="M92" s="53">
        <v>0</v>
      </c>
      <c r="N92" s="1">
        <v>14</v>
      </c>
      <c r="O92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92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92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92" s="62">
        <v>0</v>
      </c>
      <c r="S92" s="53">
        <v>0</v>
      </c>
      <c r="T92" s="1">
        <v>0</v>
      </c>
      <c r="U92" s="54" t="s">
        <v>245</v>
      </c>
      <c r="V92" s="54" t="s">
        <v>245</v>
      </c>
      <c r="W92" s="54" t="s">
        <v>245</v>
      </c>
      <c r="X92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92" s="5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92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92" s="40">
        <v>0</v>
      </c>
      <c r="AB92" s="56">
        <v>0</v>
      </c>
      <c r="AC92" s="56">
        <v>0</v>
      </c>
      <c r="AD92" s="56">
        <v>0</v>
      </c>
      <c r="AE92" s="55" t="s">
        <v>60</v>
      </c>
      <c r="AF92" s="56">
        <v>0</v>
      </c>
      <c r="AG92" s="56">
        <v>220</v>
      </c>
      <c r="AH92" s="40">
        <f>IF(ISNUMBER(Tabella2[[#This Row],[Mean RADIAL stress  (MPa)]]), Tabella2[[#This Row],[Mean RADIAL stress  (MPa)]],"")</f>
        <v>0</v>
      </c>
      <c r="AI92" s="56">
        <f>IF(ISNUMBER(Tabella2[[#This Row],[Amplitute RADIAL stress  (MPa)]]), Tabella2[[#This Row],[Amplitute RADIAL stress  (MPa)]],"")</f>
        <v>0</v>
      </c>
      <c r="AJ92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92" s="5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92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92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92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92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118532.29081994291</v>
      </c>
      <c r="AP92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92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381.05117766515298</v>
      </c>
    </row>
    <row r="93" spans="1:43" s="53" customFormat="1" ht="20.100000000000001" customHeight="1" x14ac:dyDescent="0.25">
      <c r="A93" s="53" t="s">
        <v>65</v>
      </c>
      <c r="B93" s="53">
        <v>2023</v>
      </c>
      <c r="C93" s="53" t="s">
        <v>64</v>
      </c>
      <c r="D93" s="53" t="s">
        <v>159</v>
      </c>
      <c r="E93" s="53">
        <v>763260</v>
      </c>
      <c r="F93" s="53" t="s">
        <v>20</v>
      </c>
      <c r="G93" s="53" t="s">
        <v>68</v>
      </c>
      <c r="H93" s="62" t="e" vm="15">
        <v>#VALUE!</v>
      </c>
      <c r="I93" s="53" t="s">
        <v>27</v>
      </c>
      <c r="J93" s="1" t="s">
        <v>32</v>
      </c>
      <c r="K93" s="53" t="s">
        <v>21</v>
      </c>
      <c r="L93" s="53" t="s">
        <v>21</v>
      </c>
      <c r="M93" s="53">
        <v>0</v>
      </c>
      <c r="N93" s="1">
        <v>14</v>
      </c>
      <c r="O93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93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93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93" s="62">
        <v>0</v>
      </c>
      <c r="S93" s="53">
        <v>0</v>
      </c>
      <c r="T93" s="1">
        <v>0</v>
      </c>
      <c r="U93" s="54" t="s">
        <v>245</v>
      </c>
      <c r="V93" s="54" t="s">
        <v>245</v>
      </c>
      <c r="W93" s="54" t="s">
        <v>245</v>
      </c>
      <c r="X93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93" s="5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93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93" s="40">
        <v>0</v>
      </c>
      <c r="AB93" s="56">
        <v>0</v>
      </c>
      <c r="AC93" s="56">
        <v>0</v>
      </c>
      <c r="AD93" s="56">
        <v>0</v>
      </c>
      <c r="AE93" s="55" t="s">
        <v>60</v>
      </c>
      <c r="AF93" s="56">
        <v>0</v>
      </c>
      <c r="AG93" s="56">
        <v>190</v>
      </c>
      <c r="AH93" s="40">
        <f>IF(ISNUMBER(Tabella2[[#This Row],[Mean RADIAL stress  (MPa)]]), Tabella2[[#This Row],[Mean RADIAL stress  (MPa)]],"")</f>
        <v>0</v>
      </c>
      <c r="AI93" s="56">
        <f>IF(ISNUMBER(Tabella2[[#This Row],[Amplitute RADIAL stress  (MPa)]]), Tabella2[[#This Row],[Amplitute RADIAL stress  (MPa)]],"")</f>
        <v>0</v>
      </c>
      <c r="AJ93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93" s="5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93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93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93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93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102368.79661722342</v>
      </c>
      <c r="AP93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93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329.08965343808671</v>
      </c>
    </row>
    <row r="94" spans="1:43" s="53" customFormat="1" ht="20.100000000000001" customHeight="1" x14ac:dyDescent="0.25">
      <c r="A94" s="53" t="s">
        <v>65</v>
      </c>
      <c r="B94" s="53">
        <v>2023</v>
      </c>
      <c r="C94" s="53" t="s">
        <v>64</v>
      </c>
      <c r="D94" s="53" t="s">
        <v>160</v>
      </c>
      <c r="E94" s="53">
        <v>20038</v>
      </c>
      <c r="F94" s="53" t="s">
        <v>20</v>
      </c>
      <c r="G94" s="53" t="s">
        <v>68</v>
      </c>
      <c r="H94" s="62" t="e" vm="15">
        <v>#VALUE!</v>
      </c>
      <c r="I94" s="53" t="s">
        <v>27</v>
      </c>
      <c r="J94" s="1" t="s">
        <v>32</v>
      </c>
      <c r="K94" s="53" t="s">
        <v>21</v>
      </c>
      <c r="L94" s="53" t="s">
        <v>21</v>
      </c>
      <c r="M94" s="53">
        <v>0</v>
      </c>
      <c r="N94" s="1">
        <v>14</v>
      </c>
      <c r="O94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94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94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94" s="62">
        <v>0</v>
      </c>
      <c r="S94" s="53">
        <v>0</v>
      </c>
      <c r="T94" s="1">
        <v>0</v>
      </c>
      <c r="U94" s="54" t="s">
        <v>245</v>
      </c>
      <c r="V94" s="54" t="s">
        <v>245</v>
      </c>
      <c r="W94" s="54" t="s">
        <v>245</v>
      </c>
      <c r="X94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94" s="5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94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94" s="40">
        <v>0</v>
      </c>
      <c r="AB94" s="56">
        <v>0</v>
      </c>
      <c r="AC94" s="56">
        <v>0</v>
      </c>
      <c r="AD94" s="56">
        <v>0</v>
      </c>
      <c r="AE94" s="55" t="s">
        <v>60</v>
      </c>
      <c r="AF94" s="56">
        <v>0</v>
      </c>
      <c r="AG94" s="56">
        <v>250</v>
      </c>
      <c r="AH94" s="40">
        <f>IF(ISNUMBER(Tabella2[[#This Row],[Mean RADIAL stress  (MPa)]]), Tabella2[[#This Row],[Mean RADIAL stress  (MPa)]],"")</f>
        <v>0</v>
      </c>
      <c r="AI94" s="56">
        <f>IF(ISNUMBER(Tabella2[[#This Row],[Amplitute RADIAL stress  (MPa)]]), Tabella2[[#This Row],[Amplitute RADIAL stress  (MPa)]],"")</f>
        <v>0</v>
      </c>
      <c r="AJ94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94" s="5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94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94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94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94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134695.7850226624</v>
      </c>
      <c r="AP94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94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433.0127018922193</v>
      </c>
    </row>
    <row r="95" spans="1:43" s="53" customFormat="1" ht="20.100000000000001" customHeight="1" x14ac:dyDescent="0.25">
      <c r="A95" s="53" t="s">
        <v>65</v>
      </c>
      <c r="B95" s="53">
        <v>2023</v>
      </c>
      <c r="C95" s="53" t="s">
        <v>64</v>
      </c>
      <c r="D95" s="53" t="s">
        <v>161</v>
      </c>
      <c r="E95" s="53">
        <v>948396</v>
      </c>
      <c r="F95" s="53" t="s">
        <v>20</v>
      </c>
      <c r="G95" s="53" t="s">
        <v>68</v>
      </c>
      <c r="H95" s="62" t="e" vm="15">
        <v>#VALUE!</v>
      </c>
      <c r="I95" s="53" t="s">
        <v>27</v>
      </c>
      <c r="J95" s="1" t="s">
        <v>32</v>
      </c>
      <c r="K95" s="53" t="s">
        <v>21</v>
      </c>
      <c r="L95" s="53" t="s">
        <v>21</v>
      </c>
      <c r="M95" s="53">
        <v>0</v>
      </c>
      <c r="N95" s="1">
        <v>14</v>
      </c>
      <c r="O95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95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95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95" s="62">
        <v>0</v>
      </c>
      <c r="S95" s="53">
        <v>0</v>
      </c>
      <c r="T95" s="1">
        <v>0</v>
      </c>
      <c r="U95" s="54" t="s">
        <v>245</v>
      </c>
      <c r="V95" s="54" t="s">
        <v>245</v>
      </c>
      <c r="W95" s="54" t="s">
        <v>245</v>
      </c>
      <c r="X95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95" s="5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95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95" s="40">
        <v>0</v>
      </c>
      <c r="AB95" s="56">
        <v>0</v>
      </c>
      <c r="AC95" s="56">
        <v>0</v>
      </c>
      <c r="AD95" s="56">
        <v>0</v>
      </c>
      <c r="AE95" s="55" t="s">
        <v>60</v>
      </c>
      <c r="AF95" s="56">
        <v>0</v>
      </c>
      <c r="AG95" s="56">
        <v>190</v>
      </c>
      <c r="AH95" s="40">
        <f>IF(ISNUMBER(Tabella2[[#This Row],[Mean RADIAL stress  (MPa)]]), Tabella2[[#This Row],[Mean RADIAL stress  (MPa)]],"")</f>
        <v>0</v>
      </c>
      <c r="AI95" s="56">
        <f>IF(ISNUMBER(Tabella2[[#This Row],[Amplitute RADIAL stress  (MPa)]]), Tabella2[[#This Row],[Amplitute RADIAL stress  (MPa)]],"")</f>
        <v>0</v>
      </c>
      <c r="AJ95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95" s="5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95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95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95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95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102368.79661722342</v>
      </c>
      <c r="AP95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95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329.08965343808671</v>
      </c>
    </row>
    <row r="96" spans="1:43" s="53" customFormat="1" ht="20.100000000000001" customHeight="1" x14ac:dyDescent="0.25">
      <c r="A96" s="53" t="s">
        <v>65</v>
      </c>
      <c r="B96" s="53">
        <v>2023</v>
      </c>
      <c r="C96" s="53" t="s">
        <v>64</v>
      </c>
      <c r="D96" s="53" t="s">
        <v>162</v>
      </c>
      <c r="E96" s="53">
        <v>775687</v>
      </c>
      <c r="F96" s="53" t="s">
        <v>20</v>
      </c>
      <c r="G96" s="53" t="s">
        <v>68</v>
      </c>
      <c r="H96" s="62" t="e" vm="15">
        <v>#VALUE!</v>
      </c>
      <c r="I96" s="53" t="s">
        <v>27</v>
      </c>
      <c r="J96" s="1" t="s">
        <v>32</v>
      </c>
      <c r="K96" s="53" t="s">
        <v>21</v>
      </c>
      <c r="L96" s="53" t="s">
        <v>21</v>
      </c>
      <c r="M96" s="53">
        <v>0</v>
      </c>
      <c r="N96" s="1">
        <v>14</v>
      </c>
      <c r="O96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96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96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96" s="62">
        <v>0</v>
      </c>
      <c r="S96" s="53">
        <v>0</v>
      </c>
      <c r="T96" s="1">
        <v>0</v>
      </c>
      <c r="U96" s="54" t="s">
        <v>245</v>
      </c>
      <c r="V96" s="54" t="s">
        <v>245</v>
      </c>
      <c r="W96" s="54" t="s">
        <v>245</v>
      </c>
      <c r="X96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96" s="5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96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96" s="40">
        <v>0</v>
      </c>
      <c r="AB96" s="56">
        <v>0</v>
      </c>
      <c r="AC96" s="56">
        <v>0</v>
      </c>
      <c r="AD96" s="56">
        <v>0</v>
      </c>
      <c r="AE96" s="55" t="s">
        <v>60</v>
      </c>
      <c r="AF96" s="56">
        <v>0</v>
      </c>
      <c r="AG96" s="56">
        <v>190</v>
      </c>
      <c r="AH96" s="40">
        <f>IF(ISNUMBER(Tabella2[[#This Row],[Mean RADIAL stress  (MPa)]]), Tabella2[[#This Row],[Mean RADIAL stress  (MPa)]],"")</f>
        <v>0</v>
      </c>
      <c r="AI96" s="56">
        <f>IF(ISNUMBER(Tabella2[[#This Row],[Amplitute RADIAL stress  (MPa)]]), Tabella2[[#This Row],[Amplitute RADIAL stress  (MPa)]],"")</f>
        <v>0</v>
      </c>
      <c r="AJ96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96" s="56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96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96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96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96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102368.79661722342</v>
      </c>
      <c r="AP96" s="52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96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329.08965343808671</v>
      </c>
    </row>
    <row r="97" spans="1:43" s="25" customFormat="1" ht="20.100000000000001" customHeight="1" x14ac:dyDescent="0.25">
      <c r="A97" s="25" t="s">
        <v>65</v>
      </c>
      <c r="B97" s="25">
        <v>2023</v>
      </c>
      <c r="C97" s="25" t="s">
        <v>64</v>
      </c>
      <c r="D97" s="25" t="s">
        <v>163</v>
      </c>
      <c r="E97" s="25">
        <v>650000</v>
      </c>
      <c r="F97" s="25" t="s">
        <v>20</v>
      </c>
      <c r="G97" s="25" t="s">
        <v>68</v>
      </c>
      <c r="H97" s="63" t="e" vm="15">
        <v>#VALUE!</v>
      </c>
      <c r="I97" s="25" t="s">
        <v>27</v>
      </c>
      <c r="J97" s="25" t="s">
        <v>32</v>
      </c>
      <c r="K97" s="25" t="s">
        <v>21</v>
      </c>
      <c r="L97" s="25" t="s">
        <v>21</v>
      </c>
      <c r="M97" s="25">
        <v>0</v>
      </c>
      <c r="N97" s="25">
        <v>14</v>
      </c>
      <c r="O97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97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97" s="26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97" s="63">
        <v>0</v>
      </c>
      <c r="S97" s="25">
        <v>0</v>
      </c>
      <c r="T97" s="25">
        <v>0</v>
      </c>
      <c r="U97" s="26" t="s">
        <v>245</v>
      </c>
      <c r="V97" s="26" t="s">
        <v>245</v>
      </c>
      <c r="W97" s="26" t="s">
        <v>245</v>
      </c>
      <c r="X97" s="5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97" s="59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97" s="59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97" s="42">
        <v>0</v>
      </c>
      <c r="AB97" s="28">
        <v>0</v>
      </c>
      <c r="AC97" s="28">
        <v>0</v>
      </c>
      <c r="AD97" s="28">
        <v>0</v>
      </c>
      <c r="AE97" s="27" t="s">
        <v>60</v>
      </c>
      <c r="AF97" s="28">
        <v>0</v>
      </c>
      <c r="AG97" s="28">
        <v>180</v>
      </c>
      <c r="AH97" s="42">
        <f>IF(ISNUMBER(Tabella2[[#This Row],[Mean RADIAL stress  (MPa)]]), Tabella2[[#This Row],[Mean RADIAL stress  (MPa)]],"")</f>
        <v>0</v>
      </c>
      <c r="AI97" s="28">
        <f>IF(ISNUMBER(Tabella2[[#This Row],[Amplitute RADIAL stress  (MPa)]]), Tabella2[[#This Row],[Amplitute RADIAL stress  (MPa)]],"")</f>
        <v>0</v>
      </c>
      <c r="AJ97" s="2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97" s="28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97" s="2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97" s="2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97" s="2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97" s="2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96980.965216316908</v>
      </c>
      <c r="AP97" s="69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97" s="3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311.76914536239792</v>
      </c>
    </row>
    <row r="98" spans="1:43" s="53" customFormat="1" ht="20.100000000000001" customHeight="1" x14ac:dyDescent="0.25">
      <c r="A98" s="53" t="s">
        <v>65</v>
      </c>
      <c r="B98" s="53">
        <v>2023</v>
      </c>
      <c r="C98" s="53" t="s">
        <v>64</v>
      </c>
      <c r="D98" s="53" t="s">
        <v>164</v>
      </c>
      <c r="E98" s="53">
        <v>127257</v>
      </c>
      <c r="F98" s="53" t="s">
        <v>20</v>
      </c>
      <c r="G98" s="53" t="s">
        <v>68</v>
      </c>
      <c r="H98" s="62" t="e" vm="16">
        <v>#VALUE!</v>
      </c>
      <c r="I98" s="53" t="s">
        <v>27</v>
      </c>
      <c r="J98" s="1" t="s">
        <v>32</v>
      </c>
      <c r="K98" s="53" t="s">
        <v>21</v>
      </c>
      <c r="L98" s="53" t="s">
        <v>21</v>
      </c>
      <c r="M98" s="53">
        <v>0</v>
      </c>
      <c r="N98" s="1">
        <v>14</v>
      </c>
      <c r="O98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98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98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98" s="62">
        <v>0</v>
      </c>
      <c r="S98" s="53">
        <v>0</v>
      </c>
      <c r="T98" s="1">
        <v>0</v>
      </c>
      <c r="U98" s="54" t="s">
        <v>245</v>
      </c>
      <c r="V98" s="54" t="s">
        <v>245</v>
      </c>
      <c r="W98" s="54" t="s">
        <v>245</v>
      </c>
      <c r="X98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98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98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98" s="40">
        <v>0</v>
      </c>
      <c r="AB98" s="56">
        <v>0</v>
      </c>
      <c r="AC98" s="56">
        <v>0</v>
      </c>
      <c r="AD98" s="56">
        <v>140</v>
      </c>
      <c r="AE98" s="55" t="s">
        <v>60</v>
      </c>
      <c r="AF98" s="56">
        <v>0</v>
      </c>
      <c r="AG98" s="56">
        <v>140</v>
      </c>
      <c r="AH98" s="40">
        <f>IF(ISNUMBER(Tabella2[[#This Row],[Mean RADIAL stress  (MPa)]]), Tabella2[[#This Row],[Mean RADIAL stress  (MPa)]],"")</f>
        <v>0</v>
      </c>
      <c r="AI98" s="56">
        <f>IF(ISNUMBER(Tabella2[[#This Row],[Amplitute RADIAL stress  (MPa)]]), Tabella2[[#This Row],[Amplitute RADIAL stress  (MPa)]],"")</f>
        <v>0</v>
      </c>
      <c r="AJ98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98" s="56">
        <f>IF(ISNUMBER(Tabella2[[#This Row],[Amplitute AXIAL stress  (MPa)]]),    IF(Tabella2[[#This Row],[derived from (AXIAL/BENDING) load]]="AXIAL",Tabella2[[#This Row],[Amplitute AXIAL stress  (MPa)]]*Tabella2[[#This Row],[Area (mm^2)]],"Null"), "")</f>
        <v>21551.325603625981</v>
      </c>
      <c r="AL98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98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98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98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75429.639612690924</v>
      </c>
      <c r="AP98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98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280</v>
      </c>
    </row>
    <row r="99" spans="1:43" s="53" customFormat="1" ht="20.100000000000001" customHeight="1" x14ac:dyDescent="0.25">
      <c r="A99" s="53" t="s">
        <v>65</v>
      </c>
      <c r="B99" s="53">
        <v>2023</v>
      </c>
      <c r="C99" s="53" t="s">
        <v>64</v>
      </c>
      <c r="D99" s="53" t="s">
        <v>165</v>
      </c>
      <c r="E99" s="53">
        <v>319681</v>
      </c>
      <c r="F99" s="53" t="s">
        <v>20</v>
      </c>
      <c r="G99" s="53" t="s">
        <v>68</v>
      </c>
      <c r="H99" s="62" t="e" vm="17">
        <v>#VALUE!</v>
      </c>
      <c r="I99" s="53" t="s">
        <v>27</v>
      </c>
      <c r="J99" s="1" t="s">
        <v>32</v>
      </c>
      <c r="K99" s="53" t="s">
        <v>21</v>
      </c>
      <c r="L99" s="53" t="s">
        <v>21</v>
      </c>
      <c r="M99" s="53">
        <v>0</v>
      </c>
      <c r="N99" s="1">
        <v>14</v>
      </c>
      <c r="O99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99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99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99" s="62">
        <v>0</v>
      </c>
      <c r="S99" s="53">
        <v>0</v>
      </c>
      <c r="T99" s="1">
        <v>0</v>
      </c>
      <c r="U99" s="54" t="s">
        <v>245</v>
      </c>
      <c r="V99" s="54" t="s">
        <v>245</v>
      </c>
      <c r="W99" s="54" t="s">
        <v>245</v>
      </c>
      <c r="X99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99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99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99" s="40">
        <v>0</v>
      </c>
      <c r="AB99" s="56">
        <v>0</v>
      </c>
      <c r="AC99" s="56">
        <v>0</v>
      </c>
      <c r="AD99" s="56">
        <v>120</v>
      </c>
      <c r="AE99" s="55" t="s">
        <v>60</v>
      </c>
      <c r="AF99" s="56">
        <v>0</v>
      </c>
      <c r="AG99" s="56">
        <v>120</v>
      </c>
      <c r="AH99" s="40">
        <f>IF(ISNUMBER(Tabella2[[#This Row],[Mean RADIAL stress  (MPa)]]), Tabella2[[#This Row],[Mean RADIAL stress  (MPa)]],"")</f>
        <v>0</v>
      </c>
      <c r="AI99" s="56">
        <f>IF(ISNUMBER(Tabella2[[#This Row],[Amplitute RADIAL stress  (MPa)]]), Tabella2[[#This Row],[Amplitute RADIAL stress  (MPa)]],"")</f>
        <v>0</v>
      </c>
      <c r="AJ99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99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18472.564803107984</v>
      </c>
      <c r="AL99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99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99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99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64653.976810877946</v>
      </c>
      <c r="AP99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99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240</v>
      </c>
    </row>
    <row r="100" spans="1:43" s="53" customFormat="1" ht="20.100000000000001" customHeight="1" x14ac:dyDescent="0.25">
      <c r="A100" s="53" t="s">
        <v>65</v>
      </c>
      <c r="B100" s="53">
        <v>2023</v>
      </c>
      <c r="C100" s="53" t="s">
        <v>64</v>
      </c>
      <c r="D100" s="53" t="s">
        <v>166</v>
      </c>
      <c r="E100" s="53">
        <v>595380</v>
      </c>
      <c r="F100" s="53" t="s">
        <v>20</v>
      </c>
      <c r="G100" s="53" t="s">
        <v>68</v>
      </c>
      <c r="H100" s="62" t="e" vm="18">
        <v>#VALUE!</v>
      </c>
      <c r="I100" s="53" t="s">
        <v>27</v>
      </c>
      <c r="J100" s="1" t="s">
        <v>32</v>
      </c>
      <c r="K100" s="53" t="s">
        <v>21</v>
      </c>
      <c r="L100" s="53" t="s">
        <v>21</v>
      </c>
      <c r="M100" s="53">
        <v>0</v>
      </c>
      <c r="N100" s="1">
        <v>14</v>
      </c>
      <c r="O100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00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00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00" s="62">
        <v>0</v>
      </c>
      <c r="S100" s="53">
        <v>0</v>
      </c>
      <c r="T100" s="1">
        <v>0</v>
      </c>
      <c r="U100" s="54" t="s">
        <v>245</v>
      </c>
      <c r="V100" s="54" t="s">
        <v>245</v>
      </c>
      <c r="W100" s="54" t="s">
        <v>245</v>
      </c>
      <c r="X100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00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00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00" s="40">
        <v>0</v>
      </c>
      <c r="AB100" s="56">
        <v>0</v>
      </c>
      <c r="AC100" s="58">
        <v>0</v>
      </c>
      <c r="AD100" s="56">
        <v>110</v>
      </c>
      <c r="AE100" s="55" t="s">
        <v>60</v>
      </c>
      <c r="AF100" s="56">
        <v>0</v>
      </c>
      <c r="AG100" s="56">
        <v>110</v>
      </c>
      <c r="AH100" s="40">
        <f>IF(ISNUMBER(Tabella2[[#This Row],[Mean RADIAL stress  (MPa)]]), Tabella2[[#This Row],[Mean RADIAL stress  (MPa)]],"")</f>
        <v>0</v>
      </c>
      <c r="AI100" s="56">
        <f>IF(ISNUMBER(Tabella2[[#This Row],[Amplitute RADIAL stress  (MPa)]]), Tabella2[[#This Row],[Amplitute RADIAL stress  (MPa)]],"")</f>
        <v>0</v>
      </c>
      <c r="AJ100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00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16933.184402848983</v>
      </c>
      <c r="AL100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00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00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00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59266.145409971454</v>
      </c>
      <c r="AP100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00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220</v>
      </c>
    </row>
    <row r="101" spans="1:43" s="53" customFormat="1" ht="20.100000000000001" customHeight="1" x14ac:dyDescent="0.25">
      <c r="A101" s="53" t="s">
        <v>65</v>
      </c>
      <c r="B101" s="53">
        <v>2023</v>
      </c>
      <c r="C101" s="53" t="s">
        <v>64</v>
      </c>
      <c r="D101" s="53" t="s">
        <v>167</v>
      </c>
      <c r="E101" s="53">
        <v>2147533</v>
      </c>
      <c r="F101" s="53" t="s">
        <v>20</v>
      </c>
      <c r="G101" s="53" t="s">
        <v>68</v>
      </c>
      <c r="H101" s="62" t="e" vm="18">
        <v>#VALUE!</v>
      </c>
      <c r="I101" s="53" t="s">
        <v>27</v>
      </c>
      <c r="J101" s="1" t="s">
        <v>32</v>
      </c>
      <c r="K101" s="53" t="s">
        <v>21</v>
      </c>
      <c r="L101" s="53" t="s">
        <v>21</v>
      </c>
      <c r="M101" s="53">
        <v>0</v>
      </c>
      <c r="N101" s="1">
        <v>14</v>
      </c>
      <c r="O101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01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01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01" s="62">
        <v>0</v>
      </c>
      <c r="S101" s="53">
        <v>0</v>
      </c>
      <c r="T101" s="1">
        <v>0</v>
      </c>
      <c r="U101" s="54" t="s">
        <v>245</v>
      </c>
      <c r="V101" s="54" t="s">
        <v>245</v>
      </c>
      <c r="W101" s="54" t="s">
        <v>245</v>
      </c>
      <c r="X101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01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01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01" s="40">
        <v>0</v>
      </c>
      <c r="AB101" s="56">
        <v>0</v>
      </c>
      <c r="AC101" s="58">
        <v>0</v>
      </c>
      <c r="AD101" s="56">
        <v>100</v>
      </c>
      <c r="AE101" s="55" t="s">
        <v>60</v>
      </c>
      <c r="AF101" s="56">
        <v>0</v>
      </c>
      <c r="AG101" s="56">
        <v>100</v>
      </c>
      <c r="AH101" s="40">
        <f>IF(ISNUMBER(Tabella2[[#This Row],[Mean RADIAL stress  (MPa)]]), Tabella2[[#This Row],[Mean RADIAL stress  (MPa)]],"")</f>
        <v>0</v>
      </c>
      <c r="AI101" s="56">
        <f>IF(ISNUMBER(Tabella2[[#This Row],[Amplitute RADIAL stress  (MPa)]]), Tabella2[[#This Row],[Amplitute RADIAL stress  (MPa)]],"")</f>
        <v>0</v>
      </c>
      <c r="AJ101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01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15393.804002589985</v>
      </c>
      <c r="AL101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01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01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01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53878.314009064947</v>
      </c>
      <c r="AP101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01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200</v>
      </c>
    </row>
    <row r="102" spans="1:43" s="53" customFormat="1" ht="20.100000000000001" customHeight="1" x14ac:dyDescent="0.25">
      <c r="A102" s="53" t="s">
        <v>65</v>
      </c>
      <c r="B102" s="53">
        <v>2023</v>
      </c>
      <c r="C102" s="53" t="s">
        <v>64</v>
      </c>
      <c r="D102" s="53" t="s">
        <v>168</v>
      </c>
      <c r="E102" s="53">
        <v>423115</v>
      </c>
      <c r="F102" s="53" t="s">
        <v>20</v>
      </c>
      <c r="G102" s="53" t="s">
        <v>68</v>
      </c>
      <c r="H102" s="62" t="e" vm="18">
        <v>#VALUE!</v>
      </c>
      <c r="I102" s="53" t="s">
        <v>27</v>
      </c>
      <c r="J102" s="1" t="s">
        <v>32</v>
      </c>
      <c r="K102" s="53" t="s">
        <v>21</v>
      </c>
      <c r="L102" s="53" t="s">
        <v>21</v>
      </c>
      <c r="M102" s="53">
        <v>0</v>
      </c>
      <c r="N102" s="1">
        <v>14</v>
      </c>
      <c r="O102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02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02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02" s="62">
        <v>0</v>
      </c>
      <c r="S102" s="53">
        <v>0</v>
      </c>
      <c r="T102" s="1">
        <v>0</v>
      </c>
      <c r="U102" s="54" t="s">
        <v>245</v>
      </c>
      <c r="V102" s="54" t="s">
        <v>245</v>
      </c>
      <c r="W102" s="54" t="s">
        <v>245</v>
      </c>
      <c r="X102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02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02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02" s="40">
        <v>0</v>
      </c>
      <c r="AB102" s="56">
        <v>0</v>
      </c>
      <c r="AC102" s="58">
        <v>0</v>
      </c>
      <c r="AD102" s="56">
        <v>100</v>
      </c>
      <c r="AE102" s="55" t="s">
        <v>60</v>
      </c>
      <c r="AF102" s="56">
        <v>0</v>
      </c>
      <c r="AG102" s="56">
        <v>100</v>
      </c>
      <c r="AH102" s="40">
        <f>IF(ISNUMBER(Tabella2[[#This Row],[Mean RADIAL stress  (MPa)]]), Tabella2[[#This Row],[Mean RADIAL stress  (MPa)]],"")</f>
        <v>0</v>
      </c>
      <c r="AI102" s="56">
        <f>IF(ISNUMBER(Tabella2[[#This Row],[Amplitute RADIAL stress  (MPa)]]), Tabella2[[#This Row],[Amplitute RADIAL stress  (MPa)]],"")</f>
        <v>0</v>
      </c>
      <c r="AJ102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02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15393.804002589985</v>
      </c>
      <c r="AL102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02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02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02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53878.314009064947</v>
      </c>
      <c r="AP102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02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200</v>
      </c>
    </row>
    <row r="103" spans="1:43" s="53" customFormat="1" ht="20.100000000000001" customHeight="1" x14ac:dyDescent="0.25">
      <c r="A103" s="53" t="s">
        <v>65</v>
      </c>
      <c r="B103" s="53">
        <v>2023</v>
      </c>
      <c r="C103" s="53" t="s">
        <v>64</v>
      </c>
      <c r="D103" s="53" t="s">
        <v>169</v>
      </c>
      <c r="E103" s="53">
        <v>5000000</v>
      </c>
      <c r="F103" s="53" t="s">
        <v>32</v>
      </c>
      <c r="G103" s="53" t="s">
        <v>68</v>
      </c>
      <c r="H103" s="62" t="e" vm="18">
        <v>#VALUE!</v>
      </c>
      <c r="I103" s="53" t="s">
        <v>27</v>
      </c>
      <c r="J103" s="1" t="s">
        <v>32</v>
      </c>
      <c r="K103" s="53" t="s">
        <v>21</v>
      </c>
      <c r="L103" s="53" t="s">
        <v>21</v>
      </c>
      <c r="M103" s="53">
        <v>0</v>
      </c>
      <c r="N103" s="1">
        <v>14</v>
      </c>
      <c r="O103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03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03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03" s="62">
        <v>0</v>
      </c>
      <c r="S103" s="53">
        <v>0</v>
      </c>
      <c r="T103" s="1">
        <v>0</v>
      </c>
      <c r="U103" s="54" t="s">
        <v>245</v>
      </c>
      <c r="V103" s="54" t="s">
        <v>245</v>
      </c>
      <c r="W103" s="54" t="s">
        <v>245</v>
      </c>
      <c r="X103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03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03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03" s="40">
        <v>0</v>
      </c>
      <c r="AB103" s="56">
        <v>0</v>
      </c>
      <c r="AC103" s="58">
        <v>0</v>
      </c>
      <c r="AD103" s="56">
        <v>80</v>
      </c>
      <c r="AE103" s="55" t="s">
        <v>60</v>
      </c>
      <c r="AF103" s="56">
        <v>0</v>
      </c>
      <c r="AG103" s="56">
        <v>80</v>
      </c>
      <c r="AH103" s="40">
        <f>IF(ISNUMBER(Tabella2[[#This Row],[Mean RADIAL stress  (MPa)]]), Tabella2[[#This Row],[Mean RADIAL stress  (MPa)]],"")</f>
        <v>0</v>
      </c>
      <c r="AI103" s="56">
        <f>IF(ISNUMBER(Tabella2[[#This Row],[Amplitute RADIAL stress  (MPa)]]), Tabella2[[#This Row],[Amplitute RADIAL stress  (MPa)]],"")</f>
        <v>0</v>
      </c>
      <c r="AJ103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03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12315.043202071989</v>
      </c>
      <c r="AL103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03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03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03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43102.651207251962</v>
      </c>
      <c r="AP103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03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160</v>
      </c>
    </row>
    <row r="104" spans="1:43" s="53" customFormat="1" ht="20.100000000000001" customHeight="1" x14ac:dyDescent="0.25">
      <c r="A104" s="53" t="s">
        <v>65</v>
      </c>
      <c r="B104" s="53">
        <v>2023</v>
      </c>
      <c r="C104" s="53" t="s">
        <v>64</v>
      </c>
      <c r="D104" s="53" t="s">
        <v>170</v>
      </c>
      <c r="E104" s="53">
        <v>108931</v>
      </c>
      <c r="F104" s="53" t="s">
        <v>20</v>
      </c>
      <c r="G104" s="53" t="s">
        <v>68</v>
      </c>
      <c r="H104" s="62" t="e" vm="18">
        <v>#VALUE!</v>
      </c>
      <c r="I104" s="53" t="s">
        <v>27</v>
      </c>
      <c r="J104" s="1" t="s">
        <v>32</v>
      </c>
      <c r="K104" s="53" t="s">
        <v>21</v>
      </c>
      <c r="L104" s="53" t="s">
        <v>21</v>
      </c>
      <c r="M104" s="53">
        <v>0</v>
      </c>
      <c r="N104" s="1">
        <v>14</v>
      </c>
      <c r="O104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04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04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04" s="62">
        <v>0</v>
      </c>
      <c r="S104" s="53">
        <v>0</v>
      </c>
      <c r="T104" s="1">
        <v>0</v>
      </c>
      <c r="U104" s="54" t="s">
        <v>245</v>
      </c>
      <c r="V104" s="54" t="s">
        <v>245</v>
      </c>
      <c r="W104" s="54" t="s">
        <v>245</v>
      </c>
      <c r="X104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04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04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04" s="40">
        <v>0</v>
      </c>
      <c r="AB104" s="56">
        <v>0</v>
      </c>
      <c r="AC104" s="56">
        <v>0</v>
      </c>
      <c r="AD104" s="56">
        <v>140</v>
      </c>
      <c r="AE104" s="55" t="s">
        <v>60</v>
      </c>
      <c r="AF104" s="56">
        <v>0</v>
      </c>
      <c r="AG104" s="56">
        <v>140</v>
      </c>
      <c r="AH104" s="40">
        <f>IF(ISNUMBER(Tabella2[[#This Row],[Mean RADIAL stress  (MPa)]]), Tabella2[[#This Row],[Mean RADIAL stress  (MPa)]],"")</f>
        <v>0</v>
      </c>
      <c r="AI104" s="56">
        <f>IF(ISNUMBER(Tabella2[[#This Row],[Amplitute RADIAL stress  (MPa)]]), Tabella2[[#This Row],[Amplitute RADIAL stress  (MPa)]],"")</f>
        <v>0</v>
      </c>
      <c r="AJ104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04" s="56">
        <f>IF(ISNUMBER(Tabella2[[#This Row],[Amplitute AXIAL stress  (MPa)]]),    IF(Tabella2[[#This Row],[derived from (AXIAL/BENDING) load]]="AXIAL",Tabella2[[#This Row],[Amplitute AXIAL stress  (MPa)]]*Tabella2[[#This Row],[Area (mm^2)]],"Null"), "")</f>
        <v>21551.325603625981</v>
      </c>
      <c r="AL104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04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04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04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75429.639612690924</v>
      </c>
      <c r="AP104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04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280</v>
      </c>
    </row>
    <row r="105" spans="1:43" s="53" customFormat="1" ht="20.100000000000001" customHeight="1" x14ac:dyDescent="0.25">
      <c r="A105" s="53" t="s">
        <v>65</v>
      </c>
      <c r="B105" s="53">
        <v>2023</v>
      </c>
      <c r="C105" s="53" t="s">
        <v>64</v>
      </c>
      <c r="D105" s="53" t="s">
        <v>171</v>
      </c>
      <c r="E105" s="53">
        <v>2475139</v>
      </c>
      <c r="F105" s="53" t="s">
        <v>20</v>
      </c>
      <c r="G105" s="53" t="s">
        <v>68</v>
      </c>
      <c r="H105" s="62" t="e" vm="18">
        <v>#VALUE!</v>
      </c>
      <c r="I105" s="53" t="s">
        <v>27</v>
      </c>
      <c r="J105" s="1" t="s">
        <v>32</v>
      </c>
      <c r="K105" s="53" t="s">
        <v>21</v>
      </c>
      <c r="L105" s="53" t="s">
        <v>21</v>
      </c>
      <c r="M105" s="53">
        <v>0</v>
      </c>
      <c r="N105" s="1">
        <v>14</v>
      </c>
      <c r="O105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05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05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05" s="62">
        <v>0</v>
      </c>
      <c r="S105" s="53">
        <v>0</v>
      </c>
      <c r="T105" s="1">
        <v>0</v>
      </c>
      <c r="U105" s="54" t="s">
        <v>245</v>
      </c>
      <c r="V105" s="54" t="s">
        <v>245</v>
      </c>
      <c r="W105" s="54" t="s">
        <v>245</v>
      </c>
      <c r="X105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05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05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05" s="40">
        <v>0</v>
      </c>
      <c r="AB105" s="56">
        <v>0</v>
      </c>
      <c r="AC105" s="56">
        <v>0</v>
      </c>
      <c r="AD105" s="56">
        <v>90</v>
      </c>
      <c r="AE105" s="55" t="s">
        <v>60</v>
      </c>
      <c r="AF105" s="56">
        <v>0</v>
      </c>
      <c r="AG105" s="56">
        <v>90</v>
      </c>
      <c r="AH105" s="40">
        <f>IF(ISNUMBER(Tabella2[[#This Row],[Mean RADIAL stress  (MPa)]]), Tabella2[[#This Row],[Mean RADIAL stress  (MPa)]],"")</f>
        <v>0</v>
      </c>
      <c r="AI105" s="56">
        <f>IF(ISNUMBER(Tabella2[[#This Row],[Amplitute RADIAL stress  (MPa)]]), Tabella2[[#This Row],[Amplitute RADIAL stress  (MPa)]],"")</f>
        <v>0</v>
      </c>
      <c r="AJ105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05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13854.423602330986</v>
      </c>
      <c r="AL105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05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05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05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48490.482608158454</v>
      </c>
      <c r="AP105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05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180</v>
      </c>
    </row>
    <row r="106" spans="1:43" s="53" customFormat="1" ht="20.100000000000001" customHeight="1" x14ac:dyDescent="0.25">
      <c r="A106" s="53" t="s">
        <v>65</v>
      </c>
      <c r="B106" s="53">
        <v>2023</v>
      </c>
      <c r="C106" s="53" t="s">
        <v>64</v>
      </c>
      <c r="D106" s="53" t="s">
        <v>172</v>
      </c>
      <c r="E106" s="53">
        <v>5000000</v>
      </c>
      <c r="F106" s="53" t="s">
        <v>32</v>
      </c>
      <c r="G106" s="53" t="s">
        <v>68</v>
      </c>
      <c r="H106" s="62" t="e" vm="18">
        <v>#VALUE!</v>
      </c>
      <c r="I106" s="53" t="s">
        <v>27</v>
      </c>
      <c r="J106" s="1" t="s">
        <v>32</v>
      </c>
      <c r="K106" s="53" t="s">
        <v>21</v>
      </c>
      <c r="L106" s="53" t="s">
        <v>21</v>
      </c>
      <c r="M106" s="53">
        <v>0</v>
      </c>
      <c r="N106" s="1">
        <v>14</v>
      </c>
      <c r="O106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06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06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06" s="62">
        <v>0</v>
      </c>
      <c r="S106" s="53">
        <v>0</v>
      </c>
      <c r="T106" s="1">
        <v>0</v>
      </c>
      <c r="U106" s="54" t="s">
        <v>245</v>
      </c>
      <c r="V106" s="54" t="s">
        <v>245</v>
      </c>
      <c r="W106" s="54" t="s">
        <v>245</v>
      </c>
      <c r="X106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06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06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06" s="40">
        <v>0</v>
      </c>
      <c r="AB106" s="56">
        <v>0</v>
      </c>
      <c r="AC106" s="56">
        <v>0</v>
      </c>
      <c r="AD106" s="56">
        <v>80</v>
      </c>
      <c r="AE106" s="55" t="s">
        <v>60</v>
      </c>
      <c r="AF106" s="56">
        <v>0</v>
      </c>
      <c r="AG106" s="56">
        <v>80</v>
      </c>
      <c r="AH106" s="40">
        <f>IF(ISNUMBER(Tabella2[[#This Row],[Mean RADIAL stress  (MPa)]]), Tabella2[[#This Row],[Mean RADIAL stress  (MPa)]],"")</f>
        <v>0</v>
      </c>
      <c r="AI106" s="56">
        <f>IF(ISNUMBER(Tabella2[[#This Row],[Amplitute RADIAL stress  (MPa)]]), Tabella2[[#This Row],[Amplitute RADIAL stress  (MPa)]],"")</f>
        <v>0</v>
      </c>
      <c r="AJ106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06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12315.043202071989</v>
      </c>
      <c r="AL106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06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06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06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43102.651207251962</v>
      </c>
      <c r="AP106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06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160</v>
      </c>
    </row>
    <row r="107" spans="1:43" s="53" customFormat="1" ht="20.100000000000001" customHeight="1" x14ac:dyDescent="0.25">
      <c r="A107" s="53" t="s">
        <v>65</v>
      </c>
      <c r="B107" s="53">
        <v>2023</v>
      </c>
      <c r="C107" s="53" t="s">
        <v>64</v>
      </c>
      <c r="D107" s="53" t="s">
        <v>173</v>
      </c>
      <c r="E107" s="53">
        <v>277923</v>
      </c>
      <c r="F107" s="53" t="s">
        <v>20</v>
      </c>
      <c r="G107" s="53" t="s">
        <v>68</v>
      </c>
      <c r="H107" s="62" t="e" vm="18">
        <v>#VALUE!</v>
      </c>
      <c r="I107" s="53" t="s">
        <v>27</v>
      </c>
      <c r="J107" s="1" t="s">
        <v>32</v>
      </c>
      <c r="K107" s="53" t="s">
        <v>21</v>
      </c>
      <c r="L107" s="53" t="s">
        <v>21</v>
      </c>
      <c r="M107" s="53">
        <v>0</v>
      </c>
      <c r="N107" s="1">
        <v>14</v>
      </c>
      <c r="O107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07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07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07" s="62">
        <v>0</v>
      </c>
      <c r="S107" s="53">
        <v>0</v>
      </c>
      <c r="T107" s="1">
        <v>0</v>
      </c>
      <c r="U107" s="54" t="s">
        <v>245</v>
      </c>
      <c r="V107" s="54" t="s">
        <v>245</v>
      </c>
      <c r="W107" s="54" t="s">
        <v>245</v>
      </c>
      <c r="X107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07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07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07" s="40">
        <v>0</v>
      </c>
      <c r="AB107" s="56">
        <v>0</v>
      </c>
      <c r="AC107" s="56">
        <v>0</v>
      </c>
      <c r="AD107" s="56">
        <v>120</v>
      </c>
      <c r="AE107" s="55" t="s">
        <v>60</v>
      </c>
      <c r="AF107" s="56">
        <v>0</v>
      </c>
      <c r="AG107" s="56">
        <v>120</v>
      </c>
      <c r="AH107" s="40">
        <f>IF(ISNUMBER(Tabella2[[#This Row],[Mean RADIAL stress  (MPa)]]), Tabella2[[#This Row],[Mean RADIAL stress  (MPa)]],"")</f>
        <v>0</v>
      </c>
      <c r="AI107" s="56">
        <f>IF(ISNUMBER(Tabella2[[#This Row],[Amplitute RADIAL stress  (MPa)]]), Tabella2[[#This Row],[Amplitute RADIAL stress  (MPa)]],"")</f>
        <v>0</v>
      </c>
      <c r="AJ107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07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18472.564803107984</v>
      </c>
      <c r="AL107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07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07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07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64653.976810877946</v>
      </c>
      <c r="AP107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07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240</v>
      </c>
    </row>
    <row r="108" spans="1:43" s="53" customFormat="1" ht="20.100000000000001" customHeight="1" x14ac:dyDescent="0.25">
      <c r="A108" s="53" t="s">
        <v>65</v>
      </c>
      <c r="B108" s="53">
        <v>2023</v>
      </c>
      <c r="C108" s="53" t="s">
        <v>64</v>
      </c>
      <c r="D108" s="53" t="s">
        <v>174</v>
      </c>
      <c r="E108" s="53">
        <v>5000000</v>
      </c>
      <c r="F108" s="53" t="s">
        <v>32</v>
      </c>
      <c r="G108" s="53" t="s">
        <v>68</v>
      </c>
      <c r="H108" s="62" t="e" vm="18">
        <v>#VALUE!</v>
      </c>
      <c r="I108" s="53" t="s">
        <v>27</v>
      </c>
      <c r="J108" s="1" t="s">
        <v>32</v>
      </c>
      <c r="K108" s="53" t="s">
        <v>21</v>
      </c>
      <c r="L108" s="53" t="s">
        <v>21</v>
      </c>
      <c r="M108" s="53">
        <v>0</v>
      </c>
      <c r="N108" s="1">
        <v>14</v>
      </c>
      <c r="O108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08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08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08" s="62">
        <v>0</v>
      </c>
      <c r="S108" s="53">
        <v>0</v>
      </c>
      <c r="T108" s="1">
        <v>0</v>
      </c>
      <c r="U108" s="54" t="s">
        <v>245</v>
      </c>
      <c r="V108" s="54" t="s">
        <v>245</v>
      </c>
      <c r="W108" s="54" t="s">
        <v>245</v>
      </c>
      <c r="X108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08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08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08" s="40">
        <v>0</v>
      </c>
      <c r="AB108" s="56">
        <v>0</v>
      </c>
      <c r="AC108" s="56">
        <v>0</v>
      </c>
      <c r="AD108" s="56">
        <v>90</v>
      </c>
      <c r="AE108" s="55" t="s">
        <v>60</v>
      </c>
      <c r="AF108" s="56">
        <v>0</v>
      </c>
      <c r="AG108" s="56">
        <v>90</v>
      </c>
      <c r="AH108" s="40">
        <f>IF(ISNUMBER(Tabella2[[#This Row],[Mean RADIAL stress  (MPa)]]), Tabella2[[#This Row],[Mean RADIAL stress  (MPa)]],"")</f>
        <v>0</v>
      </c>
      <c r="AI108" s="56">
        <f>IF(ISNUMBER(Tabella2[[#This Row],[Amplitute RADIAL stress  (MPa)]]), Tabella2[[#This Row],[Amplitute RADIAL stress  (MPa)]],"")</f>
        <v>0</v>
      </c>
      <c r="AJ108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08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13854.423602330986</v>
      </c>
      <c r="AL108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08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08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08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48490.482608158454</v>
      </c>
      <c r="AP108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08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180</v>
      </c>
    </row>
    <row r="109" spans="1:43" s="53" customFormat="1" ht="20.100000000000001" customHeight="1" x14ac:dyDescent="0.25">
      <c r="A109" s="53" t="s">
        <v>65</v>
      </c>
      <c r="B109" s="53">
        <v>2023</v>
      </c>
      <c r="C109" s="53" t="s">
        <v>64</v>
      </c>
      <c r="D109" s="53" t="s">
        <v>175</v>
      </c>
      <c r="E109" s="53">
        <v>1258058</v>
      </c>
      <c r="F109" s="53" t="s">
        <v>20</v>
      </c>
      <c r="G109" s="53" t="s">
        <v>68</v>
      </c>
      <c r="H109" s="62" t="e" vm="18">
        <v>#VALUE!</v>
      </c>
      <c r="I109" s="53" t="s">
        <v>27</v>
      </c>
      <c r="J109" s="1" t="s">
        <v>32</v>
      </c>
      <c r="K109" s="53" t="s">
        <v>21</v>
      </c>
      <c r="L109" s="53" t="s">
        <v>21</v>
      </c>
      <c r="M109" s="53">
        <v>0</v>
      </c>
      <c r="N109" s="1">
        <v>14</v>
      </c>
      <c r="O109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09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09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09" s="62">
        <v>0</v>
      </c>
      <c r="S109" s="53">
        <v>0</v>
      </c>
      <c r="T109" s="1">
        <v>0</v>
      </c>
      <c r="U109" s="54" t="s">
        <v>245</v>
      </c>
      <c r="V109" s="54" t="s">
        <v>245</v>
      </c>
      <c r="W109" s="54" t="s">
        <v>245</v>
      </c>
      <c r="X109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09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09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09" s="40">
        <v>0</v>
      </c>
      <c r="AB109" s="56">
        <v>0</v>
      </c>
      <c r="AC109" s="56">
        <v>0</v>
      </c>
      <c r="AD109" s="56">
        <v>90</v>
      </c>
      <c r="AE109" s="55" t="s">
        <v>60</v>
      </c>
      <c r="AF109" s="56">
        <v>0</v>
      </c>
      <c r="AG109" s="56">
        <v>90</v>
      </c>
      <c r="AH109" s="40">
        <f>IF(ISNUMBER(Tabella2[[#This Row],[Mean RADIAL stress  (MPa)]]), Tabella2[[#This Row],[Mean RADIAL stress  (MPa)]],"")</f>
        <v>0</v>
      </c>
      <c r="AI109" s="56">
        <f>IF(ISNUMBER(Tabella2[[#This Row],[Amplitute RADIAL stress  (MPa)]]), Tabella2[[#This Row],[Amplitute RADIAL stress  (MPa)]],"")</f>
        <v>0</v>
      </c>
      <c r="AJ109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09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13854.423602330986</v>
      </c>
      <c r="AL109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09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09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09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48490.482608158454</v>
      </c>
      <c r="AP109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09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180</v>
      </c>
    </row>
    <row r="110" spans="1:43" s="53" customFormat="1" ht="20.100000000000001" customHeight="1" x14ac:dyDescent="0.25">
      <c r="A110" s="53" t="s">
        <v>65</v>
      </c>
      <c r="B110" s="53">
        <v>2023</v>
      </c>
      <c r="C110" s="53" t="s">
        <v>64</v>
      </c>
      <c r="D110" s="53" t="s">
        <v>176</v>
      </c>
      <c r="E110" s="53">
        <v>5000000</v>
      </c>
      <c r="F110" s="53" t="s">
        <v>32</v>
      </c>
      <c r="G110" s="53" t="s">
        <v>68</v>
      </c>
      <c r="H110" s="62" t="e" vm="18">
        <v>#VALUE!</v>
      </c>
      <c r="I110" s="53" t="s">
        <v>27</v>
      </c>
      <c r="J110" s="1" t="s">
        <v>32</v>
      </c>
      <c r="K110" s="53" t="s">
        <v>21</v>
      </c>
      <c r="L110" s="53" t="s">
        <v>21</v>
      </c>
      <c r="M110" s="53">
        <v>0</v>
      </c>
      <c r="N110" s="1">
        <v>14</v>
      </c>
      <c r="O110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10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10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10" s="62">
        <v>0</v>
      </c>
      <c r="S110" s="53">
        <v>0</v>
      </c>
      <c r="T110" s="1">
        <v>90</v>
      </c>
      <c r="U110" s="54" t="s">
        <v>245</v>
      </c>
      <c r="V110" s="54" t="s">
        <v>245</v>
      </c>
      <c r="W110" s="54" t="s">
        <v>245</v>
      </c>
      <c r="X110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10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10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10" s="40">
        <v>0</v>
      </c>
      <c r="AB110" s="56">
        <v>0</v>
      </c>
      <c r="AC110" s="56">
        <v>0</v>
      </c>
      <c r="AD110" s="56">
        <v>100</v>
      </c>
      <c r="AE110" s="55" t="s">
        <v>60</v>
      </c>
      <c r="AF110" s="56">
        <v>0</v>
      </c>
      <c r="AG110" s="56">
        <v>100</v>
      </c>
      <c r="AH110" s="40">
        <f>IF(ISNUMBER(Tabella2[[#This Row],[Mean RADIAL stress  (MPa)]]), Tabella2[[#This Row],[Mean RADIAL stress  (MPa)]],"")</f>
        <v>0</v>
      </c>
      <c r="AI110" s="56">
        <f>IF(ISNUMBER(Tabella2[[#This Row],[Amplitute RADIAL stress  (MPa)]]), Tabella2[[#This Row],[Amplitute RADIAL stress  (MPa)]],"")</f>
        <v>0</v>
      </c>
      <c r="AJ110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10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15393.804002589985</v>
      </c>
      <c r="AL110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10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10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10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53878.314009064947</v>
      </c>
      <c r="AP110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10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200</v>
      </c>
    </row>
    <row r="111" spans="1:43" s="53" customFormat="1" ht="20.100000000000001" customHeight="1" x14ac:dyDescent="0.25">
      <c r="A111" s="53" t="s">
        <v>65</v>
      </c>
      <c r="B111" s="53">
        <v>2023</v>
      </c>
      <c r="C111" s="53" t="s">
        <v>64</v>
      </c>
      <c r="D111" s="53" t="s">
        <v>177</v>
      </c>
      <c r="E111" s="53">
        <v>257642</v>
      </c>
      <c r="F111" s="53" t="s">
        <v>20</v>
      </c>
      <c r="G111" s="53" t="s">
        <v>68</v>
      </c>
      <c r="H111" s="62" t="e" vm="18">
        <v>#VALUE!</v>
      </c>
      <c r="I111" s="53" t="s">
        <v>27</v>
      </c>
      <c r="J111" s="1" t="s">
        <v>32</v>
      </c>
      <c r="K111" s="53" t="s">
        <v>21</v>
      </c>
      <c r="L111" s="53" t="s">
        <v>21</v>
      </c>
      <c r="M111" s="53">
        <v>0</v>
      </c>
      <c r="N111" s="1">
        <v>14</v>
      </c>
      <c r="O111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11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11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11" s="62">
        <v>0</v>
      </c>
      <c r="S111" s="53">
        <v>0</v>
      </c>
      <c r="T111" s="1">
        <v>90</v>
      </c>
      <c r="U111" s="54" t="s">
        <v>245</v>
      </c>
      <c r="V111" s="54" t="s">
        <v>245</v>
      </c>
      <c r="W111" s="54" t="s">
        <v>245</v>
      </c>
      <c r="X111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11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11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11" s="40">
        <v>0</v>
      </c>
      <c r="AB111" s="56">
        <v>0</v>
      </c>
      <c r="AC111" s="56">
        <v>0</v>
      </c>
      <c r="AD111" s="56">
        <v>150</v>
      </c>
      <c r="AE111" s="55" t="s">
        <v>60</v>
      </c>
      <c r="AF111" s="56">
        <v>0</v>
      </c>
      <c r="AG111" s="56">
        <v>150</v>
      </c>
      <c r="AH111" s="40">
        <f>IF(ISNUMBER(Tabella2[[#This Row],[Mean RADIAL stress  (MPa)]]), Tabella2[[#This Row],[Mean RADIAL stress  (MPa)]],"")</f>
        <v>0</v>
      </c>
      <c r="AI111" s="56">
        <f>IF(ISNUMBER(Tabella2[[#This Row],[Amplitute RADIAL stress  (MPa)]]), Tabella2[[#This Row],[Amplitute RADIAL stress  (MPa)]],"")</f>
        <v>0</v>
      </c>
      <c r="AJ111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11" s="56">
        <f>IF(ISNUMBER(Tabella2[[#This Row],[Amplitute AXIAL stress  (MPa)]]),    IF(Tabella2[[#This Row],[derived from (AXIAL/BENDING) load]]="AXIAL",Tabella2[[#This Row],[Amplitute AXIAL stress  (MPa)]]*Tabella2[[#This Row],[Area (mm^2)]],"Null"), "")</f>
        <v>23090.706003884978</v>
      </c>
      <c r="AL111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11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11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11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80817.471013597431</v>
      </c>
      <c r="AP111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11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300</v>
      </c>
    </row>
    <row r="112" spans="1:43" s="53" customFormat="1" ht="20.100000000000001" customHeight="1" x14ac:dyDescent="0.25">
      <c r="A112" s="53" t="s">
        <v>65</v>
      </c>
      <c r="B112" s="53">
        <v>2023</v>
      </c>
      <c r="C112" s="53" t="s">
        <v>64</v>
      </c>
      <c r="D112" s="53" t="s">
        <v>178</v>
      </c>
      <c r="E112" s="53">
        <v>518204</v>
      </c>
      <c r="F112" s="53" t="s">
        <v>20</v>
      </c>
      <c r="G112" s="53" t="s">
        <v>68</v>
      </c>
      <c r="H112" s="62" t="e" vm="18">
        <v>#VALUE!</v>
      </c>
      <c r="I112" s="53" t="s">
        <v>27</v>
      </c>
      <c r="J112" s="1" t="s">
        <v>32</v>
      </c>
      <c r="K112" s="53" t="s">
        <v>21</v>
      </c>
      <c r="L112" s="53" t="s">
        <v>21</v>
      </c>
      <c r="M112" s="53">
        <v>0</v>
      </c>
      <c r="N112" s="1">
        <v>14</v>
      </c>
      <c r="O112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12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12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12" s="62">
        <v>0</v>
      </c>
      <c r="S112" s="53">
        <v>0</v>
      </c>
      <c r="T112" s="1">
        <v>90</v>
      </c>
      <c r="U112" s="54" t="s">
        <v>245</v>
      </c>
      <c r="V112" s="54" t="s">
        <v>245</v>
      </c>
      <c r="W112" s="54" t="s">
        <v>245</v>
      </c>
      <c r="X112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12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12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12" s="40">
        <v>0</v>
      </c>
      <c r="AB112" s="56">
        <v>0</v>
      </c>
      <c r="AC112" s="56">
        <v>0</v>
      </c>
      <c r="AD112" s="56">
        <v>125</v>
      </c>
      <c r="AE112" s="55" t="s">
        <v>60</v>
      </c>
      <c r="AF112" s="56">
        <v>0</v>
      </c>
      <c r="AG112" s="56">
        <v>125</v>
      </c>
      <c r="AH112" s="40">
        <f>IF(ISNUMBER(Tabella2[[#This Row],[Mean RADIAL stress  (MPa)]]), Tabella2[[#This Row],[Mean RADIAL stress  (MPa)]],"")</f>
        <v>0</v>
      </c>
      <c r="AI112" s="56">
        <f>IF(ISNUMBER(Tabella2[[#This Row],[Amplitute RADIAL stress  (MPa)]]), Tabella2[[#This Row],[Amplitute RADIAL stress  (MPa)]],"")</f>
        <v>0</v>
      </c>
      <c r="AJ112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12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19242.255003237482</v>
      </c>
      <c r="AL112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12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12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12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67347.8925113312</v>
      </c>
      <c r="AP112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12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250</v>
      </c>
    </row>
    <row r="113" spans="1:43" s="53" customFormat="1" ht="20.100000000000001" customHeight="1" x14ac:dyDescent="0.25">
      <c r="A113" s="53" t="s">
        <v>65</v>
      </c>
      <c r="B113" s="53">
        <v>2023</v>
      </c>
      <c r="C113" s="53" t="s">
        <v>64</v>
      </c>
      <c r="D113" s="53" t="s">
        <v>179</v>
      </c>
      <c r="E113" s="53">
        <v>597006</v>
      </c>
      <c r="F113" s="53" t="s">
        <v>20</v>
      </c>
      <c r="G113" s="53" t="s">
        <v>68</v>
      </c>
      <c r="H113" s="62" t="e" vm="18">
        <v>#VALUE!</v>
      </c>
      <c r="I113" s="53" t="s">
        <v>27</v>
      </c>
      <c r="J113" s="1" t="s">
        <v>32</v>
      </c>
      <c r="K113" s="53" t="s">
        <v>21</v>
      </c>
      <c r="L113" s="53" t="s">
        <v>21</v>
      </c>
      <c r="M113" s="53">
        <v>0</v>
      </c>
      <c r="N113" s="1">
        <v>14</v>
      </c>
      <c r="O113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13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13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13" s="62">
        <v>0</v>
      </c>
      <c r="S113" s="53">
        <v>0</v>
      </c>
      <c r="T113" s="1">
        <v>90</v>
      </c>
      <c r="U113" s="54" t="s">
        <v>245</v>
      </c>
      <c r="V113" s="54" t="s">
        <v>245</v>
      </c>
      <c r="W113" s="54" t="s">
        <v>245</v>
      </c>
      <c r="X113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13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13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13" s="40">
        <v>0</v>
      </c>
      <c r="AB113" s="56">
        <v>0</v>
      </c>
      <c r="AC113" s="56">
        <v>0</v>
      </c>
      <c r="AD113" s="56">
        <v>125</v>
      </c>
      <c r="AE113" s="55" t="s">
        <v>60</v>
      </c>
      <c r="AF113" s="56">
        <v>0</v>
      </c>
      <c r="AG113" s="56">
        <v>125</v>
      </c>
      <c r="AH113" s="40">
        <f>IF(ISNUMBER(Tabella2[[#This Row],[Mean RADIAL stress  (MPa)]]), Tabella2[[#This Row],[Mean RADIAL stress  (MPa)]],"")</f>
        <v>0</v>
      </c>
      <c r="AI113" s="56">
        <f>IF(ISNUMBER(Tabella2[[#This Row],[Amplitute RADIAL stress  (MPa)]]), Tabella2[[#This Row],[Amplitute RADIAL stress  (MPa)]],"")</f>
        <v>0</v>
      </c>
      <c r="AJ113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13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19242.255003237482</v>
      </c>
      <c r="AL113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13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13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13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67347.8925113312</v>
      </c>
      <c r="AP113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13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250</v>
      </c>
    </row>
    <row r="114" spans="1:43" s="53" customFormat="1" ht="20.100000000000001" customHeight="1" x14ac:dyDescent="0.25">
      <c r="A114" s="53" t="s">
        <v>65</v>
      </c>
      <c r="B114" s="53">
        <v>2023</v>
      </c>
      <c r="C114" s="53" t="s">
        <v>64</v>
      </c>
      <c r="D114" s="53" t="s">
        <v>180</v>
      </c>
      <c r="E114" s="53">
        <v>5000000</v>
      </c>
      <c r="F114" s="53" t="s">
        <v>32</v>
      </c>
      <c r="G114" s="53" t="s">
        <v>68</v>
      </c>
      <c r="H114" s="62" t="e" vm="18">
        <v>#VALUE!</v>
      </c>
      <c r="I114" s="53" t="s">
        <v>27</v>
      </c>
      <c r="J114" s="1" t="s">
        <v>32</v>
      </c>
      <c r="K114" s="53" t="s">
        <v>21</v>
      </c>
      <c r="L114" s="53" t="s">
        <v>21</v>
      </c>
      <c r="M114" s="53">
        <v>0</v>
      </c>
      <c r="N114" s="1">
        <v>14</v>
      </c>
      <c r="O114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14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14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14" s="62">
        <v>0</v>
      </c>
      <c r="S114" s="53">
        <v>0</v>
      </c>
      <c r="T114" s="1">
        <v>90</v>
      </c>
      <c r="U114" s="54" t="s">
        <v>245</v>
      </c>
      <c r="V114" s="54" t="s">
        <v>245</v>
      </c>
      <c r="W114" s="54" t="s">
        <v>245</v>
      </c>
      <c r="X114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14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14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14" s="40">
        <v>0</v>
      </c>
      <c r="AB114" s="56">
        <v>0</v>
      </c>
      <c r="AC114" s="56">
        <v>0</v>
      </c>
      <c r="AD114" s="56">
        <v>100</v>
      </c>
      <c r="AE114" s="55" t="s">
        <v>60</v>
      </c>
      <c r="AF114" s="56">
        <v>0</v>
      </c>
      <c r="AG114" s="56">
        <v>100</v>
      </c>
      <c r="AH114" s="40">
        <f>IF(ISNUMBER(Tabella2[[#This Row],[Mean RADIAL stress  (MPa)]]), Tabella2[[#This Row],[Mean RADIAL stress  (MPa)]],"")</f>
        <v>0</v>
      </c>
      <c r="AI114" s="56">
        <f>IF(ISNUMBER(Tabella2[[#This Row],[Amplitute RADIAL stress  (MPa)]]), Tabella2[[#This Row],[Amplitute RADIAL stress  (MPa)]],"")</f>
        <v>0</v>
      </c>
      <c r="AJ114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14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15393.804002589985</v>
      </c>
      <c r="AL114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14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14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14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53878.314009064947</v>
      </c>
      <c r="AP114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14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200</v>
      </c>
    </row>
    <row r="115" spans="1:43" s="53" customFormat="1" ht="20.100000000000001" customHeight="1" x14ac:dyDescent="0.25">
      <c r="A115" s="53" t="s">
        <v>65</v>
      </c>
      <c r="B115" s="53">
        <v>2023</v>
      </c>
      <c r="C115" s="53" t="s">
        <v>64</v>
      </c>
      <c r="D115" s="53" t="s">
        <v>181</v>
      </c>
      <c r="E115" s="53">
        <v>5000000</v>
      </c>
      <c r="F115" s="53" t="s">
        <v>32</v>
      </c>
      <c r="G115" s="53" t="s">
        <v>68</v>
      </c>
      <c r="H115" s="62" t="e" vm="18">
        <v>#VALUE!</v>
      </c>
      <c r="I115" s="53" t="s">
        <v>27</v>
      </c>
      <c r="J115" s="1" t="s">
        <v>32</v>
      </c>
      <c r="K115" s="53" t="s">
        <v>21</v>
      </c>
      <c r="L115" s="53" t="s">
        <v>21</v>
      </c>
      <c r="M115" s="53">
        <v>0</v>
      </c>
      <c r="N115" s="1">
        <v>14</v>
      </c>
      <c r="O115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15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15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15" s="62">
        <v>0</v>
      </c>
      <c r="S115" s="53">
        <v>0</v>
      </c>
      <c r="T115" s="1">
        <v>90</v>
      </c>
      <c r="U115" s="54" t="s">
        <v>245</v>
      </c>
      <c r="V115" s="54" t="s">
        <v>245</v>
      </c>
      <c r="W115" s="54" t="s">
        <v>245</v>
      </c>
      <c r="X115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15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15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15" s="40">
        <v>0</v>
      </c>
      <c r="AB115" s="56">
        <v>0</v>
      </c>
      <c r="AC115" s="56">
        <v>0</v>
      </c>
      <c r="AD115" s="56">
        <v>110</v>
      </c>
      <c r="AE115" s="55" t="s">
        <v>60</v>
      </c>
      <c r="AF115" s="56">
        <v>0</v>
      </c>
      <c r="AG115" s="56">
        <v>110</v>
      </c>
      <c r="AH115" s="40">
        <f>IF(ISNUMBER(Tabella2[[#This Row],[Mean RADIAL stress  (MPa)]]), Tabella2[[#This Row],[Mean RADIAL stress  (MPa)]],"")</f>
        <v>0</v>
      </c>
      <c r="AI115" s="56">
        <f>IF(ISNUMBER(Tabella2[[#This Row],[Amplitute RADIAL stress  (MPa)]]), Tabella2[[#This Row],[Amplitute RADIAL stress  (MPa)]],"")</f>
        <v>0</v>
      </c>
      <c r="AJ115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15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16933.184402848983</v>
      </c>
      <c r="AL115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15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15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15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59266.145409971454</v>
      </c>
      <c r="AP115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15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220</v>
      </c>
    </row>
    <row r="116" spans="1:43" s="53" customFormat="1" ht="20.100000000000001" customHeight="1" x14ac:dyDescent="0.25">
      <c r="A116" s="53" t="s">
        <v>65</v>
      </c>
      <c r="B116" s="53">
        <v>2023</v>
      </c>
      <c r="C116" s="53" t="s">
        <v>64</v>
      </c>
      <c r="D116" s="53" t="s">
        <v>182</v>
      </c>
      <c r="E116" s="53">
        <v>751322</v>
      </c>
      <c r="F116" s="53" t="s">
        <v>20</v>
      </c>
      <c r="G116" s="53" t="s">
        <v>68</v>
      </c>
      <c r="H116" s="62" t="e" vm="18">
        <v>#VALUE!</v>
      </c>
      <c r="I116" s="53" t="s">
        <v>27</v>
      </c>
      <c r="J116" s="1" t="s">
        <v>32</v>
      </c>
      <c r="K116" s="53" t="s">
        <v>21</v>
      </c>
      <c r="L116" s="53" t="s">
        <v>21</v>
      </c>
      <c r="M116" s="53">
        <v>0</v>
      </c>
      <c r="N116" s="1">
        <v>14</v>
      </c>
      <c r="O116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16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16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16" s="62">
        <v>0</v>
      </c>
      <c r="S116" s="53">
        <v>0</v>
      </c>
      <c r="T116" s="1">
        <v>90</v>
      </c>
      <c r="U116" s="54" t="s">
        <v>245</v>
      </c>
      <c r="V116" s="54" t="s">
        <v>245</v>
      </c>
      <c r="W116" s="54" t="s">
        <v>245</v>
      </c>
      <c r="X116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16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16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16" s="40">
        <v>0</v>
      </c>
      <c r="AB116" s="56">
        <v>0</v>
      </c>
      <c r="AC116" s="56">
        <v>0</v>
      </c>
      <c r="AD116" s="56">
        <v>125</v>
      </c>
      <c r="AE116" s="55" t="s">
        <v>60</v>
      </c>
      <c r="AF116" s="56">
        <v>0</v>
      </c>
      <c r="AG116" s="56">
        <v>125</v>
      </c>
      <c r="AH116" s="40">
        <f>IF(ISNUMBER(Tabella2[[#This Row],[Mean RADIAL stress  (MPa)]]), Tabella2[[#This Row],[Mean RADIAL stress  (MPa)]],"")</f>
        <v>0</v>
      </c>
      <c r="AI116" s="56">
        <f>IF(ISNUMBER(Tabella2[[#This Row],[Amplitute RADIAL stress  (MPa)]]), Tabella2[[#This Row],[Amplitute RADIAL stress  (MPa)]],"")</f>
        <v>0</v>
      </c>
      <c r="AJ116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16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19242.255003237482</v>
      </c>
      <c r="AL116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16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16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16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67347.8925113312</v>
      </c>
      <c r="AP116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16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250</v>
      </c>
    </row>
    <row r="117" spans="1:43" s="53" customFormat="1" ht="20.100000000000001" customHeight="1" x14ac:dyDescent="0.25">
      <c r="A117" s="53" t="s">
        <v>65</v>
      </c>
      <c r="B117" s="53">
        <v>2023</v>
      </c>
      <c r="C117" s="53" t="s">
        <v>64</v>
      </c>
      <c r="D117" s="53" t="s">
        <v>183</v>
      </c>
      <c r="E117" s="53">
        <v>61284</v>
      </c>
      <c r="F117" s="53" t="s">
        <v>20</v>
      </c>
      <c r="G117" s="53" t="s">
        <v>68</v>
      </c>
      <c r="H117" s="62" t="e" vm="18">
        <v>#VALUE!</v>
      </c>
      <c r="I117" s="53" t="s">
        <v>27</v>
      </c>
      <c r="J117" s="1" t="s">
        <v>32</v>
      </c>
      <c r="K117" s="53" t="s">
        <v>21</v>
      </c>
      <c r="L117" s="53" t="s">
        <v>21</v>
      </c>
      <c r="M117" s="53">
        <v>0</v>
      </c>
      <c r="N117" s="1">
        <v>14</v>
      </c>
      <c r="O117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17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17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17" s="62">
        <v>0</v>
      </c>
      <c r="S117" s="53">
        <v>0</v>
      </c>
      <c r="T117" s="1">
        <v>90</v>
      </c>
      <c r="U117" s="54" t="s">
        <v>245</v>
      </c>
      <c r="V117" s="54" t="s">
        <v>245</v>
      </c>
      <c r="W117" s="54" t="s">
        <v>245</v>
      </c>
      <c r="X117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17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17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17" s="40">
        <v>0</v>
      </c>
      <c r="AB117" s="56">
        <v>0</v>
      </c>
      <c r="AC117" s="56">
        <v>0</v>
      </c>
      <c r="AD117" s="56">
        <v>150</v>
      </c>
      <c r="AE117" s="55" t="s">
        <v>60</v>
      </c>
      <c r="AF117" s="56">
        <v>0</v>
      </c>
      <c r="AG117" s="56">
        <v>150</v>
      </c>
      <c r="AH117" s="40">
        <f>IF(ISNUMBER(Tabella2[[#This Row],[Mean RADIAL stress  (MPa)]]), Tabella2[[#This Row],[Mean RADIAL stress  (MPa)]],"")</f>
        <v>0</v>
      </c>
      <c r="AI117" s="56">
        <f>IF(ISNUMBER(Tabella2[[#This Row],[Amplitute RADIAL stress  (MPa)]]), Tabella2[[#This Row],[Amplitute RADIAL stress  (MPa)]],"")</f>
        <v>0</v>
      </c>
      <c r="AJ117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17" s="56">
        <f>IF(ISNUMBER(Tabella2[[#This Row],[Amplitute AXIAL stress  (MPa)]]),    IF(Tabella2[[#This Row],[derived from (AXIAL/BENDING) load]]="AXIAL",Tabella2[[#This Row],[Amplitute AXIAL stress  (MPa)]]*Tabella2[[#This Row],[Area (mm^2)]],"Null"), "")</f>
        <v>23090.706003884978</v>
      </c>
      <c r="AL117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17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17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17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80817.471013597431</v>
      </c>
      <c r="AP117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17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300</v>
      </c>
    </row>
    <row r="118" spans="1:43" s="53" customFormat="1" ht="20.100000000000001" customHeight="1" x14ac:dyDescent="0.25">
      <c r="A118" s="53" t="s">
        <v>65</v>
      </c>
      <c r="B118" s="53">
        <v>2023</v>
      </c>
      <c r="C118" s="53" t="s">
        <v>64</v>
      </c>
      <c r="D118" s="53" t="s">
        <v>184</v>
      </c>
      <c r="E118" s="53">
        <v>121961</v>
      </c>
      <c r="F118" s="53" t="s">
        <v>20</v>
      </c>
      <c r="G118" s="53" t="s">
        <v>68</v>
      </c>
      <c r="H118" s="62" t="e" vm="18">
        <v>#VALUE!</v>
      </c>
      <c r="I118" s="53" t="s">
        <v>27</v>
      </c>
      <c r="J118" s="1" t="s">
        <v>32</v>
      </c>
      <c r="K118" s="53" t="s">
        <v>21</v>
      </c>
      <c r="L118" s="53" t="s">
        <v>21</v>
      </c>
      <c r="M118" s="53">
        <v>0</v>
      </c>
      <c r="N118" s="1">
        <v>14</v>
      </c>
      <c r="O118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18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18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18" s="62">
        <v>0</v>
      </c>
      <c r="S118" s="53">
        <v>0</v>
      </c>
      <c r="T118" s="1">
        <v>90</v>
      </c>
      <c r="U118" s="54" t="s">
        <v>245</v>
      </c>
      <c r="V118" s="54" t="s">
        <v>245</v>
      </c>
      <c r="W118" s="54" t="s">
        <v>245</v>
      </c>
      <c r="X118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18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18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18" s="40">
        <v>0</v>
      </c>
      <c r="AB118" s="56">
        <v>0</v>
      </c>
      <c r="AC118" s="56">
        <v>0</v>
      </c>
      <c r="AD118" s="56">
        <v>150</v>
      </c>
      <c r="AE118" s="55" t="s">
        <v>60</v>
      </c>
      <c r="AF118" s="56">
        <v>0</v>
      </c>
      <c r="AG118" s="56">
        <v>150</v>
      </c>
      <c r="AH118" s="40">
        <f>IF(ISNUMBER(Tabella2[[#This Row],[Mean RADIAL stress  (MPa)]]), Tabella2[[#This Row],[Mean RADIAL stress  (MPa)]],"")</f>
        <v>0</v>
      </c>
      <c r="AI118" s="56">
        <f>IF(ISNUMBER(Tabella2[[#This Row],[Amplitute RADIAL stress  (MPa)]]), Tabella2[[#This Row],[Amplitute RADIAL stress  (MPa)]],"")</f>
        <v>0</v>
      </c>
      <c r="AJ118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18" s="56">
        <f>IF(ISNUMBER(Tabella2[[#This Row],[Amplitute AXIAL stress  (MPa)]]),    IF(Tabella2[[#This Row],[derived from (AXIAL/BENDING) load]]="AXIAL",Tabella2[[#This Row],[Amplitute AXIAL stress  (MPa)]]*Tabella2[[#This Row],[Area (mm^2)]],"Null"), "")</f>
        <v>23090.706003884978</v>
      </c>
      <c r="AL118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18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18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18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80817.471013597431</v>
      </c>
      <c r="AP118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18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300</v>
      </c>
    </row>
    <row r="119" spans="1:43" s="53" customFormat="1" ht="20.100000000000001" customHeight="1" x14ac:dyDescent="0.25">
      <c r="A119" s="53" t="s">
        <v>65</v>
      </c>
      <c r="B119" s="53">
        <v>2023</v>
      </c>
      <c r="C119" s="53" t="s">
        <v>64</v>
      </c>
      <c r="D119" s="53" t="s">
        <v>185</v>
      </c>
      <c r="E119" s="53">
        <v>239743</v>
      </c>
      <c r="F119" s="53" t="s">
        <v>20</v>
      </c>
      <c r="G119" s="53" t="s">
        <v>68</v>
      </c>
      <c r="H119" s="62" t="e" vm="18">
        <v>#VALUE!</v>
      </c>
      <c r="I119" s="53" t="s">
        <v>27</v>
      </c>
      <c r="J119" s="1" t="s">
        <v>32</v>
      </c>
      <c r="K119" s="53" t="s">
        <v>21</v>
      </c>
      <c r="L119" s="53" t="s">
        <v>21</v>
      </c>
      <c r="M119" s="53">
        <v>0</v>
      </c>
      <c r="N119" s="1">
        <v>14</v>
      </c>
      <c r="O119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19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19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19" s="62">
        <v>0</v>
      </c>
      <c r="S119" s="53">
        <v>0</v>
      </c>
      <c r="T119" s="1">
        <v>90</v>
      </c>
      <c r="U119" s="54" t="s">
        <v>245</v>
      </c>
      <c r="V119" s="54" t="s">
        <v>245</v>
      </c>
      <c r="W119" s="54" t="s">
        <v>245</v>
      </c>
      <c r="X119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19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19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19" s="40">
        <v>0</v>
      </c>
      <c r="AB119" s="56">
        <v>0</v>
      </c>
      <c r="AC119" s="56">
        <v>0</v>
      </c>
      <c r="AD119" s="56">
        <v>137.5</v>
      </c>
      <c r="AE119" s="55" t="s">
        <v>60</v>
      </c>
      <c r="AF119" s="56">
        <v>0</v>
      </c>
      <c r="AG119" s="56">
        <v>137.5</v>
      </c>
      <c r="AH119" s="40">
        <f>IF(ISNUMBER(Tabella2[[#This Row],[Mean RADIAL stress  (MPa)]]), Tabella2[[#This Row],[Mean RADIAL stress  (MPa)]],"")</f>
        <v>0</v>
      </c>
      <c r="AI119" s="56">
        <f>IF(ISNUMBER(Tabella2[[#This Row],[Amplitute RADIAL stress  (MPa)]]), Tabella2[[#This Row],[Amplitute RADIAL stress  (MPa)]],"")</f>
        <v>0</v>
      </c>
      <c r="AJ119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19" s="56">
        <f>IF(ISNUMBER(Tabella2[[#This Row],[Amplitute AXIAL stress  (MPa)]]),    IF(Tabella2[[#This Row],[derived from (AXIAL/BENDING) load]]="AXIAL",Tabella2[[#This Row],[Amplitute AXIAL stress  (MPa)]]*Tabella2[[#This Row],[Area (mm^2)]],"Null"), "")</f>
        <v>21166.48050356123</v>
      </c>
      <c r="AL119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19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19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19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74082.681762464315</v>
      </c>
      <c r="AP119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19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275</v>
      </c>
    </row>
    <row r="120" spans="1:43" s="53" customFormat="1" ht="20.100000000000001" customHeight="1" x14ac:dyDescent="0.25">
      <c r="A120" s="53" t="s">
        <v>65</v>
      </c>
      <c r="B120" s="53">
        <v>2023</v>
      </c>
      <c r="C120" s="53" t="s">
        <v>64</v>
      </c>
      <c r="D120" s="53" t="s">
        <v>186</v>
      </c>
      <c r="E120" s="53">
        <v>2895375</v>
      </c>
      <c r="F120" s="53" t="s">
        <v>20</v>
      </c>
      <c r="G120" s="53" t="s">
        <v>68</v>
      </c>
      <c r="H120" s="62" t="e" vm="18">
        <v>#VALUE!</v>
      </c>
      <c r="I120" s="53" t="s">
        <v>27</v>
      </c>
      <c r="J120" s="1" t="s">
        <v>32</v>
      </c>
      <c r="K120" s="53" t="s">
        <v>21</v>
      </c>
      <c r="L120" s="53" t="s">
        <v>21</v>
      </c>
      <c r="M120" s="53">
        <v>0</v>
      </c>
      <c r="N120" s="1">
        <v>14</v>
      </c>
      <c r="O120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20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20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20" s="62">
        <v>0</v>
      </c>
      <c r="S120" s="53">
        <v>0</v>
      </c>
      <c r="T120" s="1">
        <v>90</v>
      </c>
      <c r="U120" s="54" t="s">
        <v>245</v>
      </c>
      <c r="V120" s="54" t="s">
        <v>245</v>
      </c>
      <c r="W120" s="54" t="s">
        <v>245</v>
      </c>
      <c r="X120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20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20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20" s="40">
        <v>0</v>
      </c>
      <c r="AB120" s="56">
        <v>0</v>
      </c>
      <c r="AC120" s="56">
        <v>0</v>
      </c>
      <c r="AD120" s="56">
        <v>115</v>
      </c>
      <c r="AE120" s="55" t="s">
        <v>60</v>
      </c>
      <c r="AF120" s="56">
        <v>0</v>
      </c>
      <c r="AG120" s="56">
        <v>115</v>
      </c>
      <c r="AH120" s="40">
        <f>IF(ISNUMBER(Tabella2[[#This Row],[Mean RADIAL stress  (MPa)]]), Tabella2[[#This Row],[Mean RADIAL stress  (MPa)]],"")</f>
        <v>0</v>
      </c>
      <c r="AI120" s="56">
        <f>IF(ISNUMBER(Tabella2[[#This Row],[Amplitute RADIAL stress  (MPa)]]), Tabella2[[#This Row],[Amplitute RADIAL stress  (MPa)]],"")</f>
        <v>0</v>
      </c>
      <c r="AJ120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20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17702.874602978482</v>
      </c>
      <c r="AL120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20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20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20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61960.061110424693</v>
      </c>
      <c r="AP120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20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230</v>
      </c>
    </row>
    <row r="121" spans="1:43" s="53" customFormat="1" ht="20.100000000000001" customHeight="1" x14ac:dyDescent="0.25">
      <c r="A121" s="53" t="s">
        <v>65</v>
      </c>
      <c r="B121" s="53">
        <v>2023</v>
      </c>
      <c r="C121" s="53" t="s">
        <v>64</v>
      </c>
      <c r="D121" s="53" t="s">
        <v>187</v>
      </c>
      <c r="E121" s="53">
        <v>197512</v>
      </c>
      <c r="F121" s="53" t="s">
        <v>20</v>
      </c>
      <c r="G121" s="53" t="s">
        <v>68</v>
      </c>
      <c r="H121" s="62" t="e" vm="18">
        <v>#VALUE!</v>
      </c>
      <c r="I121" s="53" t="s">
        <v>27</v>
      </c>
      <c r="J121" s="1" t="s">
        <v>32</v>
      </c>
      <c r="K121" s="53" t="s">
        <v>21</v>
      </c>
      <c r="L121" s="53" t="s">
        <v>21</v>
      </c>
      <c r="M121" s="53">
        <v>0</v>
      </c>
      <c r="N121" s="1">
        <v>14</v>
      </c>
      <c r="O121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21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21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21" s="62">
        <v>0</v>
      </c>
      <c r="S121" s="53">
        <v>0</v>
      </c>
      <c r="T121" s="1">
        <v>90</v>
      </c>
      <c r="U121" s="54" t="s">
        <v>245</v>
      </c>
      <c r="V121" s="54" t="s">
        <v>245</v>
      </c>
      <c r="W121" s="54" t="s">
        <v>245</v>
      </c>
      <c r="X121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21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21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21" s="40">
        <v>0</v>
      </c>
      <c r="AB121" s="56">
        <v>0</v>
      </c>
      <c r="AC121" s="56">
        <v>0</v>
      </c>
      <c r="AD121" s="56">
        <v>137.5</v>
      </c>
      <c r="AE121" s="55" t="s">
        <v>60</v>
      </c>
      <c r="AF121" s="56">
        <v>0</v>
      </c>
      <c r="AG121" s="56">
        <v>137.5</v>
      </c>
      <c r="AH121" s="40">
        <f>IF(ISNUMBER(Tabella2[[#This Row],[Mean RADIAL stress  (MPa)]]), Tabella2[[#This Row],[Mean RADIAL stress  (MPa)]],"")</f>
        <v>0</v>
      </c>
      <c r="AI121" s="56">
        <f>IF(ISNUMBER(Tabella2[[#This Row],[Amplitute RADIAL stress  (MPa)]]), Tabella2[[#This Row],[Amplitute RADIAL stress  (MPa)]],"")</f>
        <v>0</v>
      </c>
      <c r="AJ121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21" s="56">
        <f>IF(ISNUMBER(Tabella2[[#This Row],[Amplitute AXIAL stress  (MPa)]]),    IF(Tabella2[[#This Row],[derived from (AXIAL/BENDING) load]]="AXIAL",Tabella2[[#This Row],[Amplitute AXIAL stress  (MPa)]]*Tabella2[[#This Row],[Area (mm^2)]],"Null"), "")</f>
        <v>21166.48050356123</v>
      </c>
      <c r="AL121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21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21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21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74082.681762464315</v>
      </c>
      <c r="AP121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21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275</v>
      </c>
    </row>
    <row r="122" spans="1:43" s="53" customFormat="1" ht="20.100000000000001" customHeight="1" x14ac:dyDescent="0.25">
      <c r="A122" s="53" t="s">
        <v>65</v>
      </c>
      <c r="B122" s="53">
        <v>2023</v>
      </c>
      <c r="C122" s="53" t="s">
        <v>64</v>
      </c>
      <c r="D122" s="53" t="s">
        <v>188</v>
      </c>
      <c r="E122" s="53">
        <v>1020783</v>
      </c>
      <c r="F122" s="53" t="s">
        <v>20</v>
      </c>
      <c r="G122" s="53" t="s">
        <v>68</v>
      </c>
      <c r="H122" s="62" t="e" vm="18">
        <v>#VALUE!</v>
      </c>
      <c r="I122" s="53" t="s">
        <v>27</v>
      </c>
      <c r="J122" s="1" t="s">
        <v>32</v>
      </c>
      <c r="K122" s="53" t="s">
        <v>21</v>
      </c>
      <c r="L122" s="53" t="s">
        <v>21</v>
      </c>
      <c r="M122" s="53">
        <v>0</v>
      </c>
      <c r="N122" s="1">
        <v>14</v>
      </c>
      <c r="O122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22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22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22" s="62">
        <v>0</v>
      </c>
      <c r="S122" s="53">
        <v>0</v>
      </c>
      <c r="T122" s="1">
        <v>90</v>
      </c>
      <c r="U122" s="54" t="s">
        <v>245</v>
      </c>
      <c r="V122" s="54" t="s">
        <v>245</v>
      </c>
      <c r="W122" s="54" t="s">
        <v>245</v>
      </c>
      <c r="X122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22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22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22" s="40">
        <v>0</v>
      </c>
      <c r="AB122" s="56">
        <v>0</v>
      </c>
      <c r="AC122" s="56">
        <v>0</v>
      </c>
      <c r="AD122" s="56">
        <v>115</v>
      </c>
      <c r="AE122" s="55" t="s">
        <v>60</v>
      </c>
      <c r="AF122" s="56">
        <v>0</v>
      </c>
      <c r="AG122" s="56">
        <v>115</v>
      </c>
      <c r="AH122" s="40">
        <f>IF(ISNUMBER(Tabella2[[#This Row],[Mean RADIAL stress  (MPa)]]), Tabella2[[#This Row],[Mean RADIAL stress  (MPa)]],"")</f>
        <v>0</v>
      </c>
      <c r="AI122" s="56">
        <f>IF(ISNUMBER(Tabella2[[#This Row],[Amplitute RADIAL stress  (MPa)]]), Tabella2[[#This Row],[Amplitute RADIAL stress  (MPa)]],"")</f>
        <v>0</v>
      </c>
      <c r="AJ122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22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17702.874602978482</v>
      </c>
      <c r="AL122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22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22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22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61960.061110424693</v>
      </c>
      <c r="AP122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22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230</v>
      </c>
    </row>
    <row r="123" spans="1:43" s="53" customFormat="1" ht="20.100000000000001" customHeight="1" x14ac:dyDescent="0.25">
      <c r="A123" s="53" t="s">
        <v>65</v>
      </c>
      <c r="B123" s="53">
        <v>2023</v>
      </c>
      <c r="C123" s="53" t="s">
        <v>64</v>
      </c>
      <c r="D123" s="53" t="s">
        <v>189</v>
      </c>
      <c r="E123" s="53">
        <v>288376</v>
      </c>
      <c r="F123" s="53" t="s">
        <v>20</v>
      </c>
      <c r="G123" s="53" t="s">
        <v>68</v>
      </c>
      <c r="H123" s="62" t="e" vm="18">
        <v>#VALUE!</v>
      </c>
      <c r="I123" s="53" t="s">
        <v>27</v>
      </c>
      <c r="J123" s="1" t="s">
        <v>32</v>
      </c>
      <c r="K123" s="53" t="s">
        <v>21</v>
      </c>
      <c r="L123" s="53" t="s">
        <v>21</v>
      </c>
      <c r="M123" s="53">
        <v>0</v>
      </c>
      <c r="N123" s="1">
        <v>14</v>
      </c>
      <c r="O123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23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23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23" s="62">
        <v>0</v>
      </c>
      <c r="S123" s="53">
        <v>0</v>
      </c>
      <c r="T123" s="1">
        <v>90</v>
      </c>
      <c r="U123" s="54" t="s">
        <v>245</v>
      </c>
      <c r="V123" s="54" t="s">
        <v>245</v>
      </c>
      <c r="W123" s="54" t="s">
        <v>245</v>
      </c>
      <c r="X123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23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23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23" s="40">
        <v>0</v>
      </c>
      <c r="AB123" s="56">
        <v>0</v>
      </c>
      <c r="AC123" s="56">
        <v>0</v>
      </c>
      <c r="AD123" s="56">
        <v>137.5</v>
      </c>
      <c r="AE123" s="55" t="s">
        <v>60</v>
      </c>
      <c r="AF123" s="56">
        <v>0</v>
      </c>
      <c r="AG123" s="56">
        <v>137.5</v>
      </c>
      <c r="AH123" s="40">
        <f>IF(ISNUMBER(Tabella2[[#This Row],[Mean RADIAL stress  (MPa)]]), Tabella2[[#This Row],[Mean RADIAL stress  (MPa)]],"")</f>
        <v>0</v>
      </c>
      <c r="AI123" s="56">
        <f>IF(ISNUMBER(Tabella2[[#This Row],[Amplitute RADIAL stress  (MPa)]]), Tabella2[[#This Row],[Amplitute RADIAL stress  (MPa)]],"")</f>
        <v>0</v>
      </c>
      <c r="AJ123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23" s="56">
        <f>IF(ISNUMBER(Tabella2[[#This Row],[Amplitute AXIAL stress  (MPa)]]),    IF(Tabella2[[#This Row],[derived from (AXIAL/BENDING) load]]="AXIAL",Tabella2[[#This Row],[Amplitute AXIAL stress  (MPa)]]*Tabella2[[#This Row],[Area (mm^2)]],"Null"), "")</f>
        <v>21166.48050356123</v>
      </c>
      <c r="AL123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23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23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23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74082.681762464315</v>
      </c>
      <c r="AP123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23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275</v>
      </c>
    </row>
    <row r="124" spans="1:43" s="53" customFormat="1" ht="20.100000000000001" customHeight="1" x14ac:dyDescent="0.25">
      <c r="A124" s="53" t="s">
        <v>65</v>
      </c>
      <c r="B124" s="53">
        <v>2023</v>
      </c>
      <c r="C124" s="53" t="s">
        <v>64</v>
      </c>
      <c r="D124" s="53" t="s">
        <v>190</v>
      </c>
      <c r="E124" s="53">
        <v>207195</v>
      </c>
      <c r="F124" s="53" t="s">
        <v>20</v>
      </c>
      <c r="G124" s="53" t="s">
        <v>68</v>
      </c>
      <c r="H124" s="62" t="e" vm="18">
        <v>#VALUE!</v>
      </c>
      <c r="I124" s="53" t="s">
        <v>27</v>
      </c>
      <c r="J124" s="1" t="s">
        <v>32</v>
      </c>
      <c r="K124" s="53" t="s">
        <v>21</v>
      </c>
      <c r="L124" s="53" t="s">
        <v>21</v>
      </c>
      <c r="M124" s="53">
        <v>0</v>
      </c>
      <c r="N124" s="1">
        <v>14</v>
      </c>
      <c r="O124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24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24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24" s="62">
        <v>0</v>
      </c>
      <c r="S124" s="53">
        <v>0</v>
      </c>
      <c r="T124" s="1">
        <v>0</v>
      </c>
      <c r="U124" s="54" t="s">
        <v>245</v>
      </c>
      <c r="V124" s="54" t="s">
        <v>245</v>
      </c>
      <c r="W124" s="54" t="s">
        <v>245</v>
      </c>
      <c r="X124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24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24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24" s="40">
        <v>0</v>
      </c>
      <c r="AB124" s="56">
        <v>0</v>
      </c>
      <c r="AC124" s="56">
        <v>0</v>
      </c>
      <c r="AD124" s="56">
        <v>80</v>
      </c>
      <c r="AE124" s="55" t="s">
        <v>60</v>
      </c>
      <c r="AF124" s="56">
        <v>0</v>
      </c>
      <c r="AG124" s="56">
        <v>160</v>
      </c>
      <c r="AH124" s="40">
        <f>IF(ISNUMBER(Tabella2[[#This Row],[Mean RADIAL stress  (MPa)]]), Tabella2[[#This Row],[Mean RADIAL stress  (MPa)]],"")</f>
        <v>0</v>
      </c>
      <c r="AI124" s="56">
        <f>IF(ISNUMBER(Tabella2[[#This Row],[Amplitute RADIAL stress  (MPa)]]), Tabella2[[#This Row],[Amplitute RADIAL stress  (MPa)]],"")</f>
        <v>0</v>
      </c>
      <c r="AJ124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24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12315.043202071989</v>
      </c>
      <c r="AL124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24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24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24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86205.302414503924</v>
      </c>
      <c r="AP124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2</v>
      </c>
      <c r="AQ124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288.44410203711914</v>
      </c>
    </row>
    <row r="125" spans="1:43" s="53" customFormat="1" ht="20.100000000000001" customHeight="1" x14ac:dyDescent="0.25">
      <c r="A125" s="53" t="s">
        <v>65</v>
      </c>
      <c r="B125" s="53">
        <v>2023</v>
      </c>
      <c r="C125" s="53" t="s">
        <v>64</v>
      </c>
      <c r="D125" s="53" t="s">
        <v>191</v>
      </c>
      <c r="E125" s="53">
        <v>79986</v>
      </c>
      <c r="F125" s="53" t="s">
        <v>20</v>
      </c>
      <c r="G125" s="53" t="s">
        <v>68</v>
      </c>
      <c r="H125" s="62" t="e" vm="18">
        <v>#VALUE!</v>
      </c>
      <c r="I125" s="53" t="s">
        <v>27</v>
      </c>
      <c r="J125" s="1" t="s">
        <v>32</v>
      </c>
      <c r="K125" s="53" t="s">
        <v>21</v>
      </c>
      <c r="L125" s="53" t="s">
        <v>21</v>
      </c>
      <c r="M125" s="53">
        <v>0</v>
      </c>
      <c r="N125" s="1">
        <v>14</v>
      </c>
      <c r="O125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25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25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25" s="62">
        <v>0</v>
      </c>
      <c r="S125" s="53">
        <v>0</v>
      </c>
      <c r="T125" s="1">
        <v>0</v>
      </c>
      <c r="U125" s="54" t="s">
        <v>245</v>
      </c>
      <c r="V125" s="54" t="s">
        <v>245</v>
      </c>
      <c r="W125" s="54" t="s">
        <v>245</v>
      </c>
      <c r="X125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25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25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25" s="40">
        <v>0</v>
      </c>
      <c r="AB125" s="56">
        <v>0</v>
      </c>
      <c r="AC125" s="56">
        <v>0</v>
      </c>
      <c r="AD125" s="56">
        <v>90</v>
      </c>
      <c r="AE125" s="55" t="s">
        <v>60</v>
      </c>
      <c r="AF125" s="56">
        <v>0</v>
      </c>
      <c r="AG125" s="56">
        <v>180</v>
      </c>
      <c r="AH125" s="40">
        <f>IF(ISNUMBER(Tabella2[[#This Row],[Mean RADIAL stress  (MPa)]]), Tabella2[[#This Row],[Mean RADIAL stress  (MPa)]],"")</f>
        <v>0</v>
      </c>
      <c r="AI125" s="56">
        <f>IF(ISNUMBER(Tabella2[[#This Row],[Amplitute RADIAL stress  (MPa)]]), Tabella2[[#This Row],[Amplitute RADIAL stress  (MPa)]],"")</f>
        <v>0</v>
      </c>
      <c r="AJ125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25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13854.423602330986</v>
      </c>
      <c r="AL125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25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25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25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96980.965216316908</v>
      </c>
      <c r="AP125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2</v>
      </c>
      <c r="AQ125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324.49961479175903</v>
      </c>
    </row>
    <row r="126" spans="1:43" s="53" customFormat="1" ht="20.100000000000001" customHeight="1" x14ac:dyDescent="0.25">
      <c r="A126" s="53" t="s">
        <v>65</v>
      </c>
      <c r="B126" s="53">
        <v>2023</v>
      </c>
      <c r="C126" s="53" t="s">
        <v>64</v>
      </c>
      <c r="D126" s="53" t="s">
        <v>192</v>
      </c>
      <c r="E126" s="53">
        <v>1215835</v>
      </c>
      <c r="F126" s="53" t="s">
        <v>20</v>
      </c>
      <c r="G126" s="53" t="s">
        <v>68</v>
      </c>
      <c r="H126" s="62" t="e" vm="18">
        <v>#VALUE!</v>
      </c>
      <c r="I126" s="53" t="s">
        <v>27</v>
      </c>
      <c r="J126" s="1" t="s">
        <v>32</v>
      </c>
      <c r="K126" s="53" t="s">
        <v>21</v>
      </c>
      <c r="L126" s="53" t="s">
        <v>21</v>
      </c>
      <c r="M126" s="53">
        <v>0</v>
      </c>
      <c r="N126" s="1">
        <v>14</v>
      </c>
      <c r="O126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26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26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26" s="62">
        <v>0</v>
      </c>
      <c r="S126" s="53">
        <v>0</v>
      </c>
      <c r="T126" s="1">
        <v>0</v>
      </c>
      <c r="U126" s="54" t="s">
        <v>245</v>
      </c>
      <c r="V126" s="54" t="s">
        <v>245</v>
      </c>
      <c r="W126" s="54" t="s">
        <v>245</v>
      </c>
      <c r="X126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26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26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26" s="40">
        <v>0</v>
      </c>
      <c r="AB126" s="56">
        <v>0</v>
      </c>
      <c r="AC126" s="56">
        <v>0</v>
      </c>
      <c r="AD126" s="56">
        <v>60</v>
      </c>
      <c r="AE126" s="55" t="s">
        <v>60</v>
      </c>
      <c r="AF126" s="56">
        <v>0</v>
      </c>
      <c r="AG126" s="56">
        <v>120</v>
      </c>
      <c r="AH126" s="40">
        <f>IF(ISNUMBER(Tabella2[[#This Row],[Mean RADIAL stress  (MPa)]]), Tabella2[[#This Row],[Mean RADIAL stress  (MPa)]],"")</f>
        <v>0</v>
      </c>
      <c r="AI126" s="56">
        <f>IF(ISNUMBER(Tabella2[[#This Row],[Amplitute RADIAL stress  (MPa)]]), Tabella2[[#This Row],[Amplitute RADIAL stress  (MPa)]],"")</f>
        <v>0</v>
      </c>
      <c r="AJ126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26" s="56">
        <f>IF(ISNUMBER(Tabella2[[#This Row],[Amplitute AXIAL stress  (MPa)]]),    IF(Tabella2[[#This Row],[derived from (AXIAL/BENDING) load]]="AXIAL",Tabella2[[#This Row],[Amplitute AXIAL stress  (MPa)]]*Tabella2[[#This Row],[Area (mm^2)]],"Null"), "")</f>
        <v>9236.2824015539918</v>
      </c>
      <c r="AL126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26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26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26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64653.976810877946</v>
      </c>
      <c r="AP126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2</v>
      </c>
      <c r="AQ126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216.33307652783935</v>
      </c>
    </row>
    <row r="127" spans="1:43" s="53" customFormat="1" ht="20.100000000000001" customHeight="1" x14ac:dyDescent="0.25">
      <c r="A127" s="53" t="s">
        <v>65</v>
      </c>
      <c r="B127" s="53">
        <v>2023</v>
      </c>
      <c r="C127" s="53" t="s">
        <v>64</v>
      </c>
      <c r="D127" s="53" t="s">
        <v>193</v>
      </c>
      <c r="E127" s="53">
        <v>1032688</v>
      </c>
      <c r="F127" s="53" t="s">
        <v>20</v>
      </c>
      <c r="G127" s="53" t="s">
        <v>68</v>
      </c>
      <c r="H127" s="62" t="e" vm="18">
        <v>#VALUE!</v>
      </c>
      <c r="I127" s="53" t="s">
        <v>27</v>
      </c>
      <c r="J127" s="1" t="s">
        <v>32</v>
      </c>
      <c r="K127" s="53" t="s">
        <v>21</v>
      </c>
      <c r="L127" s="53" t="s">
        <v>21</v>
      </c>
      <c r="M127" s="53">
        <v>0</v>
      </c>
      <c r="N127" s="1">
        <v>14</v>
      </c>
      <c r="O127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27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27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27" s="62">
        <v>0</v>
      </c>
      <c r="S127" s="53">
        <v>0</v>
      </c>
      <c r="T127" s="1">
        <v>0</v>
      </c>
      <c r="U127" s="54" t="s">
        <v>245</v>
      </c>
      <c r="V127" s="54" t="s">
        <v>245</v>
      </c>
      <c r="W127" s="54" t="s">
        <v>245</v>
      </c>
      <c r="X127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27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27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27" s="40">
        <v>0</v>
      </c>
      <c r="AB127" s="56">
        <v>0</v>
      </c>
      <c r="AC127" s="56">
        <v>0</v>
      </c>
      <c r="AD127" s="56">
        <v>60</v>
      </c>
      <c r="AE127" s="55" t="s">
        <v>60</v>
      </c>
      <c r="AF127" s="56">
        <v>0</v>
      </c>
      <c r="AG127" s="56">
        <v>120</v>
      </c>
      <c r="AH127" s="40">
        <f>IF(ISNUMBER(Tabella2[[#This Row],[Mean RADIAL stress  (MPa)]]), Tabella2[[#This Row],[Mean RADIAL stress  (MPa)]],"")</f>
        <v>0</v>
      </c>
      <c r="AI127" s="56">
        <f>IF(ISNUMBER(Tabella2[[#This Row],[Amplitute RADIAL stress  (MPa)]]), Tabella2[[#This Row],[Amplitute RADIAL stress  (MPa)]],"")</f>
        <v>0</v>
      </c>
      <c r="AJ127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27" s="56">
        <f>IF(ISNUMBER(Tabella2[[#This Row],[Amplitute AXIAL stress  (MPa)]]),    IF(Tabella2[[#This Row],[derived from (AXIAL/BENDING) load]]="AXIAL",Tabella2[[#This Row],[Amplitute AXIAL stress  (MPa)]]*Tabella2[[#This Row],[Area (mm^2)]],"Null"), "")</f>
        <v>9236.2824015539918</v>
      </c>
      <c r="AL127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27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27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27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64653.976810877946</v>
      </c>
      <c r="AP127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2</v>
      </c>
      <c r="AQ127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216.33307652783935</v>
      </c>
    </row>
    <row r="128" spans="1:43" s="53" customFormat="1" ht="20.100000000000001" customHeight="1" x14ac:dyDescent="0.25">
      <c r="A128" s="53" t="s">
        <v>65</v>
      </c>
      <c r="B128" s="53">
        <v>2023</v>
      </c>
      <c r="C128" s="53" t="s">
        <v>64</v>
      </c>
      <c r="D128" s="53" t="s">
        <v>194</v>
      </c>
      <c r="E128" s="53">
        <v>4103365</v>
      </c>
      <c r="F128" s="53" t="s">
        <v>20</v>
      </c>
      <c r="G128" s="53" t="s">
        <v>68</v>
      </c>
      <c r="H128" s="62" t="e" vm="18">
        <v>#VALUE!</v>
      </c>
      <c r="I128" s="53" t="s">
        <v>27</v>
      </c>
      <c r="J128" s="1" t="s">
        <v>32</v>
      </c>
      <c r="K128" s="53" t="s">
        <v>21</v>
      </c>
      <c r="L128" s="53" t="s">
        <v>21</v>
      </c>
      <c r="M128" s="53">
        <v>0</v>
      </c>
      <c r="N128" s="1">
        <v>14</v>
      </c>
      <c r="O128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28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28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28" s="62">
        <v>0</v>
      </c>
      <c r="S128" s="53">
        <v>0</v>
      </c>
      <c r="T128" s="1">
        <v>0</v>
      </c>
      <c r="U128" s="54" t="s">
        <v>245</v>
      </c>
      <c r="V128" s="54" t="s">
        <v>245</v>
      </c>
      <c r="W128" s="54" t="s">
        <v>245</v>
      </c>
      <c r="X128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28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28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28" s="40">
        <v>0</v>
      </c>
      <c r="AB128" s="56">
        <v>0</v>
      </c>
      <c r="AC128" s="56">
        <v>0</v>
      </c>
      <c r="AD128" s="56">
        <v>50</v>
      </c>
      <c r="AE128" s="55" t="s">
        <v>60</v>
      </c>
      <c r="AF128" s="56">
        <v>0</v>
      </c>
      <c r="AG128" s="56">
        <v>100</v>
      </c>
      <c r="AH128" s="40">
        <f>IF(ISNUMBER(Tabella2[[#This Row],[Mean RADIAL stress  (MPa)]]), Tabella2[[#This Row],[Mean RADIAL stress  (MPa)]],"")</f>
        <v>0</v>
      </c>
      <c r="AI128" s="56">
        <f>IF(ISNUMBER(Tabella2[[#This Row],[Amplitute RADIAL stress  (MPa)]]), Tabella2[[#This Row],[Amplitute RADIAL stress  (MPa)]],"")</f>
        <v>0</v>
      </c>
      <c r="AJ128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28" s="56">
        <f>IF(ISNUMBER(Tabella2[[#This Row],[Amplitute AXIAL stress  (MPa)]]),    IF(Tabella2[[#This Row],[derived from (AXIAL/BENDING) load]]="AXIAL",Tabella2[[#This Row],[Amplitute AXIAL stress  (MPa)]]*Tabella2[[#This Row],[Area (mm^2)]],"Null"), "")</f>
        <v>7696.9020012949923</v>
      </c>
      <c r="AL128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28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28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28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53878.314009064947</v>
      </c>
      <c r="AP128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2</v>
      </c>
      <c r="AQ128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180.27756377319946</v>
      </c>
    </row>
    <row r="129" spans="1:43" s="53" customFormat="1" ht="20.100000000000001" customHeight="1" x14ac:dyDescent="0.25">
      <c r="A129" s="53" t="s">
        <v>65</v>
      </c>
      <c r="B129" s="53">
        <v>2023</v>
      </c>
      <c r="C129" s="53" t="s">
        <v>64</v>
      </c>
      <c r="D129" s="53" t="s">
        <v>195</v>
      </c>
      <c r="E129" s="53">
        <v>226605</v>
      </c>
      <c r="F129" s="53" t="s">
        <v>20</v>
      </c>
      <c r="G129" s="53" t="s">
        <v>68</v>
      </c>
      <c r="H129" s="62" t="e" vm="18">
        <v>#VALUE!</v>
      </c>
      <c r="I129" s="53" t="s">
        <v>27</v>
      </c>
      <c r="J129" s="1" t="s">
        <v>32</v>
      </c>
      <c r="K129" s="53" t="s">
        <v>21</v>
      </c>
      <c r="L129" s="53" t="s">
        <v>21</v>
      </c>
      <c r="M129" s="53">
        <v>0</v>
      </c>
      <c r="N129" s="1">
        <v>14</v>
      </c>
      <c r="O129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29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29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29" s="62">
        <v>0</v>
      </c>
      <c r="S129" s="53">
        <v>0</v>
      </c>
      <c r="T129" s="1">
        <v>0</v>
      </c>
      <c r="U129" s="54" t="s">
        <v>245</v>
      </c>
      <c r="V129" s="54" t="s">
        <v>245</v>
      </c>
      <c r="W129" s="54" t="s">
        <v>245</v>
      </c>
      <c r="X129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29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29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29" s="40">
        <v>0</v>
      </c>
      <c r="AB129" s="56">
        <v>0</v>
      </c>
      <c r="AC129" s="56">
        <v>0</v>
      </c>
      <c r="AD129" s="56">
        <v>80</v>
      </c>
      <c r="AE129" s="55" t="s">
        <v>60</v>
      </c>
      <c r="AF129" s="56">
        <v>0</v>
      </c>
      <c r="AG129" s="56">
        <v>160</v>
      </c>
      <c r="AH129" s="40">
        <f>IF(ISNUMBER(Tabella2[[#This Row],[Mean RADIAL stress  (MPa)]]), Tabella2[[#This Row],[Mean RADIAL stress  (MPa)]],"")</f>
        <v>0</v>
      </c>
      <c r="AI129" s="56">
        <f>IF(ISNUMBER(Tabella2[[#This Row],[Amplitute RADIAL stress  (MPa)]]), Tabella2[[#This Row],[Amplitute RADIAL stress  (MPa)]],"")</f>
        <v>0</v>
      </c>
      <c r="AJ129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29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12315.043202071989</v>
      </c>
      <c r="AL129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29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29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29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86205.302414503924</v>
      </c>
      <c r="AP129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2</v>
      </c>
      <c r="AQ129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288.44410203711914</v>
      </c>
    </row>
    <row r="130" spans="1:43" s="53" customFormat="1" ht="20.100000000000001" customHeight="1" x14ac:dyDescent="0.25">
      <c r="A130" s="53" t="s">
        <v>65</v>
      </c>
      <c r="B130" s="53">
        <v>2023</v>
      </c>
      <c r="C130" s="53" t="s">
        <v>64</v>
      </c>
      <c r="D130" s="53" t="s">
        <v>196</v>
      </c>
      <c r="E130" s="53">
        <v>102745</v>
      </c>
      <c r="F130" s="53" t="s">
        <v>20</v>
      </c>
      <c r="G130" s="53" t="s">
        <v>68</v>
      </c>
      <c r="H130" s="62" t="e" vm="18">
        <v>#VALUE!</v>
      </c>
      <c r="I130" s="53" t="s">
        <v>27</v>
      </c>
      <c r="J130" s="1" t="s">
        <v>32</v>
      </c>
      <c r="K130" s="53" t="s">
        <v>21</v>
      </c>
      <c r="L130" s="53" t="s">
        <v>21</v>
      </c>
      <c r="M130" s="53">
        <v>0</v>
      </c>
      <c r="N130" s="1">
        <v>14</v>
      </c>
      <c r="O130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30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30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30" s="62">
        <v>0</v>
      </c>
      <c r="S130" s="53">
        <v>0</v>
      </c>
      <c r="T130" s="1">
        <v>0</v>
      </c>
      <c r="U130" s="54" t="s">
        <v>245</v>
      </c>
      <c r="V130" s="54" t="s">
        <v>245</v>
      </c>
      <c r="W130" s="54" t="s">
        <v>245</v>
      </c>
      <c r="X130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30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30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30" s="40">
        <v>0</v>
      </c>
      <c r="AB130" s="56">
        <v>0</v>
      </c>
      <c r="AC130" s="56">
        <v>0</v>
      </c>
      <c r="AD130" s="56">
        <v>90</v>
      </c>
      <c r="AE130" s="55" t="s">
        <v>60</v>
      </c>
      <c r="AF130" s="56">
        <v>0</v>
      </c>
      <c r="AG130" s="56">
        <v>180</v>
      </c>
      <c r="AH130" s="40">
        <f>IF(ISNUMBER(Tabella2[[#This Row],[Mean RADIAL stress  (MPa)]]), Tabella2[[#This Row],[Mean RADIAL stress  (MPa)]],"")</f>
        <v>0</v>
      </c>
      <c r="AI130" s="56">
        <f>IF(ISNUMBER(Tabella2[[#This Row],[Amplitute RADIAL stress  (MPa)]]), Tabella2[[#This Row],[Amplitute RADIAL stress  (MPa)]],"")</f>
        <v>0</v>
      </c>
      <c r="AJ130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30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13854.423602330986</v>
      </c>
      <c r="AL130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30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30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30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96980.965216316908</v>
      </c>
      <c r="AP130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2</v>
      </c>
      <c r="AQ130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324.49961479175903</v>
      </c>
    </row>
    <row r="131" spans="1:43" s="53" customFormat="1" ht="20.100000000000001" customHeight="1" x14ac:dyDescent="0.25">
      <c r="A131" s="53" t="s">
        <v>65</v>
      </c>
      <c r="B131" s="53">
        <v>2023</v>
      </c>
      <c r="C131" s="53" t="s">
        <v>64</v>
      </c>
      <c r="D131" s="53" t="s">
        <v>197</v>
      </c>
      <c r="E131" s="53">
        <v>419909</v>
      </c>
      <c r="F131" s="53" t="s">
        <v>20</v>
      </c>
      <c r="G131" s="53" t="s">
        <v>68</v>
      </c>
      <c r="H131" s="62" t="e" vm="18">
        <v>#VALUE!</v>
      </c>
      <c r="I131" s="53" t="s">
        <v>27</v>
      </c>
      <c r="J131" s="1" t="s">
        <v>32</v>
      </c>
      <c r="K131" s="53" t="s">
        <v>21</v>
      </c>
      <c r="L131" s="53" t="s">
        <v>21</v>
      </c>
      <c r="M131" s="53">
        <v>0</v>
      </c>
      <c r="N131" s="1">
        <v>14</v>
      </c>
      <c r="O131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31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31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31" s="62">
        <v>0</v>
      </c>
      <c r="S131" s="53">
        <v>0</v>
      </c>
      <c r="T131" s="1">
        <v>45</v>
      </c>
      <c r="U131" s="54" t="s">
        <v>245</v>
      </c>
      <c r="V131" s="54" t="s">
        <v>245</v>
      </c>
      <c r="W131" s="54" t="s">
        <v>245</v>
      </c>
      <c r="X131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31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31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31" s="40">
        <v>0</v>
      </c>
      <c r="AB131" s="56">
        <v>0</v>
      </c>
      <c r="AC131" s="56">
        <v>0</v>
      </c>
      <c r="AD131" s="56">
        <v>80</v>
      </c>
      <c r="AE131" s="55" t="s">
        <v>60</v>
      </c>
      <c r="AF131" s="56">
        <v>0</v>
      </c>
      <c r="AG131" s="56">
        <v>160</v>
      </c>
      <c r="AH131" s="40">
        <f>IF(ISNUMBER(Tabella2[[#This Row],[Mean RADIAL stress  (MPa)]]), Tabella2[[#This Row],[Mean RADIAL stress  (MPa)]],"")</f>
        <v>0</v>
      </c>
      <c r="AI131" s="56">
        <f>IF(ISNUMBER(Tabella2[[#This Row],[Amplitute RADIAL stress  (MPa)]]), Tabella2[[#This Row],[Amplitute RADIAL stress  (MPa)]],"")</f>
        <v>0</v>
      </c>
      <c r="AJ131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31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12315.043202071989</v>
      </c>
      <c r="AL131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31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31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31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86205.302414503924</v>
      </c>
      <c r="AP131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2</v>
      </c>
      <c r="AQ131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288.44410203711914</v>
      </c>
    </row>
    <row r="132" spans="1:43" s="53" customFormat="1" ht="20.100000000000001" customHeight="1" x14ac:dyDescent="0.25">
      <c r="A132" s="53" t="s">
        <v>65</v>
      </c>
      <c r="B132" s="53">
        <v>2023</v>
      </c>
      <c r="C132" s="53" t="s">
        <v>64</v>
      </c>
      <c r="D132" s="53" t="s">
        <v>198</v>
      </c>
      <c r="E132" s="53">
        <v>536213</v>
      </c>
      <c r="F132" s="53" t="s">
        <v>20</v>
      </c>
      <c r="G132" s="53" t="s">
        <v>68</v>
      </c>
      <c r="H132" s="62" t="e" vm="18">
        <v>#VALUE!</v>
      </c>
      <c r="I132" s="53" t="s">
        <v>27</v>
      </c>
      <c r="J132" s="1" t="s">
        <v>32</v>
      </c>
      <c r="K132" s="53" t="s">
        <v>21</v>
      </c>
      <c r="L132" s="53" t="s">
        <v>21</v>
      </c>
      <c r="M132" s="53">
        <v>0</v>
      </c>
      <c r="N132" s="1">
        <v>14</v>
      </c>
      <c r="O132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32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32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32" s="62">
        <v>0</v>
      </c>
      <c r="S132" s="53">
        <v>0</v>
      </c>
      <c r="T132" s="1">
        <v>45</v>
      </c>
      <c r="U132" s="54" t="s">
        <v>245</v>
      </c>
      <c r="V132" s="54" t="s">
        <v>245</v>
      </c>
      <c r="W132" s="54" t="s">
        <v>245</v>
      </c>
      <c r="X132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32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32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32" s="40">
        <v>0</v>
      </c>
      <c r="AB132" s="56">
        <v>0</v>
      </c>
      <c r="AC132" s="56">
        <v>0</v>
      </c>
      <c r="AD132" s="56">
        <v>80</v>
      </c>
      <c r="AE132" s="55" t="s">
        <v>60</v>
      </c>
      <c r="AF132" s="56">
        <v>0</v>
      </c>
      <c r="AG132" s="56">
        <v>160</v>
      </c>
      <c r="AH132" s="40">
        <f>IF(ISNUMBER(Tabella2[[#This Row],[Mean RADIAL stress  (MPa)]]), Tabella2[[#This Row],[Mean RADIAL stress  (MPa)]],"")</f>
        <v>0</v>
      </c>
      <c r="AI132" s="56">
        <f>IF(ISNUMBER(Tabella2[[#This Row],[Amplitute RADIAL stress  (MPa)]]), Tabella2[[#This Row],[Amplitute RADIAL stress  (MPa)]],"")</f>
        <v>0</v>
      </c>
      <c r="AJ132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32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12315.043202071989</v>
      </c>
      <c r="AL132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32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32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32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86205.302414503924</v>
      </c>
      <c r="AP132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2</v>
      </c>
      <c r="AQ132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288.44410203711914</v>
      </c>
    </row>
    <row r="133" spans="1:43" s="53" customFormat="1" ht="20.100000000000001" customHeight="1" x14ac:dyDescent="0.25">
      <c r="A133" s="53" t="s">
        <v>65</v>
      </c>
      <c r="B133" s="53">
        <v>2023</v>
      </c>
      <c r="C133" s="53" t="s">
        <v>64</v>
      </c>
      <c r="D133" s="53" t="s">
        <v>199</v>
      </c>
      <c r="E133" s="53">
        <v>1734162</v>
      </c>
      <c r="F133" s="53" t="s">
        <v>20</v>
      </c>
      <c r="G133" s="53" t="s">
        <v>68</v>
      </c>
      <c r="H133" s="62" t="e" vm="18">
        <v>#VALUE!</v>
      </c>
      <c r="I133" s="53" t="s">
        <v>27</v>
      </c>
      <c r="J133" s="1" t="s">
        <v>32</v>
      </c>
      <c r="K133" s="53" t="s">
        <v>21</v>
      </c>
      <c r="L133" s="53" t="s">
        <v>21</v>
      </c>
      <c r="M133" s="53">
        <v>0</v>
      </c>
      <c r="N133" s="1">
        <v>14</v>
      </c>
      <c r="O133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33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33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33" s="62">
        <v>0</v>
      </c>
      <c r="S133" s="53">
        <v>0</v>
      </c>
      <c r="T133" s="1">
        <v>45</v>
      </c>
      <c r="U133" s="54" t="s">
        <v>245</v>
      </c>
      <c r="V133" s="54" t="s">
        <v>245</v>
      </c>
      <c r="W133" s="54" t="s">
        <v>245</v>
      </c>
      <c r="X133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33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33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33" s="40">
        <v>0</v>
      </c>
      <c r="AB133" s="56">
        <v>0</v>
      </c>
      <c r="AC133" s="56">
        <v>0</v>
      </c>
      <c r="AD133" s="56">
        <v>70</v>
      </c>
      <c r="AE133" s="55" t="s">
        <v>60</v>
      </c>
      <c r="AF133" s="56">
        <v>0</v>
      </c>
      <c r="AG133" s="56">
        <v>140</v>
      </c>
      <c r="AH133" s="40">
        <f>IF(ISNUMBER(Tabella2[[#This Row],[Mean RADIAL stress  (MPa)]]), Tabella2[[#This Row],[Mean RADIAL stress  (MPa)]],"")</f>
        <v>0</v>
      </c>
      <c r="AI133" s="56">
        <f>IF(ISNUMBER(Tabella2[[#This Row],[Amplitute RADIAL stress  (MPa)]]), Tabella2[[#This Row],[Amplitute RADIAL stress  (MPa)]],"")</f>
        <v>0</v>
      </c>
      <c r="AJ133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33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10775.66280181299</v>
      </c>
      <c r="AL133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33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33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33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75429.639612690924</v>
      </c>
      <c r="AP133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2</v>
      </c>
      <c r="AQ133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252.38858928247924</v>
      </c>
    </row>
    <row r="134" spans="1:43" s="53" customFormat="1" ht="20.100000000000001" customHeight="1" x14ac:dyDescent="0.25">
      <c r="A134" s="53" t="s">
        <v>65</v>
      </c>
      <c r="B134" s="53">
        <v>2023</v>
      </c>
      <c r="C134" s="53" t="s">
        <v>64</v>
      </c>
      <c r="D134" s="53" t="s">
        <v>200</v>
      </c>
      <c r="E134" s="53">
        <v>235584</v>
      </c>
      <c r="F134" s="53" t="s">
        <v>20</v>
      </c>
      <c r="G134" s="53" t="s">
        <v>68</v>
      </c>
      <c r="H134" s="62" t="e" vm="18">
        <v>#VALUE!</v>
      </c>
      <c r="I134" s="53" t="s">
        <v>27</v>
      </c>
      <c r="J134" s="1" t="s">
        <v>32</v>
      </c>
      <c r="K134" s="53" t="s">
        <v>21</v>
      </c>
      <c r="L134" s="53" t="s">
        <v>21</v>
      </c>
      <c r="M134" s="53">
        <v>0</v>
      </c>
      <c r="N134" s="1">
        <v>14</v>
      </c>
      <c r="O134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34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34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34" s="62">
        <v>0</v>
      </c>
      <c r="S134" s="53">
        <v>0</v>
      </c>
      <c r="T134" s="1">
        <v>45</v>
      </c>
      <c r="U134" s="54" t="s">
        <v>245</v>
      </c>
      <c r="V134" s="54" t="s">
        <v>245</v>
      </c>
      <c r="W134" s="54" t="s">
        <v>245</v>
      </c>
      <c r="X134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34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34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34" s="40">
        <v>0</v>
      </c>
      <c r="AB134" s="56">
        <v>0</v>
      </c>
      <c r="AC134" s="56">
        <v>0</v>
      </c>
      <c r="AD134" s="56">
        <v>90</v>
      </c>
      <c r="AE134" s="55" t="s">
        <v>60</v>
      </c>
      <c r="AF134" s="56">
        <v>0</v>
      </c>
      <c r="AG134" s="56">
        <v>180</v>
      </c>
      <c r="AH134" s="40">
        <f>IF(ISNUMBER(Tabella2[[#This Row],[Mean RADIAL stress  (MPa)]]), Tabella2[[#This Row],[Mean RADIAL stress  (MPa)]],"")</f>
        <v>0</v>
      </c>
      <c r="AI134" s="56">
        <f>IF(ISNUMBER(Tabella2[[#This Row],[Amplitute RADIAL stress  (MPa)]]), Tabella2[[#This Row],[Amplitute RADIAL stress  (MPa)]],"")</f>
        <v>0</v>
      </c>
      <c r="AJ134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34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13854.423602330986</v>
      </c>
      <c r="AL134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34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34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34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96980.965216316908</v>
      </c>
      <c r="AP134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2</v>
      </c>
      <c r="AQ134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324.49961479175903</v>
      </c>
    </row>
    <row r="135" spans="1:43" s="53" customFormat="1" ht="20.100000000000001" customHeight="1" x14ac:dyDescent="0.25">
      <c r="A135" s="53" t="s">
        <v>65</v>
      </c>
      <c r="B135" s="53">
        <v>2023</v>
      </c>
      <c r="C135" s="53" t="s">
        <v>64</v>
      </c>
      <c r="D135" s="53" t="s">
        <v>201</v>
      </c>
      <c r="E135" s="53">
        <v>177844</v>
      </c>
      <c r="F135" s="53" t="s">
        <v>20</v>
      </c>
      <c r="G135" s="53" t="s">
        <v>68</v>
      </c>
      <c r="H135" s="62" t="e" vm="18">
        <v>#VALUE!</v>
      </c>
      <c r="I135" s="53" t="s">
        <v>27</v>
      </c>
      <c r="J135" s="1" t="s">
        <v>32</v>
      </c>
      <c r="K135" s="53" t="s">
        <v>21</v>
      </c>
      <c r="L135" s="53" t="s">
        <v>21</v>
      </c>
      <c r="M135" s="53">
        <v>0</v>
      </c>
      <c r="N135" s="1">
        <v>14</v>
      </c>
      <c r="O135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35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35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35" s="62">
        <v>0</v>
      </c>
      <c r="S135" s="53">
        <v>0</v>
      </c>
      <c r="T135" s="1">
        <v>45</v>
      </c>
      <c r="U135" s="54" t="s">
        <v>245</v>
      </c>
      <c r="V135" s="54" t="s">
        <v>245</v>
      </c>
      <c r="W135" s="54" t="s">
        <v>245</v>
      </c>
      <c r="X135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35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35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35" s="40">
        <v>0</v>
      </c>
      <c r="AB135" s="56">
        <v>0</v>
      </c>
      <c r="AC135" s="56">
        <v>0</v>
      </c>
      <c r="AD135" s="56">
        <v>90</v>
      </c>
      <c r="AE135" s="55" t="s">
        <v>60</v>
      </c>
      <c r="AF135" s="56">
        <v>0</v>
      </c>
      <c r="AG135" s="56">
        <v>180</v>
      </c>
      <c r="AH135" s="40">
        <f>IF(ISNUMBER(Tabella2[[#This Row],[Mean RADIAL stress  (MPa)]]), Tabella2[[#This Row],[Mean RADIAL stress  (MPa)]],"")</f>
        <v>0</v>
      </c>
      <c r="AI135" s="56">
        <f>IF(ISNUMBER(Tabella2[[#This Row],[Amplitute RADIAL stress  (MPa)]]), Tabella2[[#This Row],[Amplitute RADIAL stress  (MPa)]],"")</f>
        <v>0</v>
      </c>
      <c r="AJ135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35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13854.423602330986</v>
      </c>
      <c r="AL135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35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35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35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96980.965216316908</v>
      </c>
      <c r="AP135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2</v>
      </c>
      <c r="AQ135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324.49961479175903</v>
      </c>
    </row>
    <row r="136" spans="1:43" s="53" customFormat="1" ht="20.100000000000001" customHeight="1" x14ac:dyDescent="0.25">
      <c r="A136" s="53" t="s">
        <v>65</v>
      </c>
      <c r="B136" s="53">
        <v>2023</v>
      </c>
      <c r="C136" s="53" t="s">
        <v>64</v>
      </c>
      <c r="D136" s="53" t="s">
        <v>202</v>
      </c>
      <c r="E136" s="53">
        <v>960957</v>
      </c>
      <c r="F136" s="53" t="s">
        <v>20</v>
      </c>
      <c r="G136" s="53" t="s">
        <v>68</v>
      </c>
      <c r="H136" s="62" t="e" vm="18">
        <v>#VALUE!</v>
      </c>
      <c r="I136" s="53" t="s">
        <v>27</v>
      </c>
      <c r="J136" s="1" t="s">
        <v>32</v>
      </c>
      <c r="K136" s="53" t="s">
        <v>21</v>
      </c>
      <c r="L136" s="53" t="s">
        <v>21</v>
      </c>
      <c r="M136" s="53">
        <v>0</v>
      </c>
      <c r="N136" s="1">
        <v>14</v>
      </c>
      <c r="O136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36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36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36" s="62">
        <v>0</v>
      </c>
      <c r="S136" s="53">
        <v>0</v>
      </c>
      <c r="T136" s="1">
        <v>45</v>
      </c>
      <c r="U136" s="54" t="s">
        <v>245</v>
      </c>
      <c r="V136" s="54" t="s">
        <v>245</v>
      </c>
      <c r="W136" s="54" t="s">
        <v>245</v>
      </c>
      <c r="X136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36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36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36" s="40">
        <v>0</v>
      </c>
      <c r="AB136" s="56">
        <v>0</v>
      </c>
      <c r="AC136" s="56">
        <v>0</v>
      </c>
      <c r="AD136" s="56">
        <v>70</v>
      </c>
      <c r="AE136" s="55" t="s">
        <v>60</v>
      </c>
      <c r="AF136" s="56">
        <v>0</v>
      </c>
      <c r="AG136" s="56">
        <v>140</v>
      </c>
      <c r="AH136" s="40">
        <f>IF(ISNUMBER(Tabella2[[#This Row],[Mean RADIAL stress  (MPa)]]), Tabella2[[#This Row],[Mean RADIAL stress  (MPa)]],"")</f>
        <v>0</v>
      </c>
      <c r="AI136" s="56">
        <f>IF(ISNUMBER(Tabella2[[#This Row],[Amplitute RADIAL stress  (MPa)]]), Tabella2[[#This Row],[Amplitute RADIAL stress  (MPa)]],"")</f>
        <v>0</v>
      </c>
      <c r="AJ136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36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10775.66280181299</v>
      </c>
      <c r="AL136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36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36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36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75429.639612690924</v>
      </c>
      <c r="AP136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2</v>
      </c>
      <c r="AQ136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252.38858928247924</v>
      </c>
    </row>
    <row r="137" spans="1:43" s="53" customFormat="1" ht="20.100000000000001" customHeight="1" x14ac:dyDescent="0.25">
      <c r="A137" s="53" t="s">
        <v>65</v>
      </c>
      <c r="B137" s="53">
        <v>2023</v>
      </c>
      <c r="C137" s="53" t="s">
        <v>64</v>
      </c>
      <c r="D137" s="53" t="s">
        <v>203</v>
      </c>
      <c r="E137" s="53">
        <v>58729</v>
      </c>
      <c r="F137" s="53" t="s">
        <v>20</v>
      </c>
      <c r="G137" s="53" t="s">
        <v>68</v>
      </c>
      <c r="H137" s="62" t="e" vm="18">
        <v>#VALUE!</v>
      </c>
      <c r="I137" s="53" t="s">
        <v>27</v>
      </c>
      <c r="J137" s="1" t="s">
        <v>32</v>
      </c>
      <c r="K137" s="53" t="s">
        <v>21</v>
      </c>
      <c r="L137" s="53" t="s">
        <v>21</v>
      </c>
      <c r="M137" s="53">
        <v>0</v>
      </c>
      <c r="N137" s="1">
        <v>14</v>
      </c>
      <c r="O137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37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37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37" s="62">
        <v>0</v>
      </c>
      <c r="S137" s="53">
        <v>0</v>
      </c>
      <c r="T137" s="1">
        <v>45</v>
      </c>
      <c r="U137" s="54" t="s">
        <v>245</v>
      </c>
      <c r="V137" s="54" t="s">
        <v>245</v>
      </c>
      <c r="W137" s="54" t="s">
        <v>245</v>
      </c>
      <c r="X137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37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37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37" s="40">
        <v>0</v>
      </c>
      <c r="AB137" s="56">
        <v>0</v>
      </c>
      <c r="AC137" s="56">
        <v>0</v>
      </c>
      <c r="AD137" s="56">
        <v>100</v>
      </c>
      <c r="AE137" s="55" t="s">
        <v>60</v>
      </c>
      <c r="AF137" s="56">
        <v>0</v>
      </c>
      <c r="AG137" s="56">
        <v>200</v>
      </c>
      <c r="AH137" s="40">
        <f>IF(ISNUMBER(Tabella2[[#This Row],[Mean RADIAL stress  (MPa)]]), Tabella2[[#This Row],[Mean RADIAL stress  (MPa)]],"")</f>
        <v>0</v>
      </c>
      <c r="AI137" s="56">
        <f>IF(ISNUMBER(Tabella2[[#This Row],[Amplitute RADIAL stress  (MPa)]]), Tabella2[[#This Row],[Amplitute RADIAL stress  (MPa)]],"")</f>
        <v>0</v>
      </c>
      <c r="AJ137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37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15393.804002589985</v>
      </c>
      <c r="AL137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37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37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37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107756.62801812989</v>
      </c>
      <c r="AP137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2</v>
      </c>
      <c r="AQ137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360.55512754639892</v>
      </c>
    </row>
    <row r="138" spans="1:43" s="53" customFormat="1" ht="20.100000000000001" customHeight="1" x14ac:dyDescent="0.25">
      <c r="A138" s="53" t="s">
        <v>65</v>
      </c>
      <c r="B138" s="53">
        <v>2023</v>
      </c>
      <c r="C138" s="53" t="s">
        <v>64</v>
      </c>
      <c r="D138" s="53" t="s">
        <v>204</v>
      </c>
      <c r="E138" s="53">
        <v>1584537</v>
      </c>
      <c r="F138" s="53" t="s">
        <v>20</v>
      </c>
      <c r="G138" s="53" t="s">
        <v>68</v>
      </c>
      <c r="H138" s="62" t="e" vm="18">
        <v>#VALUE!</v>
      </c>
      <c r="I138" s="53" t="s">
        <v>27</v>
      </c>
      <c r="J138" s="1" t="s">
        <v>32</v>
      </c>
      <c r="K138" s="53" t="s">
        <v>21</v>
      </c>
      <c r="L138" s="53" t="s">
        <v>21</v>
      </c>
      <c r="M138" s="53">
        <v>0</v>
      </c>
      <c r="N138" s="1">
        <v>14</v>
      </c>
      <c r="O138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38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38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38" s="62">
        <v>0</v>
      </c>
      <c r="S138" s="53">
        <v>0</v>
      </c>
      <c r="T138" s="1">
        <v>45</v>
      </c>
      <c r="U138" s="54" t="s">
        <v>245</v>
      </c>
      <c r="V138" s="54" t="s">
        <v>245</v>
      </c>
      <c r="W138" s="54" t="s">
        <v>245</v>
      </c>
      <c r="X138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38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9.9999999999999964E-2</v>
      </c>
      <c r="Z138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9.9999999999999964E-2</v>
      </c>
      <c r="AA138" s="40">
        <v>0</v>
      </c>
      <c r="AB138" s="56">
        <v>0</v>
      </c>
      <c r="AC138" s="56">
        <v>48.888888888888886</v>
      </c>
      <c r="AD138" s="56">
        <v>40</v>
      </c>
      <c r="AE138" s="55" t="s">
        <v>60</v>
      </c>
      <c r="AF138" s="56">
        <v>97.777777777777771</v>
      </c>
      <c r="AG138" s="56">
        <v>80</v>
      </c>
      <c r="AH138" s="40">
        <f>IF(ISNUMBER(Tabella2[[#This Row],[Mean RADIAL stress  (MPa)]]), Tabella2[[#This Row],[Mean RADIAL stress  (MPa)]],"")</f>
        <v>0</v>
      </c>
      <c r="AI138" s="56">
        <f>IF(ISNUMBER(Tabella2[[#This Row],[Amplitute RADIAL stress  (MPa)]]), Tabella2[[#This Row],[Amplitute RADIAL stress  (MPa)]],"")</f>
        <v>0</v>
      </c>
      <c r="AJ138" s="56">
        <f>IF(ISNUMBER(Tabella2[[#This Row],[Mean AXIAL stress  (MPa)]]), IF(Tabella2[[#This Row],[derived from (AXIAL/BENDING) load]]="AXIAL",Tabella2[[#This Row],[Mean AXIAL stress  (MPa)]]*Tabella2[[#This Row],[Area (mm^2)]],"Null"), "")</f>
        <v>7525.8597345995477</v>
      </c>
      <c r="AK138" s="56">
        <f>IF(ISNUMBER(Tabella2[[#This Row],[Amplitute AXIAL stress  (MPa)]]),    IF(Tabella2[[#This Row],[derived from (AXIAL/BENDING) load]]="AXIAL",Tabella2[[#This Row],[Amplitute AXIAL stress  (MPa)]]*Tabella2[[#This Row],[Area (mm^2)]],"Null"), "")</f>
        <v>6157.5216010359945</v>
      </c>
      <c r="AL138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38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38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52681.018142196837</v>
      </c>
      <c r="AO138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43102.651207251962</v>
      </c>
      <c r="AP138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2</v>
      </c>
      <c r="AQ138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144.22205101855957</v>
      </c>
    </row>
    <row r="139" spans="1:43" s="53" customFormat="1" ht="20.100000000000001" customHeight="1" x14ac:dyDescent="0.25">
      <c r="A139" s="53" t="s">
        <v>65</v>
      </c>
      <c r="B139" s="53">
        <v>2023</v>
      </c>
      <c r="C139" s="53" t="s">
        <v>64</v>
      </c>
      <c r="D139" s="53" t="s">
        <v>205</v>
      </c>
      <c r="E139" s="53">
        <v>366774</v>
      </c>
      <c r="F139" s="53" t="s">
        <v>20</v>
      </c>
      <c r="G139" s="53" t="s">
        <v>68</v>
      </c>
      <c r="H139" s="62" t="e" vm="18">
        <v>#VALUE!</v>
      </c>
      <c r="I139" s="53" t="s">
        <v>27</v>
      </c>
      <c r="J139" s="1" t="s">
        <v>32</v>
      </c>
      <c r="K139" s="53" t="s">
        <v>21</v>
      </c>
      <c r="L139" s="53" t="s">
        <v>21</v>
      </c>
      <c r="M139" s="53">
        <v>0</v>
      </c>
      <c r="N139" s="1">
        <v>14</v>
      </c>
      <c r="O139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39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39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39" s="62">
        <v>0</v>
      </c>
      <c r="S139" s="53">
        <v>0</v>
      </c>
      <c r="T139" s="1">
        <v>45</v>
      </c>
      <c r="U139" s="54" t="s">
        <v>245</v>
      </c>
      <c r="V139" s="54" t="s">
        <v>245</v>
      </c>
      <c r="W139" s="54" t="s">
        <v>245</v>
      </c>
      <c r="X139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39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0.10000000000000002</v>
      </c>
      <c r="Z139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0.10000000000000002</v>
      </c>
      <c r="AA139" s="40">
        <v>0</v>
      </c>
      <c r="AB139" s="56">
        <v>0</v>
      </c>
      <c r="AC139" s="56">
        <v>61.111111111111114</v>
      </c>
      <c r="AD139" s="56">
        <v>50</v>
      </c>
      <c r="AE139" s="55" t="s">
        <v>60</v>
      </c>
      <c r="AF139" s="56">
        <v>122.22222222222223</v>
      </c>
      <c r="AG139" s="56">
        <v>100</v>
      </c>
      <c r="AH139" s="40">
        <f>IF(ISNUMBER(Tabella2[[#This Row],[Mean RADIAL stress  (MPa)]]), Tabella2[[#This Row],[Mean RADIAL stress  (MPa)]],"")</f>
        <v>0</v>
      </c>
      <c r="AI139" s="56">
        <f>IF(ISNUMBER(Tabella2[[#This Row],[Amplitute RADIAL stress  (MPa)]]), Tabella2[[#This Row],[Amplitute RADIAL stress  (MPa)]],"")</f>
        <v>0</v>
      </c>
      <c r="AJ139" s="56">
        <f>IF(ISNUMBER(Tabella2[[#This Row],[Mean AXIAL stress  (MPa)]]), IF(Tabella2[[#This Row],[derived from (AXIAL/BENDING) load]]="AXIAL",Tabella2[[#This Row],[Mean AXIAL stress  (MPa)]]*Tabella2[[#This Row],[Area (mm^2)]],"Null"), "")</f>
        <v>9407.3246682494355</v>
      </c>
      <c r="AK139" s="56">
        <f>IF(ISNUMBER(Tabella2[[#This Row],[Amplitute AXIAL stress  (MPa)]]),    IF(Tabella2[[#This Row],[derived from (AXIAL/BENDING) load]]="AXIAL",Tabella2[[#This Row],[Amplitute AXIAL stress  (MPa)]]*Tabella2[[#This Row],[Area (mm^2)]],"Null"), "")</f>
        <v>7696.9020012949923</v>
      </c>
      <c r="AL139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39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39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65851.272677746063</v>
      </c>
      <c r="AO139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53878.314009064947</v>
      </c>
      <c r="AP139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2</v>
      </c>
      <c r="AQ139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180.27756377319946</v>
      </c>
    </row>
    <row r="140" spans="1:43" s="53" customFormat="1" ht="20.100000000000001" customHeight="1" x14ac:dyDescent="0.25">
      <c r="A140" s="53" t="s">
        <v>65</v>
      </c>
      <c r="B140" s="53">
        <v>2023</v>
      </c>
      <c r="C140" s="53" t="s">
        <v>64</v>
      </c>
      <c r="D140" s="53" t="s">
        <v>206</v>
      </c>
      <c r="E140" s="53">
        <v>1510317</v>
      </c>
      <c r="F140" s="53" t="s">
        <v>20</v>
      </c>
      <c r="G140" s="53" t="s">
        <v>68</v>
      </c>
      <c r="H140" s="62" t="e" vm="18">
        <v>#VALUE!</v>
      </c>
      <c r="I140" s="53" t="s">
        <v>27</v>
      </c>
      <c r="J140" s="1" t="s">
        <v>32</v>
      </c>
      <c r="K140" s="53" t="s">
        <v>21</v>
      </c>
      <c r="L140" s="53" t="s">
        <v>21</v>
      </c>
      <c r="M140" s="53">
        <v>0</v>
      </c>
      <c r="N140" s="1">
        <v>14</v>
      </c>
      <c r="O140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40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40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40" s="62">
        <v>0</v>
      </c>
      <c r="S140" s="53">
        <v>0</v>
      </c>
      <c r="T140" s="1">
        <v>45</v>
      </c>
      <c r="U140" s="54" t="s">
        <v>245</v>
      </c>
      <c r="V140" s="54" t="s">
        <v>245</v>
      </c>
      <c r="W140" s="54" t="s">
        <v>245</v>
      </c>
      <c r="X140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40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9.9999999999999964E-2</v>
      </c>
      <c r="Z140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9.9999999999999964E-2</v>
      </c>
      <c r="AA140" s="40">
        <v>0</v>
      </c>
      <c r="AB140" s="56">
        <v>0</v>
      </c>
      <c r="AC140" s="56">
        <v>48.888888888888886</v>
      </c>
      <c r="AD140" s="56">
        <v>40</v>
      </c>
      <c r="AE140" s="55" t="s">
        <v>60</v>
      </c>
      <c r="AF140" s="56">
        <v>97.777777777777771</v>
      </c>
      <c r="AG140" s="56">
        <v>80</v>
      </c>
      <c r="AH140" s="40">
        <f>IF(ISNUMBER(Tabella2[[#This Row],[Mean RADIAL stress  (MPa)]]), Tabella2[[#This Row],[Mean RADIAL stress  (MPa)]],"")</f>
        <v>0</v>
      </c>
      <c r="AI140" s="56">
        <f>IF(ISNUMBER(Tabella2[[#This Row],[Amplitute RADIAL stress  (MPa)]]), Tabella2[[#This Row],[Amplitute RADIAL stress  (MPa)]],"")</f>
        <v>0</v>
      </c>
      <c r="AJ140" s="56">
        <f>IF(ISNUMBER(Tabella2[[#This Row],[Mean AXIAL stress  (MPa)]]), IF(Tabella2[[#This Row],[derived from (AXIAL/BENDING) load]]="AXIAL",Tabella2[[#This Row],[Mean AXIAL stress  (MPa)]]*Tabella2[[#This Row],[Area (mm^2)]],"Null"), "")</f>
        <v>7525.8597345995477</v>
      </c>
      <c r="AK140" s="56">
        <f>IF(ISNUMBER(Tabella2[[#This Row],[Amplitute AXIAL stress  (MPa)]]),    IF(Tabella2[[#This Row],[derived from (AXIAL/BENDING) load]]="AXIAL",Tabella2[[#This Row],[Amplitute AXIAL stress  (MPa)]]*Tabella2[[#This Row],[Area (mm^2)]],"Null"), "")</f>
        <v>6157.5216010359945</v>
      </c>
      <c r="AL140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40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40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52681.018142196837</v>
      </c>
      <c r="AO140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43102.651207251962</v>
      </c>
      <c r="AP140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2</v>
      </c>
      <c r="AQ140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144.22205101855957</v>
      </c>
    </row>
    <row r="141" spans="1:43" s="53" customFormat="1" ht="20.100000000000001" customHeight="1" x14ac:dyDescent="0.25">
      <c r="A141" s="53" t="s">
        <v>65</v>
      </c>
      <c r="B141" s="53">
        <v>2023</v>
      </c>
      <c r="C141" s="53" t="s">
        <v>64</v>
      </c>
      <c r="D141" s="53" t="s">
        <v>207</v>
      </c>
      <c r="E141" s="53">
        <v>388806</v>
      </c>
      <c r="F141" s="53" t="s">
        <v>20</v>
      </c>
      <c r="G141" s="53" t="s">
        <v>68</v>
      </c>
      <c r="H141" s="62" t="e" vm="18">
        <v>#VALUE!</v>
      </c>
      <c r="I141" s="53" t="s">
        <v>27</v>
      </c>
      <c r="J141" s="1" t="s">
        <v>32</v>
      </c>
      <c r="K141" s="53" t="s">
        <v>21</v>
      </c>
      <c r="L141" s="53" t="s">
        <v>21</v>
      </c>
      <c r="M141" s="53">
        <v>0</v>
      </c>
      <c r="N141" s="1">
        <v>14</v>
      </c>
      <c r="O141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41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41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41" s="62">
        <v>0</v>
      </c>
      <c r="S141" s="53">
        <v>0</v>
      </c>
      <c r="T141" s="1">
        <v>45</v>
      </c>
      <c r="U141" s="54" t="s">
        <v>245</v>
      </c>
      <c r="V141" s="54" t="s">
        <v>245</v>
      </c>
      <c r="W141" s="54" t="s">
        <v>245</v>
      </c>
      <c r="X141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41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0.10000000000000002</v>
      </c>
      <c r="Z141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0.10000000000000002</v>
      </c>
      <c r="AA141" s="40">
        <v>0</v>
      </c>
      <c r="AB141" s="56">
        <v>0</v>
      </c>
      <c r="AC141" s="56">
        <v>61.111111111111114</v>
      </c>
      <c r="AD141" s="56">
        <v>50</v>
      </c>
      <c r="AE141" s="55" t="s">
        <v>60</v>
      </c>
      <c r="AF141" s="56">
        <v>122.22222222222223</v>
      </c>
      <c r="AG141" s="56">
        <v>100</v>
      </c>
      <c r="AH141" s="40">
        <f>IF(ISNUMBER(Tabella2[[#This Row],[Mean RADIAL stress  (MPa)]]), Tabella2[[#This Row],[Mean RADIAL stress  (MPa)]],"")</f>
        <v>0</v>
      </c>
      <c r="AI141" s="56">
        <f>IF(ISNUMBER(Tabella2[[#This Row],[Amplitute RADIAL stress  (MPa)]]), Tabella2[[#This Row],[Amplitute RADIAL stress  (MPa)]],"")</f>
        <v>0</v>
      </c>
      <c r="AJ141" s="56">
        <f>IF(ISNUMBER(Tabella2[[#This Row],[Mean AXIAL stress  (MPa)]]), IF(Tabella2[[#This Row],[derived from (AXIAL/BENDING) load]]="AXIAL",Tabella2[[#This Row],[Mean AXIAL stress  (MPa)]]*Tabella2[[#This Row],[Area (mm^2)]],"Null"), "")</f>
        <v>9407.3246682494355</v>
      </c>
      <c r="AK141" s="56">
        <f>IF(ISNUMBER(Tabella2[[#This Row],[Amplitute AXIAL stress  (MPa)]]),    IF(Tabella2[[#This Row],[derived from (AXIAL/BENDING) load]]="AXIAL",Tabella2[[#This Row],[Amplitute AXIAL stress  (MPa)]]*Tabella2[[#This Row],[Area (mm^2)]],"Null"), "")</f>
        <v>7696.9020012949923</v>
      </c>
      <c r="AL141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41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41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65851.272677746063</v>
      </c>
      <c r="AO141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53878.314009064947</v>
      </c>
      <c r="AP141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2</v>
      </c>
      <c r="AQ141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180.27756377319946</v>
      </c>
    </row>
    <row r="142" spans="1:43" s="53" customFormat="1" ht="20.100000000000001" customHeight="1" x14ac:dyDescent="0.25">
      <c r="A142" s="53" t="s">
        <v>65</v>
      </c>
      <c r="B142" s="53">
        <v>2023</v>
      </c>
      <c r="C142" s="53" t="s">
        <v>64</v>
      </c>
      <c r="D142" s="53" t="s">
        <v>208</v>
      </c>
      <c r="E142" s="53">
        <v>121715</v>
      </c>
      <c r="F142" s="53" t="s">
        <v>20</v>
      </c>
      <c r="G142" s="53" t="s">
        <v>68</v>
      </c>
      <c r="H142" s="62" t="e" vm="18">
        <v>#VALUE!</v>
      </c>
      <c r="I142" s="53" t="s">
        <v>27</v>
      </c>
      <c r="J142" s="1" t="s">
        <v>32</v>
      </c>
      <c r="K142" s="53" t="s">
        <v>21</v>
      </c>
      <c r="L142" s="53" t="s">
        <v>21</v>
      </c>
      <c r="M142" s="53">
        <v>0</v>
      </c>
      <c r="N142" s="1">
        <v>14</v>
      </c>
      <c r="O142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42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42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42" s="62">
        <v>0</v>
      </c>
      <c r="S142" s="53">
        <v>0</v>
      </c>
      <c r="T142" s="1">
        <v>45</v>
      </c>
      <c r="U142" s="54" t="s">
        <v>245</v>
      </c>
      <c r="V142" s="54" t="s">
        <v>245</v>
      </c>
      <c r="W142" s="54" t="s">
        <v>245</v>
      </c>
      <c r="X142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42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9.9999999999999978E-2</v>
      </c>
      <c r="Z142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9.9999999999999978E-2</v>
      </c>
      <c r="AA142" s="40">
        <v>0</v>
      </c>
      <c r="AB142" s="56">
        <v>0</v>
      </c>
      <c r="AC142" s="56">
        <v>73.333333333333329</v>
      </c>
      <c r="AD142" s="56">
        <v>60</v>
      </c>
      <c r="AE142" s="55" t="s">
        <v>60</v>
      </c>
      <c r="AF142" s="56">
        <v>146.66666666666666</v>
      </c>
      <c r="AG142" s="56">
        <v>120</v>
      </c>
      <c r="AH142" s="40">
        <f>IF(ISNUMBER(Tabella2[[#This Row],[Mean RADIAL stress  (MPa)]]), Tabella2[[#This Row],[Mean RADIAL stress  (MPa)]],"")</f>
        <v>0</v>
      </c>
      <c r="AI142" s="56">
        <f>IF(ISNUMBER(Tabella2[[#This Row],[Amplitute RADIAL stress  (MPa)]]), Tabella2[[#This Row],[Amplitute RADIAL stress  (MPa)]],"")</f>
        <v>0</v>
      </c>
      <c r="AJ142" s="56">
        <f>IF(ISNUMBER(Tabella2[[#This Row],[Mean AXIAL stress  (MPa)]]), IF(Tabella2[[#This Row],[derived from (AXIAL/BENDING) load]]="AXIAL",Tabella2[[#This Row],[Mean AXIAL stress  (MPa)]]*Tabella2[[#This Row],[Area (mm^2)]],"Null"), "")</f>
        <v>11288.789601899321</v>
      </c>
      <c r="AK142" s="56">
        <f>IF(ISNUMBER(Tabella2[[#This Row],[Amplitute AXIAL stress  (MPa)]]),    IF(Tabella2[[#This Row],[derived from (AXIAL/BENDING) load]]="AXIAL",Tabella2[[#This Row],[Amplitute AXIAL stress  (MPa)]]*Tabella2[[#This Row],[Area (mm^2)]],"Null"), "")</f>
        <v>9236.2824015539918</v>
      </c>
      <c r="AL142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42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42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79021.527213295252</v>
      </c>
      <c r="AO142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64653.976810877946</v>
      </c>
      <c r="AP142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2</v>
      </c>
      <c r="AQ142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216.33307652783935</v>
      </c>
    </row>
    <row r="143" spans="1:43" s="53" customFormat="1" ht="20.100000000000001" customHeight="1" x14ac:dyDescent="0.25">
      <c r="A143" s="53" t="s">
        <v>65</v>
      </c>
      <c r="B143" s="53">
        <v>2023</v>
      </c>
      <c r="C143" s="53" t="s">
        <v>64</v>
      </c>
      <c r="D143" s="53" t="s">
        <v>209</v>
      </c>
      <c r="E143" s="53">
        <v>2762930</v>
      </c>
      <c r="F143" s="53" t="s">
        <v>20</v>
      </c>
      <c r="G143" s="53" t="s">
        <v>68</v>
      </c>
      <c r="H143" s="62" t="e" vm="18">
        <v>#VALUE!</v>
      </c>
      <c r="I143" s="53" t="s">
        <v>27</v>
      </c>
      <c r="J143" s="1" t="s">
        <v>32</v>
      </c>
      <c r="K143" s="53" t="s">
        <v>21</v>
      </c>
      <c r="L143" s="53" t="s">
        <v>21</v>
      </c>
      <c r="M143" s="53">
        <v>0</v>
      </c>
      <c r="N143" s="1">
        <v>14</v>
      </c>
      <c r="O143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43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43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43" s="62">
        <v>0</v>
      </c>
      <c r="S143" s="53">
        <v>0</v>
      </c>
      <c r="T143" s="1">
        <v>45</v>
      </c>
      <c r="U143" s="54" t="s">
        <v>245</v>
      </c>
      <c r="V143" s="54" t="s">
        <v>245</v>
      </c>
      <c r="W143" s="54" t="s">
        <v>245</v>
      </c>
      <c r="X143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43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0.10000000000000002</v>
      </c>
      <c r="Z143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0.10000000000000002</v>
      </c>
      <c r="AA143" s="40">
        <v>0</v>
      </c>
      <c r="AB143" s="56">
        <v>0</v>
      </c>
      <c r="AC143" s="56">
        <v>42.777777777777779</v>
      </c>
      <c r="AD143" s="56">
        <v>35</v>
      </c>
      <c r="AE143" s="55" t="s">
        <v>60</v>
      </c>
      <c r="AF143" s="56">
        <v>85.555555555555557</v>
      </c>
      <c r="AG143" s="56">
        <v>70</v>
      </c>
      <c r="AH143" s="40">
        <f>IF(ISNUMBER(Tabella2[[#This Row],[Mean RADIAL stress  (MPa)]]), Tabella2[[#This Row],[Mean RADIAL stress  (MPa)]],"")</f>
        <v>0</v>
      </c>
      <c r="AI143" s="56">
        <f>IF(ISNUMBER(Tabella2[[#This Row],[Amplitute RADIAL stress  (MPa)]]), Tabella2[[#This Row],[Amplitute RADIAL stress  (MPa)]],"")</f>
        <v>0</v>
      </c>
      <c r="AJ143" s="56">
        <f>IF(ISNUMBER(Tabella2[[#This Row],[Mean AXIAL stress  (MPa)]]), IF(Tabella2[[#This Row],[derived from (AXIAL/BENDING) load]]="AXIAL",Tabella2[[#This Row],[Mean AXIAL stress  (MPa)]]*Tabella2[[#This Row],[Area (mm^2)]],"Null"), "")</f>
        <v>6585.1272677746047</v>
      </c>
      <c r="AK143" s="56">
        <f>IF(ISNUMBER(Tabella2[[#This Row],[Amplitute AXIAL stress  (MPa)]]),    IF(Tabella2[[#This Row],[derived from (AXIAL/BENDING) load]]="AXIAL",Tabella2[[#This Row],[Amplitute AXIAL stress  (MPa)]]*Tabella2[[#This Row],[Area (mm^2)]],"Null"), "")</f>
        <v>5387.8314009064952</v>
      </c>
      <c r="AL143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43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43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46095.890874422235</v>
      </c>
      <c r="AO143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37714.819806345462</v>
      </c>
      <c r="AP143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2</v>
      </c>
      <c r="AQ143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126.19429464123962</v>
      </c>
    </row>
    <row r="144" spans="1:43" s="53" customFormat="1" ht="20.100000000000001" customHeight="1" x14ac:dyDescent="0.25">
      <c r="A144" s="53" t="s">
        <v>65</v>
      </c>
      <c r="B144" s="53">
        <v>2023</v>
      </c>
      <c r="C144" s="53" t="s">
        <v>64</v>
      </c>
      <c r="D144" s="53" t="s">
        <v>210</v>
      </c>
      <c r="E144" s="53">
        <v>120284</v>
      </c>
      <c r="F144" s="53" t="s">
        <v>20</v>
      </c>
      <c r="G144" s="53" t="s">
        <v>68</v>
      </c>
      <c r="H144" s="62" t="e" vm="18">
        <v>#VALUE!</v>
      </c>
      <c r="I144" s="53" t="s">
        <v>27</v>
      </c>
      <c r="J144" s="1" t="s">
        <v>32</v>
      </c>
      <c r="K144" s="53" t="s">
        <v>21</v>
      </c>
      <c r="L144" s="53" t="s">
        <v>21</v>
      </c>
      <c r="M144" s="53">
        <v>0</v>
      </c>
      <c r="N144" s="1">
        <v>14</v>
      </c>
      <c r="O144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44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44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44" s="62">
        <v>0</v>
      </c>
      <c r="S144" s="53">
        <v>0</v>
      </c>
      <c r="T144" s="1">
        <v>45</v>
      </c>
      <c r="U144" s="54" t="s">
        <v>245</v>
      </c>
      <c r="V144" s="54" t="s">
        <v>245</v>
      </c>
      <c r="W144" s="54" t="s">
        <v>245</v>
      </c>
      <c r="X144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44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9.9999999999999978E-2</v>
      </c>
      <c r="Z144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9.9999999999999978E-2</v>
      </c>
      <c r="AA144" s="40">
        <v>0</v>
      </c>
      <c r="AB144" s="56">
        <v>0</v>
      </c>
      <c r="AC144" s="56">
        <v>73.333333333333329</v>
      </c>
      <c r="AD144" s="56">
        <v>60</v>
      </c>
      <c r="AE144" s="55" t="s">
        <v>60</v>
      </c>
      <c r="AF144" s="56">
        <v>146.66666666666666</v>
      </c>
      <c r="AG144" s="56">
        <v>120</v>
      </c>
      <c r="AH144" s="40">
        <f>IF(ISNUMBER(Tabella2[[#This Row],[Mean RADIAL stress  (MPa)]]), Tabella2[[#This Row],[Mean RADIAL stress  (MPa)]],"")</f>
        <v>0</v>
      </c>
      <c r="AI144" s="56">
        <f>IF(ISNUMBER(Tabella2[[#This Row],[Amplitute RADIAL stress  (MPa)]]), Tabella2[[#This Row],[Amplitute RADIAL stress  (MPa)]],"")</f>
        <v>0</v>
      </c>
      <c r="AJ144" s="56">
        <f>IF(ISNUMBER(Tabella2[[#This Row],[Mean AXIAL stress  (MPa)]]), IF(Tabella2[[#This Row],[derived from (AXIAL/BENDING) load]]="AXIAL",Tabella2[[#This Row],[Mean AXIAL stress  (MPa)]]*Tabella2[[#This Row],[Area (mm^2)]],"Null"), "")</f>
        <v>11288.789601899321</v>
      </c>
      <c r="AK144" s="56">
        <f>IF(ISNUMBER(Tabella2[[#This Row],[Amplitute AXIAL stress  (MPa)]]),    IF(Tabella2[[#This Row],[derived from (AXIAL/BENDING) load]]="AXIAL",Tabella2[[#This Row],[Amplitute AXIAL stress  (MPa)]]*Tabella2[[#This Row],[Area (mm^2)]],"Null"), "")</f>
        <v>9236.2824015539918</v>
      </c>
      <c r="AL144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44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44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79021.527213295252</v>
      </c>
      <c r="AO144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64653.976810877946</v>
      </c>
      <c r="AP144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2</v>
      </c>
      <c r="AQ144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216.33307652783935</v>
      </c>
    </row>
    <row r="145" spans="1:43" s="25" customFormat="1" ht="20.100000000000001" customHeight="1" x14ac:dyDescent="0.25">
      <c r="A145" s="25" t="s">
        <v>65</v>
      </c>
      <c r="B145" s="25">
        <v>2023</v>
      </c>
      <c r="C145" s="25" t="s">
        <v>64</v>
      </c>
      <c r="D145" s="25" t="s">
        <v>211</v>
      </c>
      <c r="E145" s="25">
        <v>3089467</v>
      </c>
      <c r="F145" s="25" t="s">
        <v>20</v>
      </c>
      <c r="G145" s="25" t="s">
        <v>68</v>
      </c>
      <c r="H145" s="63" t="e" vm="18">
        <v>#VALUE!</v>
      </c>
      <c r="I145" s="25" t="s">
        <v>27</v>
      </c>
      <c r="J145" s="25" t="s">
        <v>32</v>
      </c>
      <c r="K145" s="25" t="s">
        <v>21</v>
      </c>
      <c r="L145" s="25" t="s">
        <v>21</v>
      </c>
      <c r="M145" s="25">
        <v>0</v>
      </c>
      <c r="N145" s="25">
        <v>14</v>
      </c>
      <c r="O145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45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45" s="26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45" s="63">
        <v>0</v>
      </c>
      <c r="S145" s="25">
        <v>0</v>
      </c>
      <c r="T145" s="25">
        <v>45</v>
      </c>
      <c r="U145" s="26" t="s">
        <v>245</v>
      </c>
      <c r="V145" s="26" t="s">
        <v>245</v>
      </c>
      <c r="W145" s="26" t="s">
        <v>245</v>
      </c>
      <c r="X145" s="5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45" s="5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0.10000000000000002</v>
      </c>
      <c r="Z145" s="59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0.10000000000000002</v>
      </c>
      <c r="AA145" s="42">
        <v>0</v>
      </c>
      <c r="AB145" s="28">
        <v>0</v>
      </c>
      <c r="AC145" s="28">
        <v>42.777777777777779</v>
      </c>
      <c r="AD145" s="28">
        <v>35</v>
      </c>
      <c r="AE145" s="27" t="s">
        <v>60</v>
      </c>
      <c r="AF145" s="28">
        <v>85.555555555555557</v>
      </c>
      <c r="AG145" s="28">
        <v>70</v>
      </c>
      <c r="AH145" s="42">
        <f>IF(ISNUMBER(Tabella2[[#This Row],[Mean RADIAL stress  (MPa)]]), Tabella2[[#This Row],[Mean RADIAL stress  (MPa)]],"")</f>
        <v>0</v>
      </c>
      <c r="AI145" s="28">
        <f>IF(ISNUMBER(Tabella2[[#This Row],[Amplitute RADIAL stress  (MPa)]]), Tabella2[[#This Row],[Amplitute RADIAL stress  (MPa)]],"")</f>
        <v>0</v>
      </c>
      <c r="AJ145" s="28">
        <f>IF(ISNUMBER(Tabella2[[#This Row],[Mean AXIAL stress  (MPa)]]), IF(Tabella2[[#This Row],[derived from (AXIAL/BENDING) load]]="AXIAL",Tabella2[[#This Row],[Mean AXIAL stress  (MPa)]]*Tabella2[[#This Row],[Area (mm^2)]],"Null"), "")</f>
        <v>6585.1272677746047</v>
      </c>
      <c r="AK145" s="28">
        <f>IF(ISNUMBER(Tabella2[[#This Row],[Amplitute AXIAL stress  (MPa)]]),    IF(Tabella2[[#This Row],[derived from (AXIAL/BENDING) load]]="AXIAL",Tabella2[[#This Row],[Amplitute AXIAL stress  (MPa)]]*Tabella2[[#This Row],[Area (mm^2)]],"Null"), "")</f>
        <v>5387.8314009064952</v>
      </c>
      <c r="AL145" s="2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45" s="2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45" s="2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46095.890874422235</v>
      </c>
      <c r="AO145" s="2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37714.819806345462</v>
      </c>
      <c r="AP145" s="69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2</v>
      </c>
      <c r="AQ145" s="3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126.19429464123962</v>
      </c>
    </row>
    <row r="146" spans="1:43" s="53" customFormat="1" ht="20.100000000000001" customHeight="1" x14ac:dyDescent="0.25">
      <c r="A146" s="53" t="s">
        <v>65</v>
      </c>
      <c r="B146" s="53">
        <v>2023</v>
      </c>
      <c r="C146" s="53" t="s">
        <v>64</v>
      </c>
      <c r="D146" s="53" t="s">
        <v>212</v>
      </c>
      <c r="E146" s="53">
        <v>230649</v>
      </c>
      <c r="F146" s="53" t="s">
        <v>20</v>
      </c>
      <c r="G146" s="53" t="s">
        <v>68</v>
      </c>
      <c r="H146" s="62" t="e" vm="19">
        <v>#VALUE!</v>
      </c>
      <c r="I146" s="53" t="s">
        <v>27</v>
      </c>
      <c r="J146" s="1" t="s">
        <v>32</v>
      </c>
      <c r="K146" s="53" t="s">
        <v>21</v>
      </c>
      <c r="L146" s="53" t="s">
        <v>21</v>
      </c>
      <c r="M146" s="53">
        <v>0</v>
      </c>
      <c r="N146" s="1">
        <v>14</v>
      </c>
      <c r="O146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46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46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46" s="62">
        <v>0</v>
      </c>
      <c r="S146" s="53">
        <v>0</v>
      </c>
      <c r="T146" s="1">
        <v>0</v>
      </c>
      <c r="U146" s="54" t="s">
        <v>245</v>
      </c>
      <c r="V146" s="54" t="s">
        <v>245</v>
      </c>
      <c r="W146" s="54" t="s">
        <v>245</v>
      </c>
      <c r="X146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46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46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46" s="40">
        <v>0</v>
      </c>
      <c r="AB146" s="56">
        <v>0</v>
      </c>
      <c r="AC146" s="56">
        <v>0</v>
      </c>
      <c r="AD146" s="56">
        <v>95</v>
      </c>
      <c r="AE146" s="55" t="s">
        <v>60</v>
      </c>
      <c r="AF146" s="56">
        <v>0</v>
      </c>
      <c r="AG146" s="56">
        <v>95</v>
      </c>
      <c r="AH146" s="40">
        <f>IF(ISNUMBER(Tabella2[[#This Row],[Mean RADIAL stress  (MPa)]]), Tabella2[[#This Row],[Mean RADIAL stress  (MPa)]],"")</f>
        <v>0</v>
      </c>
      <c r="AI146" s="56">
        <f>IF(ISNUMBER(Tabella2[[#This Row],[Amplitute RADIAL stress  (MPa)]]), Tabella2[[#This Row],[Amplitute RADIAL stress  (MPa)]],"")</f>
        <v>0</v>
      </c>
      <c r="AJ146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46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14624.113802460486</v>
      </c>
      <c r="AL146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46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46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46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51184.398308611708</v>
      </c>
      <c r="AP146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46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190</v>
      </c>
    </row>
    <row r="147" spans="1:43" s="53" customFormat="1" ht="20.100000000000001" customHeight="1" x14ac:dyDescent="0.25">
      <c r="A147" s="53" t="s">
        <v>65</v>
      </c>
      <c r="B147" s="53">
        <v>2023</v>
      </c>
      <c r="C147" s="53" t="s">
        <v>64</v>
      </c>
      <c r="D147" s="53" t="s">
        <v>213</v>
      </c>
      <c r="E147" s="53">
        <v>257809</v>
      </c>
      <c r="F147" s="53" t="s">
        <v>20</v>
      </c>
      <c r="G147" s="53" t="s">
        <v>68</v>
      </c>
      <c r="H147" s="62" t="e" vm="20">
        <v>#VALUE!</v>
      </c>
      <c r="I147" s="53" t="s">
        <v>27</v>
      </c>
      <c r="J147" s="1" t="s">
        <v>32</v>
      </c>
      <c r="K147" s="53" t="s">
        <v>21</v>
      </c>
      <c r="L147" s="53" t="s">
        <v>21</v>
      </c>
      <c r="M147" s="53">
        <v>0</v>
      </c>
      <c r="N147" s="1">
        <v>14</v>
      </c>
      <c r="O147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47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47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47" s="62">
        <v>0</v>
      </c>
      <c r="S147" s="53">
        <v>0</v>
      </c>
      <c r="T147" s="1">
        <v>0</v>
      </c>
      <c r="U147" s="54" t="s">
        <v>245</v>
      </c>
      <c r="V147" s="54" t="s">
        <v>245</v>
      </c>
      <c r="W147" s="54" t="s">
        <v>245</v>
      </c>
      <c r="X147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47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47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47" s="40">
        <v>0</v>
      </c>
      <c r="AB147" s="56">
        <v>0</v>
      </c>
      <c r="AC147" s="56">
        <v>0</v>
      </c>
      <c r="AD147" s="56">
        <v>95</v>
      </c>
      <c r="AE147" s="55" t="s">
        <v>60</v>
      </c>
      <c r="AF147" s="56">
        <v>0</v>
      </c>
      <c r="AG147" s="56">
        <v>95</v>
      </c>
      <c r="AH147" s="40">
        <f>IF(ISNUMBER(Tabella2[[#This Row],[Mean RADIAL stress  (MPa)]]), Tabella2[[#This Row],[Mean RADIAL stress  (MPa)]],"")</f>
        <v>0</v>
      </c>
      <c r="AI147" s="56">
        <f>IF(ISNUMBER(Tabella2[[#This Row],[Amplitute RADIAL stress  (MPa)]]), Tabella2[[#This Row],[Amplitute RADIAL stress  (MPa)]],"")</f>
        <v>0</v>
      </c>
      <c r="AJ147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47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14624.113802460486</v>
      </c>
      <c r="AL147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47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47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47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51184.398308611708</v>
      </c>
      <c r="AP147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47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190</v>
      </c>
    </row>
    <row r="148" spans="1:43" s="53" customFormat="1" ht="20.100000000000001" customHeight="1" x14ac:dyDescent="0.25">
      <c r="A148" s="53" t="s">
        <v>65</v>
      </c>
      <c r="B148" s="53">
        <v>2023</v>
      </c>
      <c r="C148" s="53" t="s">
        <v>64</v>
      </c>
      <c r="D148" s="53" t="s">
        <v>214</v>
      </c>
      <c r="E148" s="53">
        <v>121839</v>
      </c>
      <c r="F148" s="53" t="s">
        <v>20</v>
      </c>
      <c r="G148" s="53" t="s">
        <v>68</v>
      </c>
      <c r="H148" s="62" t="e" vm="20">
        <v>#VALUE!</v>
      </c>
      <c r="I148" s="53" t="s">
        <v>27</v>
      </c>
      <c r="J148" s="1" t="s">
        <v>32</v>
      </c>
      <c r="K148" s="53" t="s">
        <v>21</v>
      </c>
      <c r="L148" s="53" t="s">
        <v>21</v>
      </c>
      <c r="M148" s="53">
        <v>0</v>
      </c>
      <c r="N148" s="1">
        <v>14</v>
      </c>
      <c r="O148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48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48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48" s="62">
        <v>0</v>
      </c>
      <c r="S148" s="53">
        <v>0</v>
      </c>
      <c r="T148" s="1">
        <v>0</v>
      </c>
      <c r="U148" s="54" t="s">
        <v>245</v>
      </c>
      <c r="V148" s="54" t="s">
        <v>245</v>
      </c>
      <c r="W148" s="54" t="s">
        <v>245</v>
      </c>
      <c r="X148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48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48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48" s="40">
        <v>0</v>
      </c>
      <c r="AB148" s="56">
        <v>0</v>
      </c>
      <c r="AC148" s="56">
        <v>0</v>
      </c>
      <c r="AD148" s="56">
        <v>95</v>
      </c>
      <c r="AE148" s="55" t="s">
        <v>60</v>
      </c>
      <c r="AF148" s="56">
        <v>0</v>
      </c>
      <c r="AG148" s="56">
        <v>95</v>
      </c>
      <c r="AH148" s="40">
        <f>IF(ISNUMBER(Tabella2[[#This Row],[Mean RADIAL stress  (MPa)]]), Tabella2[[#This Row],[Mean RADIAL stress  (MPa)]],"")</f>
        <v>0</v>
      </c>
      <c r="AI148" s="56">
        <f>IF(ISNUMBER(Tabella2[[#This Row],[Amplitute RADIAL stress  (MPa)]]), Tabella2[[#This Row],[Amplitute RADIAL stress  (MPa)]],"")</f>
        <v>0</v>
      </c>
      <c r="AJ148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48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14624.113802460486</v>
      </c>
      <c r="AL148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48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48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48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51184.398308611708</v>
      </c>
      <c r="AP148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48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190</v>
      </c>
    </row>
    <row r="149" spans="1:43" s="53" customFormat="1" ht="20.100000000000001" customHeight="1" x14ac:dyDescent="0.25">
      <c r="A149" s="53" t="s">
        <v>65</v>
      </c>
      <c r="B149" s="53">
        <v>2023</v>
      </c>
      <c r="C149" s="53" t="s">
        <v>64</v>
      </c>
      <c r="D149" s="53" t="s">
        <v>215</v>
      </c>
      <c r="E149" s="53">
        <v>1672262</v>
      </c>
      <c r="F149" s="53" t="s">
        <v>20</v>
      </c>
      <c r="G149" s="53" t="s">
        <v>68</v>
      </c>
      <c r="H149" s="62" t="e" vm="20">
        <v>#VALUE!</v>
      </c>
      <c r="I149" s="53" t="s">
        <v>27</v>
      </c>
      <c r="J149" s="1" t="s">
        <v>32</v>
      </c>
      <c r="K149" s="53" t="s">
        <v>21</v>
      </c>
      <c r="L149" s="53" t="s">
        <v>21</v>
      </c>
      <c r="M149" s="53">
        <v>0</v>
      </c>
      <c r="N149" s="1">
        <v>14</v>
      </c>
      <c r="O149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49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49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49" s="62">
        <v>0</v>
      </c>
      <c r="S149" s="53">
        <v>0</v>
      </c>
      <c r="T149" s="1">
        <v>0</v>
      </c>
      <c r="U149" s="54" t="s">
        <v>245</v>
      </c>
      <c r="V149" s="54" t="s">
        <v>245</v>
      </c>
      <c r="W149" s="54" t="s">
        <v>245</v>
      </c>
      <c r="X149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49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49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49" s="40">
        <v>0</v>
      </c>
      <c r="AB149" s="56">
        <v>0</v>
      </c>
      <c r="AC149" s="56">
        <v>0</v>
      </c>
      <c r="AD149" s="56">
        <v>80</v>
      </c>
      <c r="AE149" s="55" t="s">
        <v>60</v>
      </c>
      <c r="AF149" s="56">
        <v>0</v>
      </c>
      <c r="AG149" s="56">
        <v>80</v>
      </c>
      <c r="AH149" s="40">
        <f>IF(ISNUMBER(Tabella2[[#This Row],[Mean RADIAL stress  (MPa)]]), Tabella2[[#This Row],[Mean RADIAL stress  (MPa)]],"")</f>
        <v>0</v>
      </c>
      <c r="AI149" s="56">
        <f>IF(ISNUMBER(Tabella2[[#This Row],[Amplitute RADIAL stress  (MPa)]]), Tabella2[[#This Row],[Amplitute RADIAL stress  (MPa)]],"")</f>
        <v>0</v>
      </c>
      <c r="AJ149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49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12315.043202071989</v>
      </c>
      <c r="AL149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49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49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49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43102.651207251962</v>
      </c>
      <c r="AP149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49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160</v>
      </c>
    </row>
    <row r="150" spans="1:43" s="53" customFormat="1" ht="20.100000000000001" customHeight="1" x14ac:dyDescent="0.25">
      <c r="A150" s="53" t="s">
        <v>65</v>
      </c>
      <c r="B150" s="53">
        <v>2023</v>
      </c>
      <c r="C150" s="53" t="s">
        <v>64</v>
      </c>
      <c r="D150" s="53" t="s">
        <v>216</v>
      </c>
      <c r="E150" s="53">
        <v>2000000</v>
      </c>
      <c r="F150" s="53" t="s">
        <v>32</v>
      </c>
      <c r="G150" s="53" t="s">
        <v>68</v>
      </c>
      <c r="H150" s="62" t="e" vm="20">
        <v>#VALUE!</v>
      </c>
      <c r="I150" s="53" t="s">
        <v>27</v>
      </c>
      <c r="J150" s="1" t="s">
        <v>32</v>
      </c>
      <c r="K150" s="53" t="s">
        <v>21</v>
      </c>
      <c r="L150" s="53" t="s">
        <v>21</v>
      </c>
      <c r="M150" s="53">
        <v>0</v>
      </c>
      <c r="N150" s="1">
        <v>14</v>
      </c>
      <c r="O150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50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50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50" s="62">
        <v>0</v>
      </c>
      <c r="S150" s="53">
        <v>0</v>
      </c>
      <c r="T150" s="1">
        <v>0</v>
      </c>
      <c r="U150" s="54" t="s">
        <v>245</v>
      </c>
      <c r="V150" s="54" t="s">
        <v>245</v>
      </c>
      <c r="W150" s="54" t="s">
        <v>245</v>
      </c>
      <c r="X150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50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50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50" s="40">
        <v>0</v>
      </c>
      <c r="AB150" s="56">
        <v>0</v>
      </c>
      <c r="AC150" s="56">
        <v>0</v>
      </c>
      <c r="AD150" s="56">
        <v>80</v>
      </c>
      <c r="AE150" s="55" t="s">
        <v>60</v>
      </c>
      <c r="AF150" s="56">
        <v>0</v>
      </c>
      <c r="AG150" s="56">
        <v>80</v>
      </c>
      <c r="AH150" s="40">
        <f>IF(ISNUMBER(Tabella2[[#This Row],[Mean RADIAL stress  (MPa)]]), Tabella2[[#This Row],[Mean RADIAL stress  (MPa)]],"")</f>
        <v>0</v>
      </c>
      <c r="AI150" s="56">
        <f>IF(ISNUMBER(Tabella2[[#This Row],[Amplitute RADIAL stress  (MPa)]]), Tabella2[[#This Row],[Amplitute RADIAL stress  (MPa)]],"")</f>
        <v>0</v>
      </c>
      <c r="AJ150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50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12315.043202071989</v>
      </c>
      <c r="AL150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50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50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50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43102.651207251962</v>
      </c>
      <c r="AP150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50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160</v>
      </c>
    </row>
    <row r="151" spans="1:43" s="53" customFormat="1" ht="20.100000000000001" customHeight="1" x14ac:dyDescent="0.25">
      <c r="A151" s="53" t="s">
        <v>65</v>
      </c>
      <c r="B151" s="53">
        <v>2023</v>
      </c>
      <c r="C151" s="53" t="s">
        <v>64</v>
      </c>
      <c r="D151" s="53" t="s">
        <v>217</v>
      </c>
      <c r="E151" s="53">
        <v>25443</v>
      </c>
      <c r="F151" s="53" t="s">
        <v>20</v>
      </c>
      <c r="G151" s="53" t="s">
        <v>68</v>
      </c>
      <c r="H151" s="62" t="e" vm="20">
        <v>#VALUE!</v>
      </c>
      <c r="I151" s="53" t="s">
        <v>27</v>
      </c>
      <c r="J151" s="1" t="s">
        <v>32</v>
      </c>
      <c r="K151" s="53" t="s">
        <v>21</v>
      </c>
      <c r="L151" s="53" t="s">
        <v>21</v>
      </c>
      <c r="M151" s="53">
        <v>0</v>
      </c>
      <c r="N151" s="1">
        <v>14</v>
      </c>
      <c r="O151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51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51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51" s="62">
        <v>0</v>
      </c>
      <c r="S151" s="53">
        <v>0</v>
      </c>
      <c r="T151" s="1">
        <v>0</v>
      </c>
      <c r="U151" s="54" t="s">
        <v>245</v>
      </c>
      <c r="V151" s="54" t="s">
        <v>245</v>
      </c>
      <c r="W151" s="54" t="s">
        <v>245</v>
      </c>
      <c r="X151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51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51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51" s="40">
        <v>0</v>
      </c>
      <c r="AB151" s="56">
        <v>0</v>
      </c>
      <c r="AC151" s="56">
        <v>0</v>
      </c>
      <c r="AD151" s="56">
        <v>115</v>
      </c>
      <c r="AE151" s="55" t="s">
        <v>60</v>
      </c>
      <c r="AF151" s="56">
        <v>0</v>
      </c>
      <c r="AG151" s="56">
        <v>115</v>
      </c>
      <c r="AH151" s="40">
        <f>IF(ISNUMBER(Tabella2[[#This Row],[Mean RADIAL stress  (MPa)]]), Tabella2[[#This Row],[Mean RADIAL stress  (MPa)]],"")</f>
        <v>0</v>
      </c>
      <c r="AI151" s="56">
        <f>IF(ISNUMBER(Tabella2[[#This Row],[Amplitute RADIAL stress  (MPa)]]), Tabella2[[#This Row],[Amplitute RADIAL stress  (MPa)]],"")</f>
        <v>0</v>
      </c>
      <c r="AJ151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51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17702.874602978482</v>
      </c>
      <c r="AL151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51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51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51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61960.061110424693</v>
      </c>
      <c r="AP151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51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230</v>
      </c>
    </row>
    <row r="152" spans="1:43" s="53" customFormat="1" ht="20.100000000000001" customHeight="1" x14ac:dyDescent="0.25">
      <c r="A152" s="53" t="s">
        <v>65</v>
      </c>
      <c r="B152" s="53">
        <v>2023</v>
      </c>
      <c r="C152" s="53" t="s">
        <v>64</v>
      </c>
      <c r="D152" s="53" t="s">
        <v>218</v>
      </c>
      <c r="E152" s="53">
        <v>1566089</v>
      </c>
      <c r="F152" s="53" t="s">
        <v>20</v>
      </c>
      <c r="G152" s="53" t="s">
        <v>68</v>
      </c>
      <c r="H152" s="62" t="e" vm="20">
        <v>#VALUE!</v>
      </c>
      <c r="I152" s="53" t="s">
        <v>27</v>
      </c>
      <c r="J152" s="1" t="s">
        <v>32</v>
      </c>
      <c r="K152" s="53" t="s">
        <v>21</v>
      </c>
      <c r="L152" s="53" t="s">
        <v>21</v>
      </c>
      <c r="M152" s="53">
        <v>0</v>
      </c>
      <c r="N152" s="1">
        <v>14</v>
      </c>
      <c r="O152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52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52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52" s="62">
        <v>0</v>
      </c>
      <c r="S152" s="53">
        <v>0</v>
      </c>
      <c r="T152" s="1">
        <v>0</v>
      </c>
      <c r="U152" s="54" t="s">
        <v>245</v>
      </c>
      <c r="V152" s="54" t="s">
        <v>245</v>
      </c>
      <c r="W152" s="54" t="s">
        <v>245</v>
      </c>
      <c r="X152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52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52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52" s="40">
        <v>0</v>
      </c>
      <c r="AB152" s="56">
        <v>0</v>
      </c>
      <c r="AC152" s="56">
        <v>0</v>
      </c>
      <c r="AD152" s="56">
        <v>80</v>
      </c>
      <c r="AE152" s="55" t="s">
        <v>60</v>
      </c>
      <c r="AF152" s="56">
        <v>0</v>
      </c>
      <c r="AG152" s="56">
        <v>80</v>
      </c>
      <c r="AH152" s="40">
        <f>IF(ISNUMBER(Tabella2[[#This Row],[Mean RADIAL stress  (MPa)]]), Tabella2[[#This Row],[Mean RADIAL stress  (MPa)]],"")</f>
        <v>0</v>
      </c>
      <c r="AI152" s="56">
        <f>IF(ISNUMBER(Tabella2[[#This Row],[Amplitute RADIAL stress  (MPa)]]), Tabella2[[#This Row],[Amplitute RADIAL stress  (MPa)]],"")</f>
        <v>0</v>
      </c>
      <c r="AJ152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52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12315.043202071989</v>
      </c>
      <c r="AL152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52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52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52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43102.651207251962</v>
      </c>
      <c r="AP152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52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160</v>
      </c>
    </row>
    <row r="153" spans="1:43" s="53" customFormat="1" ht="20.100000000000001" customHeight="1" x14ac:dyDescent="0.25">
      <c r="A153" s="53" t="s">
        <v>65</v>
      </c>
      <c r="B153" s="53">
        <v>2023</v>
      </c>
      <c r="C153" s="53" t="s">
        <v>64</v>
      </c>
      <c r="D153" s="53" t="s">
        <v>219</v>
      </c>
      <c r="E153" s="53">
        <v>55185</v>
      </c>
      <c r="F153" s="53" t="s">
        <v>20</v>
      </c>
      <c r="G153" s="53" t="s">
        <v>68</v>
      </c>
      <c r="H153" s="62" t="e" vm="21">
        <v>#VALUE!</v>
      </c>
      <c r="I153" s="53" t="s">
        <v>27</v>
      </c>
      <c r="J153" s="1" t="s">
        <v>32</v>
      </c>
      <c r="K153" s="53" t="s">
        <v>21</v>
      </c>
      <c r="L153" s="53" t="s">
        <v>21</v>
      </c>
      <c r="M153" s="53">
        <v>0</v>
      </c>
      <c r="N153" s="1">
        <v>14</v>
      </c>
      <c r="O153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53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53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53" s="62">
        <v>0</v>
      </c>
      <c r="S153" s="53">
        <v>0</v>
      </c>
      <c r="T153" s="1">
        <v>0</v>
      </c>
      <c r="U153" s="54" t="s">
        <v>245</v>
      </c>
      <c r="V153" s="54" t="s">
        <v>245</v>
      </c>
      <c r="W153" s="54" t="s">
        <v>245</v>
      </c>
      <c r="X153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53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53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53" s="40">
        <v>0</v>
      </c>
      <c r="AB153" s="56">
        <v>0</v>
      </c>
      <c r="AC153" s="56">
        <v>0</v>
      </c>
      <c r="AD153" s="56">
        <v>115</v>
      </c>
      <c r="AE153" s="55" t="s">
        <v>60</v>
      </c>
      <c r="AF153" s="56">
        <v>0</v>
      </c>
      <c r="AG153" s="56">
        <v>115</v>
      </c>
      <c r="AH153" s="40">
        <f>IF(ISNUMBER(Tabella2[[#This Row],[Mean RADIAL stress  (MPa)]]), Tabella2[[#This Row],[Mean RADIAL stress  (MPa)]],"")</f>
        <v>0</v>
      </c>
      <c r="AI153" s="56">
        <f>IF(ISNUMBER(Tabella2[[#This Row],[Amplitute RADIAL stress  (MPa)]]), Tabella2[[#This Row],[Amplitute RADIAL stress  (MPa)]],"")</f>
        <v>0</v>
      </c>
      <c r="AJ153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53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17702.874602978482</v>
      </c>
      <c r="AL153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53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53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53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61960.061110424693</v>
      </c>
      <c r="AP153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53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230</v>
      </c>
    </row>
    <row r="154" spans="1:43" s="53" customFormat="1" ht="20.100000000000001" customHeight="1" x14ac:dyDescent="0.25">
      <c r="A154" s="53" t="s">
        <v>65</v>
      </c>
      <c r="B154" s="53">
        <v>2023</v>
      </c>
      <c r="C154" s="53" t="s">
        <v>64</v>
      </c>
      <c r="D154" s="53" t="s">
        <v>220</v>
      </c>
      <c r="E154" s="53">
        <v>5000000</v>
      </c>
      <c r="F154" s="53" t="s">
        <v>32</v>
      </c>
      <c r="G154" s="53" t="s">
        <v>68</v>
      </c>
      <c r="H154" s="62" t="e" vm="20">
        <v>#VALUE!</v>
      </c>
      <c r="I154" s="53" t="s">
        <v>27</v>
      </c>
      <c r="J154" s="1" t="s">
        <v>32</v>
      </c>
      <c r="K154" s="53" t="s">
        <v>21</v>
      </c>
      <c r="L154" s="53" t="s">
        <v>21</v>
      </c>
      <c r="M154" s="53">
        <v>0</v>
      </c>
      <c r="N154" s="1">
        <v>14</v>
      </c>
      <c r="O154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54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54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54" s="62">
        <v>0</v>
      </c>
      <c r="S154" s="53">
        <v>0</v>
      </c>
      <c r="T154" s="1">
        <v>0</v>
      </c>
      <c r="U154" s="54" t="s">
        <v>245</v>
      </c>
      <c r="V154" s="54" t="s">
        <v>245</v>
      </c>
      <c r="W154" s="54" t="s">
        <v>245</v>
      </c>
      <c r="X154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54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54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54" s="40">
        <v>0</v>
      </c>
      <c r="AB154" s="56">
        <v>0</v>
      </c>
      <c r="AC154" s="56">
        <v>0</v>
      </c>
      <c r="AD154" s="56">
        <v>75</v>
      </c>
      <c r="AE154" s="55" t="s">
        <v>60</v>
      </c>
      <c r="AF154" s="56">
        <v>0</v>
      </c>
      <c r="AG154" s="56">
        <v>75</v>
      </c>
      <c r="AH154" s="40">
        <f>IF(ISNUMBER(Tabella2[[#This Row],[Mean RADIAL stress  (MPa)]]), Tabella2[[#This Row],[Mean RADIAL stress  (MPa)]],"")</f>
        <v>0</v>
      </c>
      <c r="AI154" s="56">
        <f>IF(ISNUMBER(Tabella2[[#This Row],[Amplitute RADIAL stress  (MPa)]]), Tabella2[[#This Row],[Amplitute RADIAL stress  (MPa)]],"")</f>
        <v>0</v>
      </c>
      <c r="AJ154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54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11545.353001942489</v>
      </c>
      <c r="AL154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54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54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54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40408.735506798716</v>
      </c>
      <c r="AP154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54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150</v>
      </c>
    </row>
    <row r="155" spans="1:43" s="53" customFormat="1" ht="20.100000000000001" customHeight="1" x14ac:dyDescent="0.25">
      <c r="A155" s="53" t="s">
        <v>65</v>
      </c>
      <c r="B155" s="53">
        <v>2023</v>
      </c>
      <c r="C155" s="53" t="s">
        <v>64</v>
      </c>
      <c r="D155" s="53" t="s">
        <v>221</v>
      </c>
      <c r="E155" s="53">
        <v>234030</v>
      </c>
      <c r="F155" s="53" t="s">
        <v>20</v>
      </c>
      <c r="G155" s="53" t="s">
        <v>68</v>
      </c>
      <c r="H155" s="62" t="e" vm="20">
        <v>#VALUE!</v>
      </c>
      <c r="I155" s="53" t="s">
        <v>27</v>
      </c>
      <c r="J155" s="1" t="s">
        <v>32</v>
      </c>
      <c r="K155" s="53" t="s">
        <v>21</v>
      </c>
      <c r="L155" s="53" t="s">
        <v>21</v>
      </c>
      <c r="M155" s="53">
        <v>0</v>
      </c>
      <c r="N155" s="1">
        <v>14</v>
      </c>
      <c r="O155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55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55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55" s="62">
        <v>0</v>
      </c>
      <c r="S155" s="53">
        <v>0</v>
      </c>
      <c r="T155" s="1">
        <v>0</v>
      </c>
      <c r="U155" s="54" t="s">
        <v>245</v>
      </c>
      <c r="V155" s="54" t="s">
        <v>245</v>
      </c>
      <c r="W155" s="54" t="s">
        <v>245</v>
      </c>
      <c r="X155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55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55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55" s="40">
        <v>0</v>
      </c>
      <c r="AB155" s="56">
        <v>0</v>
      </c>
      <c r="AC155" s="56">
        <v>0</v>
      </c>
      <c r="AD155" s="56">
        <v>95</v>
      </c>
      <c r="AE155" s="55" t="s">
        <v>60</v>
      </c>
      <c r="AF155" s="56">
        <v>0</v>
      </c>
      <c r="AG155" s="56">
        <v>95</v>
      </c>
      <c r="AH155" s="40">
        <f>IF(ISNUMBER(Tabella2[[#This Row],[Mean RADIAL stress  (MPa)]]), Tabella2[[#This Row],[Mean RADIAL stress  (MPa)]],"")</f>
        <v>0</v>
      </c>
      <c r="AI155" s="56">
        <f>IF(ISNUMBER(Tabella2[[#This Row],[Amplitute RADIAL stress  (MPa)]]), Tabella2[[#This Row],[Amplitute RADIAL stress  (MPa)]],"")</f>
        <v>0</v>
      </c>
      <c r="AJ155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55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14624.113802460486</v>
      </c>
      <c r="AL155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55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55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55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51184.398308611708</v>
      </c>
      <c r="AP155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55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190</v>
      </c>
    </row>
    <row r="156" spans="1:43" s="53" customFormat="1" ht="20.100000000000001" customHeight="1" x14ac:dyDescent="0.25">
      <c r="A156" s="53" t="s">
        <v>65</v>
      </c>
      <c r="B156" s="53">
        <v>2023</v>
      </c>
      <c r="C156" s="53" t="s">
        <v>64</v>
      </c>
      <c r="D156" s="53" t="s">
        <v>222</v>
      </c>
      <c r="E156" s="53">
        <v>365066</v>
      </c>
      <c r="F156" s="53" t="s">
        <v>20</v>
      </c>
      <c r="G156" s="53" t="s">
        <v>68</v>
      </c>
      <c r="H156" s="62" t="e" vm="20">
        <v>#VALUE!</v>
      </c>
      <c r="I156" s="53" t="s">
        <v>27</v>
      </c>
      <c r="J156" s="1" t="s">
        <v>32</v>
      </c>
      <c r="K156" s="53" t="s">
        <v>21</v>
      </c>
      <c r="L156" s="53" t="s">
        <v>21</v>
      </c>
      <c r="M156" s="53">
        <v>0</v>
      </c>
      <c r="N156" s="1">
        <v>14</v>
      </c>
      <c r="O156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56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56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56" s="62">
        <v>0</v>
      </c>
      <c r="S156" s="53">
        <v>0</v>
      </c>
      <c r="T156" s="1">
        <v>0</v>
      </c>
      <c r="U156" s="54" t="s">
        <v>245</v>
      </c>
      <c r="V156" s="54" t="s">
        <v>245</v>
      </c>
      <c r="W156" s="54" t="s">
        <v>245</v>
      </c>
      <c r="X156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56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56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56" s="40">
        <v>0</v>
      </c>
      <c r="AB156" s="56">
        <v>0</v>
      </c>
      <c r="AC156" s="56">
        <v>0</v>
      </c>
      <c r="AD156" s="56">
        <v>95</v>
      </c>
      <c r="AE156" s="55" t="s">
        <v>60</v>
      </c>
      <c r="AF156" s="56">
        <v>0</v>
      </c>
      <c r="AG156" s="56">
        <v>95</v>
      </c>
      <c r="AH156" s="40">
        <f>IF(ISNUMBER(Tabella2[[#This Row],[Mean RADIAL stress  (MPa)]]), Tabella2[[#This Row],[Mean RADIAL stress  (MPa)]],"")</f>
        <v>0</v>
      </c>
      <c r="AI156" s="56">
        <f>IF(ISNUMBER(Tabella2[[#This Row],[Amplitute RADIAL stress  (MPa)]]), Tabella2[[#This Row],[Amplitute RADIAL stress  (MPa)]],"")</f>
        <v>0</v>
      </c>
      <c r="AJ156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56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14624.113802460486</v>
      </c>
      <c r="AL156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56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56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56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51184.398308611708</v>
      </c>
      <c r="AP156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56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190</v>
      </c>
    </row>
    <row r="157" spans="1:43" s="53" customFormat="1" ht="20.100000000000001" customHeight="1" x14ac:dyDescent="0.25">
      <c r="A157" s="53" t="s">
        <v>65</v>
      </c>
      <c r="B157" s="53">
        <v>2023</v>
      </c>
      <c r="C157" s="53" t="s">
        <v>64</v>
      </c>
      <c r="D157" s="53" t="s">
        <v>223</v>
      </c>
      <c r="E157" s="53">
        <v>1880865</v>
      </c>
      <c r="F157" s="53" t="s">
        <v>20</v>
      </c>
      <c r="G157" s="53" t="s">
        <v>68</v>
      </c>
      <c r="H157" s="62" t="e" vm="20">
        <v>#VALUE!</v>
      </c>
      <c r="I157" s="53" t="s">
        <v>27</v>
      </c>
      <c r="J157" s="1" t="s">
        <v>32</v>
      </c>
      <c r="K157" s="53" t="s">
        <v>21</v>
      </c>
      <c r="L157" s="53" t="s">
        <v>21</v>
      </c>
      <c r="M157" s="53">
        <v>0</v>
      </c>
      <c r="N157" s="1">
        <v>14</v>
      </c>
      <c r="O157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57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57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57" s="62">
        <v>0</v>
      </c>
      <c r="S157" s="53">
        <v>0</v>
      </c>
      <c r="T157" s="1">
        <v>0</v>
      </c>
      <c r="U157" s="54" t="s">
        <v>245</v>
      </c>
      <c r="V157" s="54" t="s">
        <v>245</v>
      </c>
      <c r="W157" s="54" t="s">
        <v>245</v>
      </c>
      <c r="X157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57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57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57" s="40">
        <v>0</v>
      </c>
      <c r="AB157" s="56">
        <v>0</v>
      </c>
      <c r="AC157" s="56">
        <v>0</v>
      </c>
      <c r="AD157" s="56">
        <v>85</v>
      </c>
      <c r="AE157" s="55" t="s">
        <v>60</v>
      </c>
      <c r="AF157" s="56">
        <v>0</v>
      </c>
      <c r="AG157" s="56">
        <v>85</v>
      </c>
      <c r="AH157" s="40">
        <f>IF(ISNUMBER(Tabella2[[#This Row],[Mean RADIAL stress  (MPa)]]), Tabella2[[#This Row],[Mean RADIAL stress  (MPa)]],"")</f>
        <v>0</v>
      </c>
      <c r="AI157" s="56">
        <f>IF(ISNUMBER(Tabella2[[#This Row],[Amplitute RADIAL stress  (MPa)]]), Tabella2[[#This Row],[Amplitute RADIAL stress  (MPa)]],"")</f>
        <v>0</v>
      </c>
      <c r="AJ157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57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13084.733402201487</v>
      </c>
      <c r="AL157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57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57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57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45796.566907705208</v>
      </c>
      <c r="AP157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57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170</v>
      </c>
    </row>
    <row r="158" spans="1:43" s="53" customFormat="1" ht="20.100000000000001" customHeight="1" x14ac:dyDescent="0.25">
      <c r="A158" s="53" t="s">
        <v>65</v>
      </c>
      <c r="B158" s="53">
        <v>2023</v>
      </c>
      <c r="C158" s="53" t="s">
        <v>64</v>
      </c>
      <c r="D158" s="53" t="s">
        <v>224</v>
      </c>
      <c r="E158" s="53">
        <v>1289763</v>
      </c>
      <c r="F158" s="53" t="s">
        <v>20</v>
      </c>
      <c r="G158" s="53" t="s">
        <v>68</v>
      </c>
      <c r="H158" s="62" t="e" vm="20">
        <v>#VALUE!</v>
      </c>
      <c r="I158" s="53" t="s">
        <v>27</v>
      </c>
      <c r="J158" s="1" t="s">
        <v>32</v>
      </c>
      <c r="K158" s="53" t="s">
        <v>21</v>
      </c>
      <c r="L158" s="53" t="s">
        <v>21</v>
      </c>
      <c r="M158" s="53">
        <v>0</v>
      </c>
      <c r="N158" s="1">
        <v>14</v>
      </c>
      <c r="O158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58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58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58" s="62">
        <v>0</v>
      </c>
      <c r="S158" s="53">
        <v>0</v>
      </c>
      <c r="T158" s="1">
        <v>0</v>
      </c>
      <c r="U158" s="54" t="s">
        <v>245</v>
      </c>
      <c r="V158" s="54" t="s">
        <v>245</v>
      </c>
      <c r="W158" s="54" t="s">
        <v>245</v>
      </c>
      <c r="X158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58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58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58" s="40">
        <v>0</v>
      </c>
      <c r="AB158" s="56">
        <v>0</v>
      </c>
      <c r="AC158" s="56">
        <v>0</v>
      </c>
      <c r="AD158" s="56">
        <v>85</v>
      </c>
      <c r="AE158" s="55" t="s">
        <v>60</v>
      </c>
      <c r="AF158" s="56">
        <v>0</v>
      </c>
      <c r="AG158" s="56">
        <v>85</v>
      </c>
      <c r="AH158" s="40">
        <f>IF(ISNUMBER(Tabella2[[#This Row],[Mean RADIAL stress  (MPa)]]), Tabella2[[#This Row],[Mean RADIAL stress  (MPa)]],"")</f>
        <v>0</v>
      </c>
      <c r="AI158" s="56">
        <f>IF(ISNUMBER(Tabella2[[#This Row],[Amplitute RADIAL stress  (MPa)]]), Tabella2[[#This Row],[Amplitute RADIAL stress  (MPa)]],"")</f>
        <v>0</v>
      </c>
      <c r="AJ158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58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13084.733402201487</v>
      </c>
      <c r="AL158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58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58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58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45796.566907705208</v>
      </c>
      <c r="AP158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58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170</v>
      </c>
    </row>
    <row r="159" spans="1:43" s="53" customFormat="1" ht="20.100000000000001" customHeight="1" x14ac:dyDescent="0.25">
      <c r="A159" s="53" t="s">
        <v>65</v>
      </c>
      <c r="B159" s="53">
        <v>2023</v>
      </c>
      <c r="C159" s="53" t="s">
        <v>64</v>
      </c>
      <c r="D159" s="53" t="s">
        <v>225</v>
      </c>
      <c r="E159" s="53">
        <v>792446</v>
      </c>
      <c r="F159" s="53" t="s">
        <v>20</v>
      </c>
      <c r="G159" s="53" t="s">
        <v>68</v>
      </c>
      <c r="H159" s="62" t="e" vm="20">
        <v>#VALUE!</v>
      </c>
      <c r="I159" s="53" t="s">
        <v>27</v>
      </c>
      <c r="J159" s="1" t="s">
        <v>32</v>
      </c>
      <c r="K159" s="53" t="s">
        <v>21</v>
      </c>
      <c r="L159" s="53" t="s">
        <v>21</v>
      </c>
      <c r="M159" s="53">
        <v>0</v>
      </c>
      <c r="N159" s="1">
        <v>14</v>
      </c>
      <c r="O159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59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59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59" s="62">
        <v>0</v>
      </c>
      <c r="S159" s="53">
        <v>0</v>
      </c>
      <c r="T159" s="1">
        <v>0</v>
      </c>
      <c r="U159" s="54" t="s">
        <v>245</v>
      </c>
      <c r="V159" s="54" t="s">
        <v>245</v>
      </c>
      <c r="W159" s="54" t="s">
        <v>245</v>
      </c>
      <c r="X159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59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59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59" s="40">
        <v>0</v>
      </c>
      <c r="AB159" s="56">
        <v>0</v>
      </c>
      <c r="AC159" s="56">
        <v>0</v>
      </c>
      <c r="AD159" s="56">
        <v>85</v>
      </c>
      <c r="AE159" s="55" t="s">
        <v>60</v>
      </c>
      <c r="AF159" s="56">
        <v>0</v>
      </c>
      <c r="AG159" s="56">
        <v>85</v>
      </c>
      <c r="AH159" s="40">
        <f>IF(ISNUMBER(Tabella2[[#This Row],[Mean RADIAL stress  (MPa)]]), Tabella2[[#This Row],[Mean RADIAL stress  (MPa)]],"")</f>
        <v>0</v>
      </c>
      <c r="AI159" s="56">
        <f>IF(ISNUMBER(Tabella2[[#This Row],[Amplitute RADIAL stress  (MPa)]]), Tabella2[[#This Row],[Amplitute RADIAL stress  (MPa)]],"")</f>
        <v>0</v>
      </c>
      <c r="AJ159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59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13084.733402201487</v>
      </c>
      <c r="AL159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59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59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59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45796.566907705208</v>
      </c>
      <c r="AP159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59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170</v>
      </c>
    </row>
    <row r="160" spans="1:43" s="53" customFormat="1" ht="20.100000000000001" customHeight="1" x14ac:dyDescent="0.25">
      <c r="A160" s="53" t="s">
        <v>65</v>
      </c>
      <c r="B160" s="53">
        <v>2023</v>
      </c>
      <c r="C160" s="53" t="s">
        <v>64</v>
      </c>
      <c r="D160" s="53" t="s">
        <v>226</v>
      </c>
      <c r="E160" s="53">
        <v>249467</v>
      </c>
      <c r="F160" s="53" t="s">
        <v>20</v>
      </c>
      <c r="G160" s="53" t="s">
        <v>68</v>
      </c>
      <c r="H160" s="62" t="e" vm="20">
        <v>#VALUE!</v>
      </c>
      <c r="I160" s="53" t="s">
        <v>27</v>
      </c>
      <c r="J160" s="1" t="s">
        <v>32</v>
      </c>
      <c r="K160" s="53" t="s">
        <v>21</v>
      </c>
      <c r="L160" s="53" t="s">
        <v>21</v>
      </c>
      <c r="M160" s="53">
        <v>0</v>
      </c>
      <c r="N160" s="1">
        <v>14</v>
      </c>
      <c r="O160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60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60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60" s="62">
        <v>0</v>
      </c>
      <c r="S160" s="53">
        <v>0</v>
      </c>
      <c r="T160" s="1">
        <v>0</v>
      </c>
      <c r="U160" s="54" t="s">
        <v>245</v>
      </c>
      <c r="V160" s="54" t="s">
        <v>245</v>
      </c>
      <c r="W160" s="54" t="s">
        <v>245</v>
      </c>
      <c r="X160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60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60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60" s="40">
        <v>0</v>
      </c>
      <c r="AB160" s="56">
        <v>0</v>
      </c>
      <c r="AC160" s="56">
        <v>0</v>
      </c>
      <c r="AD160" s="56">
        <v>95</v>
      </c>
      <c r="AE160" s="55" t="s">
        <v>60</v>
      </c>
      <c r="AF160" s="56">
        <v>0</v>
      </c>
      <c r="AG160" s="56">
        <v>95</v>
      </c>
      <c r="AH160" s="40">
        <f>IF(ISNUMBER(Tabella2[[#This Row],[Mean RADIAL stress  (MPa)]]), Tabella2[[#This Row],[Mean RADIAL stress  (MPa)]],"")</f>
        <v>0</v>
      </c>
      <c r="AI160" s="56">
        <f>IF(ISNUMBER(Tabella2[[#This Row],[Amplitute RADIAL stress  (MPa)]]), Tabella2[[#This Row],[Amplitute RADIAL stress  (MPa)]],"")</f>
        <v>0</v>
      </c>
      <c r="AJ160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60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14624.113802460486</v>
      </c>
      <c r="AL160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60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60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60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51184.398308611708</v>
      </c>
      <c r="AP160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60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190</v>
      </c>
    </row>
    <row r="161" spans="1:43" s="53" customFormat="1" ht="20.100000000000001" customHeight="1" x14ac:dyDescent="0.25">
      <c r="A161" s="53" t="s">
        <v>65</v>
      </c>
      <c r="B161" s="53">
        <v>2023</v>
      </c>
      <c r="C161" s="53" t="s">
        <v>64</v>
      </c>
      <c r="D161" s="53" t="s">
        <v>227</v>
      </c>
      <c r="E161" s="53">
        <v>2000000</v>
      </c>
      <c r="F161" s="53" t="s">
        <v>32</v>
      </c>
      <c r="G161" s="53" t="s">
        <v>68</v>
      </c>
      <c r="H161" s="62" t="e" vm="20">
        <v>#VALUE!</v>
      </c>
      <c r="I161" s="53" t="s">
        <v>27</v>
      </c>
      <c r="J161" s="1" t="s">
        <v>32</v>
      </c>
      <c r="K161" s="53" t="s">
        <v>21</v>
      </c>
      <c r="L161" s="53" t="s">
        <v>21</v>
      </c>
      <c r="M161" s="53">
        <v>0</v>
      </c>
      <c r="N161" s="1">
        <v>14</v>
      </c>
      <c r="O161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61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61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61" s="62">
        <v>0</v>
      </c>
      <c r="S161" s="53">
        <v>0</v>
      </c>
      <c r="T161" s="1">
        <v>0</v>
      </c>
      <c r="U161" s="54" t="s">
        <v>245</v>
      </c>
      <c r="V161" s="54" t="s">
        <v>245</v>
      </c>
      <c r="W161" s="54" t="s">
        <v>245</v>
      </c>
      <c r="X161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61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61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61" s="40">
        <v>0</v>
      </c>
      <c r="AB161" s="56">
        <v>0</v>
      </c>
      <c r="AC161" s="56">
        <v>0</v>
      </c>
      <c r="AD161" s="56">
        <v>80</v>
      </c>
      <c r="AE161" s="55" t="s">
        <v>60</v>
      </c>
      <c r="AF161" s="56">
        <v>0</v>
      </c>
      <c r="AG161" s="56">
        <v>80</v>
      </c>
      <c r="AH161" s="40">
        <f>IF(ISNUMBER(Tabella2[[#This Row],[Mean RADIAL stress  (MPa)]]), Tabella2[[#This Row],[Mean RADIAL stress  (MPa)]],"")</f>
        <v>0</v>
      </c>
      <c r="AI161" s="56">
        <f>IF(ISNUMBER(Tabella2[[#This Row],[Amplitute RADIAL stress  (MPa)]]), Tabella2[[#This Row],[Amplitute RADIAL stress  (MPa)]],"")</f>
        <v>0</v>
      </c>
      <c r="AJ161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61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12315.043202071989</v>
      </c>
      <c r="AL161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61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61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61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43102.651207251962</v>
      </c>
      <c r="AP161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61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160</v>
      </c>
    </row>
    <row r="162" spans="1:43" s="53" customFormat="1" ht="20.100000000000001" customHeight="1" x14ac:dyDescent="0.25">
      <c r="A162" s="53" t="s">
        <v>65</v>
      </c>
      <c r="B162" s="53">
        <v>2023</v>
      </c>
      <c r="C162" s="53" t="s">
        <v>64</v>
      </c>
      <c r="D162" s="53" t="s">
        <v>228</v>
      </c>
      <c r="E162" s="53">
        <v>51000</v>
      </c>
      <c r="F162" s="53" t="s">
        <v>20</v>
      </c>
      <c r="G162" s="53" t="s">
        <v>68</v>
      </c>
      <c r="H162" s="62" t="e" vm="20">
        <v>#VALUE!</v>
      </c>
      <c r="I162" s="53" t="s">
        <v>27</v>
      </c>
      <c r="J162" s="1" t="s">
        <v>32</v>
      </c>
      <c r="K162" s="53" t="s">
        <v>21</v>
      </c>
      <c r="L162" s="53" t="s">
        <v>21</v>
      </c>
      <c r="M162" s="53">
        <v>0</v>
      </c>
      <c r="N162" s="1">
        <v>14</v>
      </c>
      <c r="O162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62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62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62" s="62">
        <v>0</v>
      </c>
      <c r="S162" s="53">
        <v>0</v>
      </c>
      <c r="T162" s="1">
        <v>0</v>
      </c>
      <c r="U162" s="54" t="s">
        <v>245</v>
      </c>
      <c r="V162" s="54" t="s">
        <v>245</v>
      </c>
      <c r="W162" s="54" t="s">
        <v>245</v>
      </c>
      <c r="X162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62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62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62" s="40">
        <v>0</v>
      </c>
      <c r="AB162" s="56">
        <v>0</v>
      </c>
      <c r="AC162" s="56">
        <v>0</v>
      </c>
      <c r="AD162" s="56">
        <v>115</v>
      </c>
      <c r="AE162" s="55" t="s">
        <v>60</v>
      </c>
      <c r="AF162" s="56">
        <v>0</v>
      </c>
      <c r="AG162" s="56">
        <v>115</v>
      </c>
      <c r="AH162" s="40">
        <f>IF(ISNUMBER(Tabella2[[#This Row],[Mean RADIAL stress  (MPa)]]), Tabella2[[#This Row],[Mean RADIAL stress  (MPa)]],"")</f>
        <v>0</v>
      </c>
      <c r="AI162" s="56">
        <f>IF(ISNUMBER(Tabella2[[#This Row],[Amplitute RADIAL stress  (MPa)]]), Tabella2[[#This Row],[Amplitute RADIAL stress  (MPa)]],"")</f>
        <v>0</v>
      </c>
      <c r="AJ162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62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17702.874602978482</v>
      </c>
      <c r="AL162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62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62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62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61960.061110424693</v>
      </c>
      <c r="AP162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62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230</v>
      </c>
    </row>
    <row r="163" spans="1:43" s="53" customFormat="1" ht="20.100000000000001" customHeight="1" x14ac:dyDescent="0.25">
      <c r="A163" s="53" t="s">
        <v>65</v>
      </c>
      <c r="B163" s="53">
        <v>2023</v>
      </c>
      <c r="C163" s="53" t="s">
        <v>64</v>
      </c>
      <c r="D163" s="53" t="s">
        <v>229</v>
      </c>
      <c r="E163" s="53">
        <v>2000000</v>
      </c>
      <c r="F163" s="53" t="s">
        <v>32</v>
      </c>
      <c r="G163" s="53" t="s">
        <v>68</v>
      </c>
      <c r="H163" s="62" t="e" vm="20">
        <v>#VALUE!</v>
      </c>
      <c r="I163" s="53" t="s">
        <v>27</v>
      </c>
      <c r="J163" s="1" t="s">
        <v>32</v>
      </c>
      <c r="K163" s="53" t="s">
        <v>21</v>
      </c>
      <c r="L163" s="53" t="s">
        <v>21</v>
      </c>
      <c r="M163" s="53">
        <v>0</v>
      </c>
      <c r="N163" s="1">
        <v>14</v>
      </c>
      <c r="O163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63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63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63" s="62">
        <v>0</v>
      </c>
      <c r="S163" s="53">
        <v>0</v>
      </c>
      <c r="T163" s="1">
        <v>0</v>
      </c>
      <c r="U163" s="54" t="s">
        <v>245</v>
      </c>
      <c r="V163" s="54" t="s">
        <v>245</v>
      </c>
      <c r="W163" s="54" t="s">
        <v>245</v>
      </c>
      <c r="X163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63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63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63" s="40">
        <v>0</v>
      </c>
      <c r="AB163" s="56">
        <v>0</v>
      </c>
      <c r="AC163" s="56">
        <v>0</v>
      </c>
      <c r="AD163" s="56">
        <v>80</v>
      </c>
      <c r="AE163" s="55" t="s">
        <v>60</v>
      </c>
      <c r="AF163" s="56">
        <v>0</v>
      </c>
      <c r="AG163" s="56">
        <v>80</v>
      </c>
      <c r="AH163" s="40">
        <f>IF(ISNUMBER(Tabella2[[#This Row],[Mean RADIAL stress  (MPa)]]), Tabella2[[#This Row],[Mean RADIAL stress  (MPa)]],"")</f>
        <v>0</v>
      </c>
      <c r="AI163" s="56">
        <f>IF(ISNUMBER(Tabella2[[#This Row],[Amplitute RADIAL stress  (MPa)]]), Tabella2[[#This Row],[Amplitute RADIAL stress  (MPa)]],"")</f>
        <v>0</v>
      </c>
      <c r="AJ163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63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12315.043202071989</v>
      </c>
      <c r="AL163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63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63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63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43102.651207251962</v>
      </c>
      <c r="AP163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63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160</v>
      </c>
    </row>
    <row r="164" spans="1:43" s="53" customFormat="1" ht="20.100000000000001" customHeight="1" x14ac:dyDescent="0.25">
      <c r="A164" s="53" t="s">
        <v>65</v>
      </c>
      <c r="B164" s="53">
        <v>2023</v>
      </c>
      <c r="C164" s="53" t="s">
        <v>64</v>
      </c>
      <c r="D164" s="53" t="s">
        <v>230</v>
      </c>
      <c r="E164" s="53">
        <v>43913</v>
      </c>
      <c r="F164" s="53" t="s">
        <v>20</v>
      </c>
      <c r="G164" s="53" t="s">
        <v>68</v>
      </c>
      <c r="H164" s="62" t="e" vm="20">
        <v>#VALUE!</v>
      </c>
      <c r="I164" s="53" t="s">
        <v>27</v>
      </c>
      <c r="J164" s="1" t="s">
        <v>32</v>
      </c>
      <c r="K164" s="53" t="s">
        <v>21</v>
      </c>
      <c r="L164" s="53" t="s">
        <v>21</v>
      </c>
      <c r="M164" s="53">
        <v>0</v>
      </c>
      <c r="N164" s="1">
        <v>14</v>
      </c>
      <c r="O164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64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64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64" s="62">
        <v>0</v>
      </c>
      <c r="S164" s="53">
        <v>0</v>
      </c>
      <c r="T164" s="1">
        <v>0</v>
      </c>
      <c r="U164" s="54" t="s">
        <v>245</v>
      </c>
      <c r="V164" s="54" t="s">
        <v>245</v>
      </c>
      <c r="W164" s="54" t="s">
        <v>245</v>
      </c>
      <c r="X164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64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64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64" s="40">
        <v>0</v>
      </c>
      <c r="AB164" s="56">
        <v>0</v>
      </c>
      <c r="AC164" s="56">
        <v>0</v>
      </c>
      <c r="AD164" s="56">
        <v>115</v>
      </c>
      <c r="AE164" s="55" t="s">
        <v>60</v>
      </c>
      <c r="AF164" s="56">
        <v>0</v>
      </c>
      <c r="AG164" s="56">
        <v>115</v>
      </c>
      <c r="AH164" s="40">
        <f>IF(ISNUMBER(Tabella2[[#This Row],[Mean RADIAL stress  (MPa)]]), Tabella2[[#This Row],[Mean RADIAL stress  (MPa)]],"")</f>
        <v>0</v>
      </c>
      <c r="AI164" s="56">
        <f>IF(ISNUMBER(Tabella2[[#This Row],[Amplitute RADIAL stress  (MPa)]]), Tabella2[[#This Row],[Amplitute RADIAL stress  (MPa)]],"")</f>
        <v>0</v>
      </c>
      <c r="AJ164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64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17702.874602978482</v>
      </c>
      <c r="AL164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64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64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64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61960.061110424693</v>
      </c>
      <c r="AP164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64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230</v>
      </c>
    </row>
    <row r="165" spans="1:43" s="53" customFormat="1" ht="20.100000000000001" customHeight="1" x14ac:dyDescent="0.25">
      <c r="A165" s="53" t="s">
        <v>65</v>
      </c>
      <c r="B165" s="53">
        <v>2023</v>
      </c>
      <c r="C165" s="53" t="s">
        <v>64</v>
      </c>
      <c r="D165" s="53" t="s">
        <v>231</v>
      </c>
      <c r="E165" s="53">
        <v>448817</v>
      </c>
      <c r="F165" s="53" t="s">
        <v>20</v>
      </c>
      <c r="G165" s="53" t="s">
        <v>68</v>
      </c>
      <c r="H165" s="62" t="e" vm="20">
        <v>#VALUE!</v>
      </c>
      <c r="I165" s="53" t="s">
        <v>27</v>
      </c>
      <c r="J165" s="1" t="s">
        <v>32</v>
      </c>
      <c r="K165" s="53" t="s">
        <v>21</v>
      </c>
      <c r="L165" s="53" t="s">
        <v>21</v>
      </c>
      <c r="M165" s="53">
        <v>0</v>
      </c>
      <c r="N165" s="1">
        <v>14</v>
      </c>
      <c r="O165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65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65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65" s="62">
        <v>0</v>
      </c>
      <c r="S165" s="53">
        <v>0</v>
      </c>
      <c r="T165" s="1">
        <v>0</v>
      </c>
      <c r="U165" s="54" t="s">
        <v>245</v>
      </c>
      <c r="V165" s="54" t="s">
        <v>245</v>
      </c>
      <c r="W165" s="54" t="s">
        <v>245</v>
      </c>
      <c r="X165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65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65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65" s="40">
        <v>0</v>
      </c>
      <c r="AB165" s="56">
        <v>0</v>
      </c>
      <c r="AC165" s="56">
        <v>0</v>
      </c>
      <c r="AD165" s="56">
        <v>90</v>
      </c>
      <c r="AE165" s="55" t="s">
        <v>60</v>
      </c>
      <c r="AF165" s="56">
        <v>0</v>
      </c>
      <c r="AG165" s="56">
        <v>90</v>
      </c>
      <c r="AH165" s="40">
        <f>IF(ISNUMBER(Tabella2[[#This Row],[Mean RADIAL stress  (MPa)]]), Tabella2[[#This Row],[Mean RADIAL stress  (MPa)]],"")</f>
        <v>0</v>
      </c>
      <c r="AI165" s="56">
        <f>IF(ISNUMBER(Tabella2[[#This Row],[Amplitute RADIAL stress  (MPa)]]), Tabella2[[#This Row],[Amplitute RADIAL stress  (MPa)]],"")</f>
        <v>0</v>
      </c>
      <c r="AJ165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65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13854.423602330986</v>
      </c>
      <c r="AL165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65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65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65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48490.482608158454</v>
      </c>
      <c r="AP165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65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180</v>
      </c>
    </row>
    <row r="166" spans="1:43" s="53" customFormat="1" ht="20.100000000000001" customHeight="1" x14ac:dyDescent="0.25">
      <c r="A166" s="53" t="s">
        <v>65</v>
      </c>
      <c r="B166" s="53">
        <v>2023</v>
      </c>
      <c r="C166" s="53" t="s">
        <v>64</v>
      </c>
      <c r="D166" s="53" t="s">
        <v>232</v>
      </c>
      <c r="E166" s="53">
        <v>168000</v>
      </c>
      <c r="F166" s="53" t="s">
        <v>20</v>
      </c>
      <c r="G166" s="53" t="s">
        <v>68</v>
      </c>
      <c r="H166" s="62" t="e" vm="20">
        <v>#VALUE!</v>
      </c>
      <c r="I166" s="53" t="s">
        <v>27</v>
      </c>
      <c r="J166" s="1" t="s">
        <v>32</v>
      </c>
      <c r="K166" s="53" t="s">
        <v>21</v>
      </c>
      <c r="L166" s="53" t="s">
        <v>21</v>
      </c>
      <c r="M166" s="53">
        <v>0</v>
      </c>
      <c r="N166" s="1">
        <v>14</v>
      </c>
      <c r="O166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66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66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66" s="62">
        <v>0</v>
      </c>
      <c r="S166" s="53">
        <v>0</v>
      </c>
      <c r="T166" s="1">
        <v>0</v>
      </c>
      <c r="U166" s="54" t="s">
        <v>245</v>
      </c>
      <c r="V166" s="54" t="s">
        <v>245</v>
      </c>
      <c r="W166" s="54" t="s">
        <v>245</v>
      </c>
      <c r="X166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66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66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66" s="40">
        <v>0</v>
      </c>
      <c r="AB166" s="56">
        <v>0</v>
      </c>
      <c r="AC166" s="56">
        <v>0</v>
      </c>
      <c r="AD166" s="56">
        <v>90</v>
      </c>
      <c r="AE166" s="55" t="s">
        <v>60</v>
      </c>
      <c r="AF166" s="56">
        <v>0</v>
      </c>
      <c r="AG166" s="56">
        <v>90</v>
      </c>
      <c r="AH166" s="40">
        <f>IF(ISNUMBER(Tabella2[[#This Row],[Mean RADIAL stress  (MPa)]]), Tabella2[[#This Row],[Mean RADIAL stress  (MPa)]],"")</f>
        <v>0</v>
      </c>
      <c r="AI166" s="56">
        <f>IF(ISNUMBER(Tabella2[[#This Row],[Amplitute RADIAL stress  (MPa)]]), Tabella2[[#This Row],[Amplitute RADIAL stress  (MPa)]],"")</f>
        <v>0</v>
      </c>
      <c r="AJ166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66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13854.423602330986</v>
      </c>
      <c r="AL166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66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66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66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48490.482608158454</v>
      </c>
      <c r="AP166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66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180</v>
      </c>
    </row>
    <row r="167" spans="1:43" s="53" customFormat="1" ht="20.100000000000001" customHeight="1" x14ac:dyDescent="0.25">
      <c r="A167" s="53" t="s">
        <v>65</v>
      </c>
      <c r="B167" s="53">
        <v>2023</v>
      </c>
      <c r="C167" s="53" t="s">
        <v>64</v>
      </c>
      <c r="D167" s="53" t="s">
        <v>233</v>
      </c>
      <c r="E167" s="53">
        <v>2552155</v>
      </c>
      <c r="F167" s="53" t="s">
        <v>20</v>
      </c>
      <c r="G167" s="53" t="s">
        <v>68</v>
      </c>
      <c r="H167" s="62" t="e" vm="20">
        <v>#VALUE!</v>
      </c>
      <c r="I167" s="53" t="s">
        <v>27</v>
      </c>
      <c r="J167" s="1" t="s">
        <v>32</v>
      </c>
      <c r="K167" s="53" t="s">
        <v>21</v>
      </c>
      <c r="L167" s="53" t="s">
        <v>21</v>
      </c>
      <c r="M167" s="53">
        <v>0</v>
      </c>
      <c r="N167" s="1">
        <v>14</v>
      </c>
      <c r="O167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67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67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67" s="62">
        <v>0</v>
      </c>
      <c r="S167" s="53">
        <v>0</v>
      </c>
      <c r="T167" s="1">
        <v>90</v>
      </c>
      <c r="U167" s="54" t="s">
        <v>245</v>
      </c>
      <c r="V167" s="54" t="s">
        <v>245</v>
      </c>
      <c r="W167" s="54" t="s">
        <v>245</v>
      </c>
      <c r="X167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67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67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67" s="40">
        <v>0</v>
      </c>
      <c r="AB167" s="56">
        <v>0</v>
      </c>
      <c r="AC167" s="56">
        <v>0</v>
      </c>
      <c r="AD167" s="56">
        <v>100</v>
      </c>
      <c r="AE167" s="55" t="s">
        <v>60</v>
      </c>
      <c r="AF167" s="56">
        <v>0</v>
      </c>
      <c r="AG167" s="56">
        <v>100</v>
      </c>
      <c r="AH167" s="40">
        <f>IF(ISNUMBER(Tabella2[[#This Row],[Mean RADIAL stress  (MPa)]]), Tabella2[[#This Row],[Mean RADIAL stress  (MPa)]],"")</f>
        <v>0</v>
      </c>
      <c r="AI167" s="56">
        <f>IF(ISNUMBER(Tabella2[[#This Row],[Amplitute RADIAL stress  (MPa)]]), Tabella2[[#This Row],[Amplitute RADIAL stress  (MPa)]],"")</f>
        <v>0</v>
      </c>
      <c r="AJ167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67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15393.804002589985</v>
      </c>
      <c r="AL167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67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67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67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53878.314009064947</v>
      </c>
      <c r="AP167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67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200</v>
      </c>
    </row>
    <row r="168" spans="1:43" s="53" customFormat="1" ht="20.100000000000001" customHeight="1" x14ac:dyDescent="0.25">
      <c r="A168" s="53" t="s">
        <v>65</v>
      </c>
      <c r="B168" s="53">
        <v>2023</v>
      </c>
      <c r="C168" s="53" t="s">
        <v>64</v>
      </c>
      <c r="D168" s="53" t="s">
        <v>234</v>
      </c>
      <c r="E168" s="53">
        <v>637181</v>
      </c>
      <c r="F168" s="53" t="s">
        <v>20</v>
      </c>
      <c r="G168" s="53" t="s">
        <v>68</v>
      </c>
      <c r="H168" s="62" t="e" vm="20">
        <v>#VALUE!</v>
      </c>
      <c r="I168" s="53" t="s">
        <v>27</v>
      </c>
      <c r="J168" s="1" t="s">
        <v>32</v>
      </c>
      <c r="K168" s="53" t="s">
        <v>21</v>
      </c>
      <c r="L168" s="53" t="s">
        <v>21</v>
      </c>
      <c r="M168" s="53">
        <v>0</v>
      </c>
      <c r="N168" s="1">
        <v>14</v>
      </c>
      <c r="O168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68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68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68" s="62">
        <v>0</v>
      </c>
      <c r="S168" s="53">
        <v>0</v>
      </c>
      <c r="T168" s="1">
        <v>90</v>
      </c>
      <c r="U168" s="54" t="s">
        <v>245</v>
      </c>
      <c r="V168" s="54" t="s">
        <v>245</v>
      </c>
      <c r="W168" s="54" t="s">
        <v>245</v>
      </c>
      <c r="X168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68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68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68" s="40">
        <v>0</v>
      </c>
      <c r="AB168" s="56">
        <v>0</v>
      </c>
      <c r="AC168" s="56">
        <v>0</v>
      </c>
      <c r="AD168" s="56">
        <v>120</v>
      </c>
      <c r="AE168" s="55" t="s">
        <v>60</v>
      </c>
      <c r="AF168" s="56">
        <v>0</v>
      </c>
      <c r="AG168" s="56">
        <v>120</v>
      </c>
      <c r="AH168" s="40">
        <f>IF(ISNUMBER(Tabella2[[#This Row],[Mean RADIAL stress  (MPa)]]), Tabella2[[#This Row],[Mean RADIAL stress  (MPa)]],"")</f>
        <v>0</v>
      </c>
      <c r="AI168" s="56">
        <f>IF(ISNUMBER(Tabella2[[#This Row],[Amplitute RADIAL stress  (MPa)]]), Tabella2[[#This Row],[Amplitute RADIAL stress  (MPa)]],"")</f>
        <v>0</v>
      </c>
      <c r="AJ168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68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18472.564803107984</v>
      </c>
      <c r="AL168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68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68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68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64653.976810877946</v>
      </c>
      <c r="AP168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68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240</v>
      </c>
    </row>
    <row r="169" spans="1:43" s="53" customFormat="1" ht="20.100000000000001" customHeight="1" x14ac:dyDescent="0.25">
      <c r="A169" s="53" t="s">
        <v>65</v>
      </c>
      <c r="B169" s="53">
        <v>2023</v>
      </c>
      <c r="C169" s="53" t="s">
        <v>64</v>
      </c>
      <c r="D169" s="53" t="s">
        <v>235</v>
      </c>
      <c r="E169" s="53">
        <v>83523</v>
      </c>
      <c r="F169" s="53" t="s">
        <v>20</v>
      </c>
      <c r="G169" s="53" t="s">
        <v>68</v>
      </c>
      <c r="H169" s="62" t="e" vm="20">
        <v>#VALUE!</v>
      </c>
      <c r="I169" s="53" t="s">
        <v>27</v>
      </c>
      <c r="J169" s="1" t="s">
        <v>32</v>
      </c>
      <c r="K169" s="53" t="s">
        <v>21</v>
      </c>
      <c r="L169" s="53" t="s">
        <v>21</v>
      </c>
      <c r="M169" s="53">
        <v>0</v>
      </c>
      <c r="N169" s="1">
        <v>14</v>
      </c>
      <c r="O169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69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69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69" s="62">
        <v>0</v>
      </c>
      <c r="S169" s="53">
        <v>0</v>
      </c>
      <c r="T169" s="1">
        <v>90</v>
      </c>
      <c r="U169" s="54" t="s">
        <v>245</v>
      </c>
      <c r="V169" s="54" t="s">
        <v>245</v>
      </c>
      <c r="W169" s="54" t="s">
        <v>245</v>
      </c>
      <c r="X169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69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69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69" s="40">
        <v>0</v>
      </c>
      <c r="AB169" s="56">
        <v>0</v>
      </c>
      <c r="AC169" s="56">
        <v>0</v>
      </c>
      <c r="AD169" s="56">
        <v>140</v>
      </c>
      <c r="AE169" s="55" t="s">
        <v>60</v>
      </c>
      <c r="AF169" s="56">
        <v>0</v>
      </c>
      <c r="AG169" s="56">
        <v>140</v>
      </c>
      <c r="AH169" s="40">
        <f>IF(ISNUMBER(Tabella2[[#This Row],[Mean RADIAL stress  (MPa)]]), Tabella2[[#This Row],[Mean RADIAL stress  (MPa)]],"")</f>
        <v>0</v>
      </c>
      <c r="AI169" s="56">
        <f>IF(ISNUMBER(Tabella2[[#This Row],[Amplitute RADIAL stress  (MPa)]]), Tabella2[[#This Row],[Amplitute RADIAL stress  (MPa)]],"")</f>
        <v>0</v>
      </c>
      <c r="AJ169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69" s="56">
        <f>IF(ISNUMBER(Tabella2[[#This Row],[Amplitute AXIAL stress  (MPa)]]),    IF(Tabella2[[#This Row],[derived from (AXIAL/BENDING) load]]="AXIAL",Tabella2[[#This Row],[Amplitute AXIAL stress  (MPa)]]*Tabella2[[#This Row],[Area (mm^2)]],"Null"), "")</f>
        <v>21551.325603625981</v>
      </c>
      <c r="AL169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69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69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69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75429.639612690924</v>
      </c>
      <c r="AP169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69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280</v>
      </c>
    </row>
    <row r="170" spans="1:43" s="53" customFormat="1" ht="20.100000000000001" customHeight="1" x14ac:dyDescent="0.25">
      <c r="A170" s="53" t="s">
        <v>65</v>
      </c>
      <c r="B170" s="53">
        <v>2023</v>
      </c>
      <c r="C170" s="53" t="s">
        <v>64</v>
      </c>
      <c r="D170" s="53" t="s">
        <v>236</v>
      </c>
      <c r="E170" s="53">
        <v>100028</v>
      </c>
      <c r="F170" s="53" t="s">
        <v>20</v>
      </c>
      <c r="G170" s="53" t="s">
        <v>68</v>
      </c>
      <c r="H170" s="62" t="e" vm="20">
        <v>#VALUE!</v>
      </c>
      <c r="I170" s="53" t="s">
        <v>27</v>
      </c>
      <c r="J170" s="1" t="s">
        <v>32</v>
      </c>
      <c r="K170" s="53" t="s">
        <v>21</v>
      </c>
      <c r="L170" s="53" t="s">
        <v>21</v>
      </c>
      <c r="M170" s="53">
        <v>0</v>
      </c>
      <c r="N170" s="1">
        <v>14</v>
      </c>
      <c r="O170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70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70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70" s="62">
        <v>0</v>
      </c>
      <c r="S170" s="53">
        <v>0</v>
      </c>
      <c r="T170" s="1">
        <v>90</v>
      </c>
      <c r="U170" s="54" t="s">
        <v>245</v>
      </c>
      <c r="V170" s="54" t="s">
        <v>245</v>
      </c>
      <c r="W170" s="54" t="s">
        <v>245</v>
      </c>
      <c r="X170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70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70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70" s="40">
        <v>0</v>
      </c>
      <c r="AB170" s="56">
        <v>0</v>
      </c>
      <c r="AC170" s="56">
        <v>0</v>
      </c>
      <c r="AD170" s="56">
        <v>140</v>
      </c>
      <c r="AE170" s="55" t="s">
        <v>60</v>
      </c>
      <c r="AF170" s="56">
        <v>0</v>
      </c>
      <c r="AG170" s="56">
        <v>140</v>
      </c>
      <c r="AH170" s="40">
        <f>IF(ISNUMBER(Tabella2[[#This Row],[Mean RADIAL stress  (MPa)]]), Tabella2[[#This Row],[Mean RADIAL stress  (MPa)]],"")</f>
        <v>0</v>
      </c>
      <c r="AI170" s="56">
        <f>IF(ISNUMBER(Tabella2[[#This Row],[Amplitute RADIAL stress  (MPa)]]), Tabella2[[#This Row],[Amplitute RADIAL stress  (MPa)]],"")</f>
        <v>0</v>
      </c>
      <c r="AJ170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70" s="56">
        <f>IF(ISNUMBER(Tabella2[[#This Row],[Amplitute AXIAL stress  (MPa)]]),    IF(Tabella2[[#This Row],[derived from (AXIAL/BENDING) load]]="AXIAL",Tabella2[[#This Row],[Amplitute AXIAL stress  (MPa)]]*Tabella2[[#This Row],[Area (mm^2)]],"Null"), "")</f>
        <v>21551.325603625981</v>
      </c>
      <c r="AL170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70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70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70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75429.639612690924</v>
      </c>
      <c r="AP170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70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280</v>
      </c>
    </row>
    <row r="171" spans="1:43" s="53" customFormat="1" ht="20.100000000000001" customHeight="1" x14ac:dyDescent="0.25">
      <c r="A171" s="53" t="s">
        <v>65</v>
      </c>
      <c r="B171" s="53">
        <v>2023</v>
      </c>
      <c r="C171" s="53" t="s">
        <v>64</v>
      </c>
      <c r="D171" s="53" t="s">
        <v>237</v>
      </c>
      <c r="E171" s="53">
        <v>5000000</v>
      </c>
      <c r="F171" s="53" t="s">
        <v>32</v>
      </c>
      <c r="G171" s="53" t="s">
        <v>68</v>
      </c>
      <c r="H171" s="62" t="e" vm="20">
        <v>#VALUE!</v>
      </c>
      <c r="I171" s="53" t="s">
        <v>27</v>
      </c>
      <c r="J171" s="1" t="s">
        <v>32</v>
      </c>
      <c r="K171" s="53" t="s">
        <v>21</v>
      </c>
      <c r="L171" s="53" t="s">
        <v>21</v>
      </c>
      <c r="M171" s="53">
        <v>0</v>
      </c>
      <c r="N171" s="1">
        <v>14</v>
      </c>
      <c r="O171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71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71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71" s="62">
        <v>0</v>
      </c>
      <c r="S171" s="53">
        <v>0</v>
      </c>
      <c r="T171" s="1">
        <v>90</v>
      </c>
      <c r="U171" s="54" t="s">
        <v>245</v>
      </c>
      <c r="V171" s="54" t="s">
        <v>245</v>
      </c>
      <c r="W171" s="54" t="s">
        <v>245</v>
      </c>
      <c r="X171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71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71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71" s="40">
        <v>0</v>
      </c>
      <c r="AB171" s="56">
        <v>0</v>
      </c>
      <c r="AC171" s="56">
        <v>0</v>
      </c>
      <c r="AD171" s="56">
        <v>90</v>
      </c>
      <c r="AE171" s="55" t="s">
        <v>60</v>
      </c>
      <c r="AF171" s="56">
        <v>0</v>
      </c>
      <c r="AG171" s="56">
        <v>90</v>
      </c>
      <c r="AH171" s="40">
        <f>IF(ISNUMBER(Tabella2[[#This Row],[Mean RADIAL stress  (MPa)]]), Tabella2[[#This Row],[Mean RADIAL stress  (MPa)]],"")</f>
        <v>0</v>
      </c>
      <c r="AI171" s="56">
        <f>IF(ISNUMBER(Tabella2[[#This Row],[Amplitute RADIAL stress  (MPa)]]), Tabella2[[#This Row],[Amplitute RADIAL stress  (MPa)]],"")</f>
        <v>0</v>
      </c>
      <c r="AJ171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71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13854.423602330986</v>
      </c>
      <c r="AL171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71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71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71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48490.482608158454</v>
      </c>
      <c r="AP171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71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180</v>
      </c>
    </row>
    <row r="172" spans="1:43" s="53" customFormat="1" ht="20.100000000000001" customHeight="1" x14ac:dyDescent="0.25">
      <c r="A172" s="53" t="s">
        <v>65</v>
      </c>
      <c r="B172" s="53">
        <v>2023</v>
      </c>
      <c r="C172" s="53" t="s">
        <v>64</v>
      </c>
      <c r="D172" s="53" t="s">
        <v>238</v>
      </c>
      <c r="E172" s="53">
        <v>52141</v>
      </c>
      <c r="F172" s="53" t="s">
        <v>20</v>
      </c>
      <c r="G172" s="53" t="s">
        <v>68</v>
      </c>
      <c r="H172" s="62" t="e" vm="20">
        <v>#VALUE!</v>
      </c>
      <c r="I172" s="53" t="s">
        <v>27</v>
      </c>
      <c r="J172" s="1" t="s">
        <v>32</v>
      </c>
      <c r="K172" s="53" t="s">
        <v>21</v>
      </c>
      <c r="L172" s="53" t="s">
        <v>21</v>
      </c>
      <c r="M172" s="53">
        <v>0</v>
      </c>
      <c r="N172" s="1">
        <v>14</v>
      </c>
      <c r="O172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72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72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72" s="62">
        <v>0</v>
      </c>
      <c r="S172" s="53">
        <v>0</v>
      </c>
      <c r="T172" s="1">
        <v>90</v>
      </c>
      <c r="U172" s="54" t="s">
        <v>245</v>
      </c>
      <c r="V172" s="54" t="s">
        <v>245</v>
      </c>
      <c r="W172" s="54" t="s">
        <v>245</v>
      </c>
      <c r="X172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72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72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72" s="40">
        <v>0</v>
      </c>
      <c r="AB172" s="56">
        <v>0</v>
      </c>
      <c r="AC172" s="56">
        <v>0</v>
      </c>
      <c r="AD172" s="56">
        <v>140</v>
      </c>
      <c r="AE172" s="55" t="s">
        <v>60</v>
      </c>
      <c r="AF172" s="56">
        <v>0</v>
      </c>
      <c r="AG172" s="56">
        <v>140</v>
      </c>
      <c r="AH172" s="40">
        <f>IF(ISNUMBER(Tabella2[[#This Row],[Mean RADIAL stress  (MPa)]]), Tabella2[[#This Row],[Mean RADIAL stress  (MPa)]],"")</f>
        <v>0</v>
      </c>
      <c r="AI172" s="56">
        <f>IF(ISNUMBER(Tabella2[[#This Row],[Amplitute RADIAL stress  (MPa)]]), Tabella2[[#This Row],[Amplitute RADIAL stress  (MPa)]],"")</f>
        <v>0</v>
      </c>
      <c r="AJ172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72" s="56">
        <f>IF(ISNUMBER(Tabella2[[#This Row],[Amplitute AXIAL stress  (MPa)]]),    IF(Tabella2[[#This Row],[derived from (AXIAL/BENDING) load]]="AXIAL",Tabella2[[#This Row],[Amplitute AXIAL stress  (MPa)]]*Tabella2[[#This Row],[Area (mm^2)]],"Null"), "")</f>
        <v>21551.325603625981</v>
      </c>
      <c r="AL172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72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72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72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75429.639612690924</v>
      </c>
      <c r="AP172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72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280</v>
      </c>
    </row>
    <row r="173" spans="1:43" s="53" customFormat="1" ht="20.100000000000001" customHeight="1" x14ac:dyDescent="0.25">
      <c r="A173" s="53" t="s">
        <v>65</v>
      </c>
      <c r="B173" s="53">
        <v>2023</v>
      </c>
      <c r="C173" s="53" t="s">
        <v>64</v>
      </c>
      <c r="D173" s="53" t="s">
        <v>239</v>
      </c>
      <c r="E173" s="53">
        <v>1988821</v>
      </c>
      <c r="F173" s="53" t="s">
        <v>20</v>
      </c>
      <c r="G173" s="53" t="s">
        <v>68</v>
      </c>
      <c r="H173" s="62" t="e" vm="20">
        <v>#VALUE!</v>
      </c>
      <c r="I173" s="53" t="s">
        <v>27</v>
      </c>
      <c r="J173" s="1" t="s">
        <v>32</v>
      </c>
      <c r="K173" s="53" t="s">
        <v>21</v>
      </c>
      <c r="L173" s="53" t="s">
        <v>21</v>
      </c>
      <c r="M173" s="53">
        <v>0</v>
      </c>
      <c r="N173" s="1">
        <v>14</v>
      </c>
      <c r="O173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73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73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73" s="62">
        <v>0</v>
      </c>
      <c r="S173" s="53">
        <v>0</v>
      </c>
      <c r="T173" s="1">
        <v>90</v>
      </c>
      <c r="U173" s="54" t="s">
        <v>245</v>
      </c>
      <c r="V173" s="54" t="s">
        <v>245</v>
      </c>
      <c r="W173" s="54" t="s">
        <v>245</v>
      </c>
      <c r="X173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73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73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73" s="40">
        <v>0</v>
      </c>
      <c r="AB173" s="56">
        <v>0</v>
      </c>
      <c r="AC173" s="56">
        <v>0</v>
      </c>
      <c r="AD173" s="56">
        <v>100</v>
      </c>
      <c r="AE173" s="55" t="s">
        <v>60</v>
      </c>
      <c r="AF173" s="56">
        <v>0</v>
      </c>
      <c r="AG173" s="56">
        <v>100</v>
      </c>
      <c r="AH173" s="40">
        <f>IF(ISNUMBER(Tabella2[[#This Row],[Mean RADIAL stress  (MPa)]]), Tabella2[[#This Row],[Mean RADIAL stress  (MPa)]],"")</f>
        <v>0</v>
      </c>
      <c r="AI173" s="56">
        <f>IF(ISNUMBER(Tabella2[[#This Row],[Amplitute RADIAL stress  (MPa)]]), Tabella2[[#This Row],[Amplitute RADIAL stress  (MPa)]],"")</f>
        <v>0</v>
      </c>
      <c r="AJ173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73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15393.804002589985</v>
      </c>
      <c r="AL173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73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73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73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53878.314009064947</v>
      </c>
      <c r="AP173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73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200</v>
      </c>
    </row>
    <row r="174" spans="1:43" s="53" customFormat="1" ht="20.100000000000001" customHeight="1" x14ac:dyDescent="0.25">
      <c r="A174" s="53" t="s">
        <v>65</v>
      </c>
      <c r="B174" s="53">
        <v>2023</v>
      </c>
      <c r="C174" s="53" t="s">
        <v>64</v>
      </c>
      <c r="D174" s="53" t="s">
        <v>240</v>
      </c>
      <c r="E174" s="53">
        <v>2423709</v>
      </c>
      <c r="F174" s="53" t="s">
        <v>20</v>
      </c>
      <c r="G174" s="53" t="s">
        <v>68</v>
      </c>
      <c r="H174" s="62" t="e" vm="20">
        <v>#VALUE!</v>
      </c>
      <c r="I174" s="53" t="s">
        <v>27</v>
      </c>
      <c r="J174" s="1" t="s">
        <v>32</v>
      </c>
      <c r="K174" s="53" t="s">
        <v>21</v>
      </c>
      <c r="L174" s="53" t="s">
        <v>21</v>
      </c>
      <c r="M174" s="53">
        <v>0</v>
      </c>
      <c r="N174" s="1">
        <v>14</v>
      </c>
      <c r="O174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74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74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74" s="62">
        <v>0</v>
      </c>
      <c r="S174" s="53">
        <v>0</v>
      </c>
      <c r="T174" s="1">
        <v>90</v>
      </c>
      <c r="U174" s="54" t="s">
        <v>245</v>
      </c>
      <c r="V174" s="54" t="s">
        <v>245</v>
      </c>
      <c r="W174" s="54" t="s">
        <v>245</v>
      </c>
      <c r="X174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74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74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74" s="40">
        <v>0</v>
      </c>
      <c r="AB174" s="56">
        <v>0</v>
      </c>
      <c r="AC174" s="56">
        <v>0</v>
      </c>
      <c r="AD174" s="56">
        <v>100</v>
      </c>
      <c r="AE174" s="55" t="s">
        <v>60</v>
      </c>
      <c r="AF174" s="56">
        <v>0</v>
      </c>
      <c r="AG174" s="56">
        <v>100</v>
      </c>
      <c r="AH174" s="40">
        <f>IF(ISNUMBER(Tabella2[[#This Row],[Mean RADIAL stress  (MPa)]]), Tabella2[[#This Row],[Mean RADIAL stress  (MPa)]],"")</f>
        <v>0</v>
      </c>
      <c r="AI174" s="56">
        <f>IF(ISNUMBER(Tabella2[[#This Row],[Amplitute RADIAL stress  (MPa)]]), Tabella2[[#This Row],[Amplitute RADIAL stress  (MPa)]],"")</f>
        <v>0</v>
      </c>
      <c r="AJ174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74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15393.804002589985</v>
      </c>
      <c r="AL174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74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74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74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53878.314009064947</v>
      </c>
      <c r="AP174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74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200</v>
      </c>
    </row>
    <row r="175" spans="1:43" s="53" customFormat="1" ht="20.100000000000001" customHeight="1" x14ac:dyDescent="0.25">
      <c r="A175" s="53" t="s">
        <v>65</v>
      </c>
      <c r="B175" s="53">
        <v>2023</v>
      </c>
      <c r="C175" s="53" t="s">
        <v>64</v>
      </c>
      <c r="D175" s="53" t="s">
        <v>241</v>
      </c>
      <c r="E175" s="53">
        <v>367334</v>
      </c>
      <c r="F175" s="53" t="s">
        <v>20</v>
      </c>
      <c r="G175" s="53" t="s">
        <v>68</v>
      </c>
      <c r="H175" s="62" t="e" vm="20">
        <v>#VALUE!</v>
      </c>
      <c r="I175" s="53" t="s">
        <v>27</v>
      </c>
      <c r="J175" s="1" t="s">
        <v>32</v>
      </c>
      <c r="K175" s="53" t="s">
        <v>21</v>
      </c>
      <c r="L175" s="53" t="s">
        <v>21</v>
      </c>
      <c r="M175" s="53">
        <v>0</v>
      </c>
      <c r="N175" s="1">
        <v>14</v>
      </c>
      <c r="O175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75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75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75" s="62">
        <v>0</v>
      </c>
      <c r="S175" s="53">
        <v>0</v>
      </c>
      <c r="T175" s="1">
        <v>90</v>
      </c>
      <c r="U175" s="54" t="s">
        <v>245</v>
      </c>
      <c r="V175" s="54" t="s">
        <v>245</v>
      </c>
      <c r="W175" s="54" t="s">
        <v>245</v>
      </c>
      <c r="X175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75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75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75" s="40">
        <v>0</v>
      </c>
      <c r="AB175" s="56">
        <v>0</v>
      </c>
      <c r="AC175" s="56">
        <v>0</v>
      </c>
      <c r="AD175" s="56">
        <v>120</v>
      </c>
      <c r="AE175" s="55" t="s">
        <v>60</v>
      </c>
      <c r="AF175" s="56">
        <v>0</v>
      </c>
      <c r="AG175" s="56">
        <v>120</v>
      </c>
      <c r="AH175" s="40">
        <f>IF(ISNUMBER(Tabella2[[#This Row],[Mean RADIAL stress  (MPa)]]), Tabella2[[#This Row],[Mean RADIAL stress  (MPa)]],"")</f>
        <v>0</v>
      </c>
      <c r="AI175" s="56">
        <f>IF(ISNUMBER(Tabella2[[#This Row],[Amplitute RADIAL stress  (MPa)]]), Tabella2[[#This Row],[Amplitute RADIAL stress  (MPa)]],"")</f>
        <v>0</v>
      </c>
      <c r="AJ175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75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18472.564803107984</v>
      </c>
      <c r="AL175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75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75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75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64653.976810877946</v>
      </c>
      <c r="AP175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75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240</v>
      </c>
    </row>
    <row r="176" spans="1:43" s="53" customFormat="1" ht="20.100000000000001" customHeight="1" x14ac:dyDescent="0.25">
      <c r="A176" s="53" t="s">
        <v>65</v>
      </c>
      <c r="B176" s="53">
        <v>2023</v>
      </c>
      <c r="C176" s="53" t="s">
        <v>64</v>
      </c>
      <c r="D176" s="53" t="s">
        <v>242</v>
      </c>
      <c r="E176" s="53">
        <v>784273</v>
      </c>
      <c r="F176" s="53" t="s">
        <v>20</v>
      </c>
      <c r="G176" s="53" t="s">
        <v>68</v>
      </c>
      <c r="H176" s="62" t="e" vm="20">
        <v>#VALUE!</v>
      </c>
      <c r="I176" s="53" t="s">
        <v>27</v>
      </c>
      <c r="J176" s="1" t="s">
        <v>32</v>
      </c>
      <c r="K176" s="53" t="s">
        <v>21</v>
      </c>
      <c r="L176" s="53" t="s">
        <v>21</v>
      </c>
      <c r="M176" s="53">
        <v>0</v>
      </c>
      <c r="N176" s="1">
        <v>14</v>
      </c>
      <c r="O176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76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76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76" s="62">
        <v>0</v>
      </c>
      <c r="S176" s="53">
        <v>0</v>
      </c>
      <c r="T176" s="1">
        <v>90</v>
      </c>
      <c r="U176" s="54" t="s">
        <v>245</v>
      </c>
      <c r="V176" s="54" t="s">
        <v>245</v>
      </c>
      <c r="W176" s="54" t="s">
        <v>245</v>
      </c>
      <c r="X176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76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76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76" s="40">
        <v>0</v>
      </c>
      <c r="AB176" s="56">
        <v>0</v>
      </c>
      <c r="AC176" s="56">
        <v>0</v>
      </c>
      <c r="AD176" s="56">
        <v>110</v>
      </c>
      <c r="AE176" s="55" t="s">
        <v>60</v>
      </c>
      <c r="AF176" s="56">
        <v>0</v>
      </c>
      <c r="AG176" s="56">
        <v>110</v>
      </c>
      <c r="AH176" s="40">
        <f>IF(ISNUMBER(Tabella2[[#This Row],[Mean RADIAL stress  (MPa)]]), Tabella2[[#This Row],[Mean RADIAL stress  (MPa)]],"")</f>
        <v>0</v>
      </c>
      <c r="AI176" s="56">
        <f>IF(ISNUMBER(Tabella2[[#This Row],[Amplitute RADIAL stress  (MPa)]]), Tabella2[[#This Row],[Amplitute RADIAL stress  (MPa)]],"")</f>
        <v>0</v>
      </c>
      <c r="AJ176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76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16933.184402848983</v>
      </c>
      <c r="AL176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76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76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76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59266.145409971454</v>
      </c>
      <c r="AP176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76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220</v>
      </c>
    </row>
    <row r="177" spans="1:43" s="53" customFormat="1" ht="20.100000000000001" customHeight="1" x14ac:dyDescent="0.25">
      <c r="A177" s="53" t="s">
        <v>65</v>
      </c>
      <c r="B177" s="53">
        <v>2023</v>
      </c>
      <c r="C177" s="53" t="s">
        <v>64</v>
      </c>
      <c r="D177" s="53" t="s">
        <v>243</v>
      </c>
      <c r="E177" s="53">
        <v>326603</v>
      </c>
      <c r="F177" s="53" t="s">
        <v>20</v>
      </c>
      <c r="G177" s="53" t="s">
        <v>68</v>
      </c>
      <c r="H177" s="62" t="e" vm="20">
        <v>#VALUE!</v>
      </c>
      <c r="I177" s="53" t="s">
        <v>27</v>
      </c>
      <c r="J177" s="1" t="s">
        <v>32</v>
      </c>
      <c r="K177" s="53" t="s">
        <v>21</v>
      </c>
      <c r="L177" s="53" t="s">
        <v>21</v>
      </c>
      <c r="M177" s="53">
        <v>0</v>
      </c>
      <c r="N177" s="1">
        <v>14</v>
      </c>
      <c r="O177" s="54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77" s="54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77" s="5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77" s="62">
        <v>0</v>
      </c>
      <c r="S177" s="53">
        <v>0</v>
      </c>
      <c r="T177" s="1">
        <v>90</v>
      </c>
      <c r="U177" s="54" t="s">
        <v>245</v>
      </c>
      <c r="V177" s="54" t="s">
        <v>245</v>
      </c>
      <c r="W177" s="54" t="s">
        <v>245</v>
      </c>
      <c r="X177" s="5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77" s="5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77" s="5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77" s="40">
        <v>0</v>
      </c>
      <c r="AB177" s="56">
        <v>0</v>
      </c>
      <c r="AC177" s="56">
        <v>0</v>
      </c>
      <c r="AD177" s="56">
        <v>120</v>
      </c>
      <c r="AE177" s="55" t="s">
        <v>60</v>
      </c>
      <c r="AF177" s="56">
        <v>0</v>
      </c>
      <c r="AG177" s="56">
        <v>120</v>
      </c>
      <c r="AH177" s="40">
        <f>IF(ISNUMBER(Tabella2[[#This Row],[Mean RADIAL stress  (MPa)]]), Tabella2[[#This Row],[Mean RADIAL stress  (MPa)]],"")</f>
        <v>0</v>
      </c>
      <c r="AI177" s="56">
        <f>IF(ISNUMBER(Tabella2[[#This Row],[Amplitute RADIAL stress  (MPa)]]), Tabella2[[#This Row],[Amplitute RADIAL stress  (MPa)]],"")</f>
        <v>0</v>
      </c>
      <c r="AJ177" s="5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77" s="56">
        <f>IF(ISNUMBER(Tabella2[[#This Row],[Amplitute AXIAL stress  (MPa)]]),    IF(Tabella2[[#This Row],[derived from (AXIAL/BENDING) load]]="AXIAL",Tabella2[[#This Row],[Amplitute AXIAL stress  (MPa)]]*Tabella2[[#This Row],[Area (mm^2)]],"Null"), "")</f>
        <v>18472.564803107984</v>
      </c>
      <c r="AL177" s="5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77" s="5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77" s="5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77" s="56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64653.976810877946</v>
      </c>
      <c r="AP177" s="5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77" s="3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240</v>
      </c>
    </row>
    <row r="178" spans="1:43" s="25" customFormat="1" ht="20.100000000000001" customHeight="1" x14ac:dyDescent="0.25">
      <c r="A178" s="25" t="s">
        <v>65</v>
      </c>
      <c r="B178" s="25">
        <v>2023</v>
      </c>
      <c r="C178" s="25" t="s">
        <v>64</v>
      </c>
      <c r="D178" s="25" t="s">
        <v>244</v>
      </c>
      <c r="E178" s="25">
        <v>733855</v>
      </c>
      <c r="F178" s="25" t="s">
        <v>20</v>
      </c>
      <c r="G178" s="25" t="s">
        <v>68</v>
      </c>
      <c r="H178" s="63" t="e" vm="20">
        <v>#VALUE!</v>
      </c>
      <c r="I178" s="25" t="s">
        <v>27</v>
      </c>
      <c r="J178" s="25" t="s">
        <v>32</v>
      </c>
      <c r="K178" s="25" t="s">
        <v>21</v>
      </c>
      <c r="L178" s="25" t="s">
        <v>21</v>
      </c>
      <c r="M178" s="25">
        <v>0</v>
      </c>
      <c r="N178" s="25">
        <v>14</v>
      </c>
      <c r="O178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178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178" s="26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178" s="63">
        <v>0</v>
      </c>
      <c r="S178" s="25">
        <v>0</v>
      </c>
      <c r="T178" s="25">
        <v>90</v>
      </c>
      <c r="U178" s="26" t="s">
        <v>245</v>
      </c>
      <c r="V178" s="26" t="s">
        <v>245</v>
      </c>
      <c r="W178" s="26" t="s">
        <v>245</v>
      </c>
      <c r="X178" s="5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78" s="5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78" s="59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78" s="42">
        <v>0</v>
      </c>
      <c r="AB178" s="28">
        <v>0</v>
      </c>
      <c r="AC178" s="28">
        <v>0</v>
      </c>
      <c r="AD178" s="28">
        <v>110</v>
      </c>
      <c r="AE178" s="27" t="s">
        <v>60</v>
      </c>
      <c r="AF178" s="28">
        <v>0</v>
      </c>
      <c r="AG178" s="28">
        <v>110</v>
      </c>
      <c r="AH178" s="42">
        <f>IF(ISNUMBER(Tabella2[[#This Row],[Mean RADIAL stress  (MPa)]]), Tabella2[[#This Row],[Mean RADIAL stress  (MPa)]],"")</f>
        <v>0</v>
      </c>
      <c r="AI178" s="28">
        <f>IF(ISNUMBER(Tabella2[[#This Row],[Amplitute RADIAL stress  (MPa)]]), Tabella2[[#This Row],[Amplitute RADIAL stress  (MPa)]],"")</f>
        <v>0</v>
      </c>
      <c r="AJ178" s="2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78" s="28">
        <f>IF(ISNUMBER(Tabella2[[#This Row],[Amplitute AXIAL stress  (MPa)]]),    IF(Tabella2[[#This Row],[derived from (AXIAL/BENDING) load]]="AXIAL",Tabella2[[#This Row],[Amplitute AXIAL stress  (MPa)]]*Tabella2[[#This Row],[Area (mm^2)]],"Null"), "")</f>
        <v>16933.184402848983</v>
      </c>
      <c r="AL178" s="2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78" s="2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78" s="2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78" s="2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59266.145409971454</v>
      </c>
      <c r="AP178" s="69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78" s="33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220</v>
      </c>
    </row>
    <row r="179" spans="1:43" x14ac:dyDescent="0.25">
      <c r="O179" s="19"/>
      <c r="P179" s="19"/>
      <c r="AG179" s="54"/>
    </row>
    <row r="180" spans="1:43" x14ac:dyDescent="0.25">
      <c r="O180" s="19"/>
      <c r="P180" s="19"/>
      <c r="AG180" s="54"/>
    </row>
    <row r="181" spans="1:43" x14ac:dyDescent="0.25">
      <c r="O181" s="19"/>
      <c r="P181" s="19"/>
      <c r="AG181" s="54"/>
    </row>
    <row r="182" spans="1:43" x14ac:dyDescent="0.25">
      <c r="O182" s="19"/>
      <c r="P182" s="19"/>
      <c r="AG182" s="54"/>
    </row>
    <row r="183" spans="1:43" x14ac:dyDescent="0.25">
      <c r="O183" s="19"/>
      <c r="P183" s="19"/>
      <c r="AG183" s="54"/>
    </row>
    <row r="184" spans="1:43" x14ac:dyDescent="0.25">
      <c r="O184" s="19"/>
      <c r="P184" s="19"/>
      <c r="AG184" s="54"/>
    </row>
    <row r="185" spans="1:43" x14ac:dyDescent="0.25">
      <c r="O185" s="19"/>
      <c r="P185" s="19"/>
      <c r="AG185" s="54"/>
    </row>
    <row r="186" spans="1:43" x14ac:dyDescent="0.25">
      <c r="O186" s="19"/>
      <c r="P186" s="19"/>
      <c r="AG186" s="54"/>
    </row>
    <row r="187" spans="1:43" x14ac:dyDescent="0.25">
      <c r="O187" s="19"/>
      <c r="P187" s="19"/>
      <c r="AG187" s="54"/>
    </row>
    <row r="188" spans="1:43" x14ac:dyDescent="0.25">
      <c r="O188" s="19"/>
      <c r="P188" s="19"/>
      <c r="AG188" s="54"/>
    </row>
    <row r="189" spans="1:43" x14ac:dyDescent="0.25">
      <c r="O189" s="19"/>
      <c r="P189" s="19"/>
      <c r="AG189" s="54"/>
    </row>
    <row r="190" spans="1:43" x14ac:dyDescent="0.25">
      <c r="O190" s="19"/>
      <c r="P190" s="19"/>
      <c r="AG190" s="54"/>
    </row>
    <row r="191" spans="1:43" x14ac:dyDescent="0.25">
      <c r="O191" s="19"/>
      <c r="P191" s="19"/>
      <c r="AG191" s="54"/>
    </row>
    <row r="192" spans="1:43" x14ac:dyDescent="0.25">
      <c r="O192" s="19"/>
      <c r="P192" s="19"/>
      <c r="AG192" s="54"/>
    </row>
  </sheetData>
  <phoneticPr fontId="6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Summary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Chiocca</dc:creator>
  <cp:lastModifiedBy>Giulia Morettini</cp:lastModifiedBy>
  <dcterms:created xsi:type="dcterms:W3CDTF">2015-06-05T18:19:34Z</dcterms:created>
  <dcterms:modified xsi:type="dcterms:W3CDTF">2026-09-30T12:08:50Z</dcterms:modified>
</cp:coreProperties>
</file>