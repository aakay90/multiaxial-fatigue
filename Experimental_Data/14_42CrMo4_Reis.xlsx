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gros\PycharmProjects\multiaxial-fatigue\Experimental_Data\"/>
    </mc:Choice>
  </mc:AlternateContent>
  <xr:revisionPtr revIDLastSave="0" documentId="13_ncr:1_{CA6B9328-61DB-4ABE-ACCC-862D05040406}" xr6:coauthVersionLast="47" xr6:coauthVersionMax="47" xr10:uidLastSave="{00000000-0000-0000-0000-000000000000}"/>
  <bookViews>
    <workbookView xWindow="-108" yWindow="-108" windowWidth="30936" windowHeight="16776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P7" i="1"/>
  <c r="P6" i="1"/>
  <c r="O7" i="1"/>
  <c r="O6" i="1"/>
  <c r="N7" i="1"/>
  <c r="N6" i="1"/>
  <c r="O30" i="2"/>
  <c r="P30" i="2"/>
  <c r="Q30" i="2"/>
  <c r="X30" i="2"/>
  <c r="Y30" i="2"/>
  <c r="Z30" i="2"/>
  <c r="AH30" i="2"/>
  <c r="AI30" i="2"/>
  <c r="AJ30" i="2"/>
  <c r="AK30" i="2"/>
  <c r="AL30" i="2"/>
  <c r="AM30" i="2"/>
  <c r="AN30" i="2"/>
  <c r="AO30" i="2"/>
  <c r="AP30" i="2"/>
  <c r="AQ30" i="2"/>
  <c r="O29" i="2"/>
  <c r="P29" i="2"/>
  <c r="Q29" i="2"/>
  <c r="X29" i="2"/>
  <c r="Y29" i="2"/>
  <c r="Z29" i="2"/>
  <c r="AH29" i="2"/>
  <c r="AI29" i="2"/>
  <c r="AJ29" i="2"/>
  <c r="AK29" i="2"/>
  <c r="AL29" i="2"/>
  <c r="AM29" i="2"/>
  <c r="AN29" i="2"/>
  <c r="AO29" i="2"/>
  <c r="AP29" i="2"/>
  <c r="AQ29" i="2"/>
  <c r="O28" i="2"/>
  <c r="P28" i="2"/>
  <c r="Q28" i="2"/>
  <c r="X28" i="2"/>
  <c r="Y28" i="2"/>
  <c r="Z28" i="2"/>
  <c r="AH28" i="2"/>
  <c r="AI28" i="2"/>
  <c r="AL28" i="2"/>
  <c r="AM28" i="2"/>
  <c r="AP28" i="2"/>
  <c r="AQ28" i="2"/>
  <c r="O27" i="2"/>
  <c r="P27" i="2"/>
  <c r="Q27" i="2"/>
  <c r="X27" i="2"/>
  <c r="Y27" i="2"/>
  <c r="Z27" i="2"/>
  <c r="AH27" i="2"/>
  <c r="AI27" i="2"/>
  <c r="AJ27" i="2"/>
  <c r="AK27" i="2"/>
  <c r="AL27" i="2"/>
  <c r="AM27" i="2"/>
  <c r="AP27" i="2"/>
  <c r="AQ27" i="2"/>
  <c r="O26" i="2"/>
  <c r="AK26" i="2" s="1"/>
  <c r="P26" i="2"/>
  <c r="Q26" i="2"/>
  <c r="X26" i="2"/>
  <c r="Y26" i="2"/>
  <c r="Z26" i="2"/>
  <c r="AH26" i="2"/>
  <c r="AI26" i="2"/>
  <c r="AJ26" i="2"/>
  <c r="AL26" i="2"/>
  <c r="AM26" i="2"/>
  <c r="AP26" i="2"/>
  <c r="AQ26" i="2"/>
  <c r="O25" i="2"/>
  <c r="P25" i="2"/>
  <c r="Q25" i="2"/>
  <c r="X25" i="2"/>
  <c r="Y25" i="2"/>
  <c r="Z25" i="2"/>
  <c r="AH25" i="2"/>
  <c r="AI25" i="2"/>
  <c r="AL25" i="2"/>
  <c r="AM25" i="2"/>
  <c r="AP25" i="2"/>
  <c r="AQ25" i="2"/>
  <c r="O24" i="2"/>
  <c r="P24" i="2"/>
  <c r="Q24" i="2"/>
  <c r="X24" i="2"/>
  <c r="Y24" i="2"/>
  <c r="Z24" i="2"/>
  <c r="AH24" i="2"/>
  <c r="AI24" i="2"/>
  <c r="AL24" i="2"/>
  <c r="AM24" i="2"/>
  <c r="AP24" i="2"/>
  <c r="AQ24" i="2"/>
  <c r="O23" i="2"/>
  <c r="P23" i="2"/>
  <c r="Q23" i="2"/>
  <c r="X23" i="2"/>
  <c r="Y23" i="2"/>
  <c r="Z23" i="2"/>
  <c r="AH23" i="2"/>
  <c r="AI23" i="2"/>
  <c r="AJ23" i="2"/>
  <c r="AK23" i="2"/>
  <c r="AL23" i="2"/>
  <c r="AM23" i="2"/>
  <c r="AP23" i="2"/>
  <c r="AQ23" i="2"/>
  <c r="O22" i="2"/>
  <c r="P22" i="2"/>
  <c r="Q22" i="2"/>
  <c r="X22" i="2"/>
  <c r="Y22" i="2"/>
  <c r="Z22" i="2"/>
  <c r="AH22" i="2"/>
  <c r="AI22" i="2"/>
  <c r="AL22" i="2"/>
  <c r="AM22" i="2"/>
  <c r="AP22" i="2"/>
  <c r="AQ22" i="2"/>
  <c r="O21" i="2"/>
  <c r="P21" i="2"/>
  <c r="Q21" i="2"/>
  <c r="X21" i="2"/>
  <c r="Y21" i="2"/>
  <c r="Z21" i="2"/>
  <c r="AH21" i="2"/>
  <c r="AI21" i="2"/>
  <c r="AL21" i="2"/>
  <c r="AM21" i="2"/>
  <c r="AP21" i="2"/>
  <c r="AQ21" i="2"/>
  <c r="O20" i="2"/>
  <c r="P20" i="2"/>
  <c r="Q20" i="2"/>
  <c r="X20" i="2"/>
  <c r="Y20" i="2"/>
  <c r="Z20" i="2"/>
  <c r="AH20" i="2"/>
  <c r="AI20" i="2"/>
  <c r="AL20" i="2"/>
  <c r="AM20" i="2"/>
  <c r="AP20" i="2"/>
  <c r="AQ20" i="2"/>
  <c r="O19" i="2"/>
  <c r="P19" i="2"/>
  <c r="Q19" i="2"/>
  <c r="X19" i="2"/>
  <c r="Y19" i="2"/>
  <c r="Z19" i="2"/>
  <c r="AH19" i="2"/>
  <c r="AI19" i="2"/>
  <c r="AL19" i="2"/>
  <c r="AM19" i="2"/>
  <c r="AP19" i="2"/>
  <c r="AQ19" i="2"/>
  <c r="O18" i="2"/>
  <c r="P18" i="2"/>
  <c r="Q18" i="2"/>
  <c r="X18" i="2"/>
  <c r="Y18" i="2"/>
  <c r="Z18" i="2"/>
  <c r="AH18" i="2"/>
  <c r="AI18" i="2"/>
  <c r="AL18" i="2"/>
  <c r="AM18" i="2"/>
  <c r="AP18" i="2"/>
  <c r="AQ18" i="2"/>
  <c r="O17" i="2"/>
  <c r="P17" i="2"/>
  <c r="Q17" i="2"/>
  <c r="X17" i="2"/>
  <c r="Y17" i="2"/>
  <c r="Z17" i="2"/>
  <c r="AH17" i="2"/>
  <c r="AI17" i="2"/>
  <c r="AL17" i="2"/>
  <c r="AM17" i="2"/>
  <c r="AP17" i="2"/>
  <c r="AQ17" i="2"/>
  <c r="O16" i="2"/>
  <c r="P16" i="2"/>
  <c r="Q16" i="2"/>
  <c r="X16" i="2"/>
  <c r="Y16" i="2"/>
  <c r="Z16" i="2"/>
  <c r="AH16" i="2"/>
  <c r="AI16" i="2"/>
  <c r="AL16" i="2"/>
  <c r="AM16" i="2"/>
  <c r="AP16" i="2"/>
  <c r="AQ16" i="2"/>
  <c r="O15" i="2"/>
  <c r="P15" i="2"/>
  <c r="Q15" i="2"/>
  <c r="X15" i="2"/>
  <c r="Y15" i="2"/>
  <c r="Z15" i="2"/>
  <c r="AH15" i="2"/>
  <c r="AI15" i="2"/>
  <c r="AL15" i="2"/>
  <c r="AM15" i="2"/>
  <c r="AP15" i="2"/>
  <c r="AQ15" i="2"/>
  <c r="O14" i="2"/>
  <c r="P14" i="2"/>
  <c r="Q14" i="2"/>
  <c r="X14" i="2"/>
  <c r="Y14" i="2"/>
  <c r="Z14" i="2"/>
  <c r="AH14" i="2"/>
  <c r="AI14" i="2"/>
  <c r="AL14" i="2"/>
  <c r="AM14" i="2"/>
  <c r="AP14" i="2"/>
  <c r="AQ14" i="2"/>
  <c r="O13" i="2"/>
  <c r="P13" i="2"/>
  <c r="Q13" i="2"/>
  <c r="X13" i="2"/>
  <c r="Y13" i="2"/>
  <c r="Z13" i="2"/>
  <c r="AH13" i="2"/>
  <c r="AI13" i="2"/>
  <c r="AL13" i="2"/>
  <c r="AM13" i="2"/>
  <c r="AP13" i="2"/>
  <c r="AQ13" i="2"/>
  <c r="O12" i="2"/>
  <c r="P12" i="2"/>
  <c r="Q12" i="2"/>
  <c r="X12" i="2"/>
  <c r="Y12" i="2"/>
  <c r="Z12" i="2"/>
  <c r="AH12" i="2"/>
  <c r="AI12" i="2"/>
  <c r="AL12" i="2"/>
  <c r="AM12" i="2"/>
  <c r="AP12" i="2"/>
  <c r="AQ12" i="2"/>
  <c r="O11" i="2"/>
  <c r="P11" i="2"/>
  <c r="Q11" i="2"/>
  <c r="X11" i="2"/>
  <c r="Y11" i="2"/>
  <c r="Z11" i="2"/>
  <c r="AH11" i="2"/>
  <c r="AI11" i="2"/>
  <c r="AL11" i="2"/>
  <c r="AM11" i="2"/>
  <c r="AP11" i="2"/>
  <c r="AQ11" i="2"/>
  <c r="O10" i="2"/>
  <c r="P10" i="2"/>
  <c r="Q10" i="2"/>
  <c r="X10" i="2"/>
  <c r="Y10" i="2"/>
  <c r="Z10" i="2"/>
  <c r="AH10" i="2"/>
  <c r="AI10" i="2"/>
  <c r="AL10" i="2"/>
  <c r="AM10" i="2"/>
  <c r="AP10" i="2"/>
  <c r="AQ10" i="2"/>
  <c r="O9" i="2"/>
  <c r="P9" i="2"/>
  <c r="Q9" i="2"/>
  <c r="X9" i="2"/>
  <c r="Y9" i="2"/>
  <c r="Z9" i="2"/>
  <c r="AH9" i="2"/>
  <c r="AI9" i="2"/>
  <c r="AL9" i="2"/>
  <c r="AM9" i="2"/>
  <c r="AP9" i="2"/>
  <c r="AQ9" i="2"/>
  <c r="O8" i="2"/>
  <c r="P8" i="2"/>
  <c r="Q8" i="2"/>
  <c r="X8" i="2"/>
  <c r="Y8" i="2"/>
  <c r="Z8" i="2"/>
  <c r="AH8" i="2"/>
  <c r="AI8" i="2"/>
  <c r="AL8" i="2"/>
  <c r="AM8" i="2"/>
  <c r="AP8" i="2"/>
  <c r="AQ8" i="2"/>
  <c r="O7" i="2"/>
  <c r="P7" i="2"/>
  <c r="Q7" i="2"/>
  <c r="X7" i="2"/>
  <c r="Y7" i="2"/>
  <c r="Z7" i="2"/>
  <c r="AH7" i="2"/>
  <c r="AI7" i="2"/>
  <c r="AL7" i="2"/>
  <c r="AM7" i="2"/>
  <c r="AP7" i="2"/>
  <c r="AQ7" i="2"/>
  <c r="O6" i="2"/>
  <c r="P6" i="2"/>
  <c r="Q6" i="2"/>
  <c r="X6" i="2"/>
  <c r="Y6" i="2"/>
  <c r="Z6" i="2"/>
  <c r="AH6" i="2"/>
  <c r="AI6" i="2"/>
  <c r="AL6" i="2"/>
  <c r="AM6" i="2"/>
  <c r="AP6" i="2"/>
  <c r="AQ6" i="2"/>
  <c r="O5" i="2"/>
  <c r="P5" i="2"/>
  <c r="Q5" i="2"/>
  <c r="X5" i="2"/>
  <c r="Y5" i="2"/>
  <c r="Z5" i="2"/>
  <c r="AH5" i="2"/>
  <c r="AI5" i="2"/>
  <c r="AL5" i="2"/>
  <c r="AM5" i="2"/>
  <c r="AP5" i="2"/>
  <c r="AQ5" i="2"/>
  <c r="O4" i="2"/>
  <c r="P4" i="2"/>
  <c r="Q4" i="2"/>
  <c r="X4" i="2"/>
  <c r="Y4" i="2"/>
  <c r="Z4" i="2"/>
  <c r="AH4" i="2"/>
  <c r="AI4" i="2"/>
  <c r="AL4" i="2"/>
  <c r="AM4" i="2"/>
  <c r="AP4" i="2"/>
  <c r="AQ4" i="2"/>
  <c r="O3" i="2"/>
  <c r="P3" i="2"/>
  <c r="Q3" i="2"/>
  <c r="X3" i="2"/>
  <c r="Y3" i="2"/>
  <c r="Z3" i="2"/>
  <c r="AH3" i="2"/>
  <c r="AI3" i="2"/>
  <c r="AJ3" i="2"/>
  <c r="AK3" i="2"/>
  <c r="AL3" i="2"/>
  <c r="AM3" i="2"/>
  <c r="AN3" i="2"/>
  <c r="AO3" i="2"/>
  <c r="AP3" i="2"/>
  <c r="AQ3" i="2"/>
  <c r="AJ28" i="2" l="1"/>
  <c r="AK28" i="2"/>
  <c r="AO28" i="2"/>
  <c r="AN28" i="2"/>
  <c r="AN21" i="2"/>
  <c r="AO21" i="2"/>
  <c r="AN27" i="2"/>
  <c r="AO27" i="2"/>
  <c r="AN26" i="2"/>
  <c r="AO26" i="2"/>
  <c r="AN23" i="2"/>
  <c r="AO23" i="2"/>
  <c r="AJ25" i="2"/>
  <c r="AK25" i="2"/>
  <c r="AN25" i="2"/>
  <c r="AO25" i="2"/>
  <c r="AJ24" i="2"/>
  <c r="AK24" i="2"/>
  <c r="AN24" i="2"/>
  <c r="AO24" i="2"/>
  <c r="AJ21" i="2"/>
  <c r="AK21" i="2"/>
  <c r="AJ22" i="2"/>
  <c r="AK22" i="2"/>
  <c r="AN22" i="2"/>
  <c r="AO22" i="2"/>
  <c r="AN20" i="2"/>
  <c r="AO20" i="2"/>
  <c r="AK17" i="2"/>
  <c r="AJ17" i="2"/>
  <c r="AJ19" i="2"/>
  <c r="AK19" i="2"/>
  <c r="AN19" i="2"/>
  <c r="AO19" i="2"/>
  <c r="AJ20" i="2"/>
  <c r="AK20" i="2"/>
  <c r="AJ18" i="2"/>
  <c r="AK18" i="2"/>
  <c r="AN18" i="2"/>
  <c r="AO18" i="2"/>
  <c r="AN17" i="2"/>
  <c r="AO17" i="2"/>
  <c r="AJ16" i="2"/>
  <c r="AK16" i="2"/>
  <c r="AN16" i="2"/>
  <c r="AO16" i="2"/>
  <c r="AO10" i="2"/>
  <c r="AN10" i="2"/>
  <c r="AJ15" i="2"/>
  <c r="AK15" i="2"/>
  <c r="AN15" i="2"/>
  <c r="AO15" i="2"/>
  <c r="AJ14" i="2"/>
  <c r="AK14" i="2"/>
  <c r="AN14" i="2"/>
  <c r="AO14" i="2"/>
  <c r="AN11" i="2"/>
  <c r="AO11" i="2"/>
  <c r="AJ13" i="2"/>
  <c r="AK13" i="2"/>
  <c r="AN13" i="2"/>
  <c r="AO13" i="2"/>
  <c r="AN12" i="2"/>
  <c r="AO12" i="2"/>
  <c r="AJ12" i="2"/>
  <c r="AK12" i="2"/>
  <c r="AJ11" i="2"/>
  <c r="AK11" i="2"/>
  <c r="AJ10" i="2"/>
  <c r="AK10" i="2"/>
  <c r="AJ9" i="2"/>
  <c r="AK9" i="2"/>
  <c r="AN9" i="2"/>
  <c r="AO9" i="2"/>
  <c r="AK8" i="2"/>
  <c r="AJ8" i="2"/>
  <c r="AN8" i="2"/>
  <c r="AO8" i="2"/>
  <c r="AN7" i="2"/>
  <c r="AO7" i="2"/>
  <c r="AJ6" i="2"/>
  <c r="AK6" i="2"/>
  <c r="AJ7" i="2"/>
  <c r="AK7" i="2"/>
  <c r="AO4" i="2"/>
  <c r="AN4" i="2"/>
  <c r="AN6" i="2"/>
  <c r="AO6" i="2"/>
  <c r="AN5" i="2"/>
  <c r="AO5" i="2"/>
  <c r="AJ5" i="2"/>
  <c r="AK5" i="2"/>
  <c r="AJ4" i="2"/>
  <c r="AK4" i="2"/>
  <c r="AQ2" i="2" l="1"/>
  <c r="AI2" i="2"/>
  <c r="AH2" i="2"/>
  <c r="Z2" i="2"/>
  <c r="Y2" i="2"/>
  <c r="X2" i="2"/>
  <c r="O2" i="2"/>
  <c r="Q2" i="2"/>
  <c r="AO2" i="2" s="1"/>
  <c r="AJ2" i="2" l="1"/>
  <c r="AK2" i="2"/>
  <c r="AN2" i="2"/>
  <c r="AP2" i="2" l="1"/>
  <c r="P2" i="2"/>
  <c r="M4" i="1"/>
  <c r="M3" i="1"/>
  <c r="AM2" i="2" l="1"/>
  <c r="AL2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Tommaso Grossi</author>
  </authors>
  <commentList>
    <comment ref="D2" authorId="0" shapeId="0" xr:uid="{9B5DBA52-2B6E-427A-80F2-625CEBB3B739}">
      <text>
        <r>
          <rPr>
            <b/>
            <sz val="9"/>
            <color indexed="81"/>
            <rFont val="Tahoma"/>
            <charset val="1"/>
          </rPr>
          <t>Anes/Reis batch of 42CrMo4 (L. Reis, PhD thesis, IST 2004), kept apart from the Santus/Benedetti 42CrMo4_QT (decision d055).</t>
        </r>
      </text>
    </comment>
    <comment ref="F2" authorId="0" shapeId="0" xr:uid="{C603D089-3595-4F5F-A801-9B24792EADE1}">
      <text>
        <r>
          <rPr>
            <b/>
            <sz val="9"/>
            <color indexed="81"/>
            <rFont val="Tahoma"/>
            <charset val="1"/>
          </rPr>
          <t>Anes et al., IJF 58 (2014) 102-113, Table 1 p. 2 (measured on the tested 42CrMo4)</t>
        </r>
      </text>
    </comment>
    <comment ref="G2" authorId="0" shapeId="0" xr:uid="{DE04A51D-BBAC-4319-94DF-CC3BCB28448C}">
      <text>
        <r>
          <rPr>
            <b/>
            <sz val="9"/>
            <color indexed="81"/>
            <rFont val="Tahoma"/>
            <charset val="1"/>
          </rPr>
          <t>Anes et al., IJF 58 (2014) 102-113, Table 1 p. 2 (measured on the tested 42CrMo4); previous workbook row: empty.</t>
        </r>
      </text>
    </comment>
    <comment ref="H2" authorId="0" shapeId="0" xr:uid="{C0B7D5B3-D708-4495-9283-6475E4CAA692}">
      <text>
        <r>
          <rPr>
            <b/>
            <sz val="9"/>
            <color indexed="81"/>
            <rFont val="Tahoma"/>
            <charset val="1"/>
          </rPr>
          <t>Anes et al., IJF 58 (2014) 102-113, Table 1 p. 2 (measured on the tested 42CrMo4); previous workbook row: empty.</t>
        </r>
      </text>
    </comment>
    <comment ref="N2" authorId="0" shapeId="0" xr:uid="{6F422DB4-0322-4777-8048-51CFF0AE0808}">
      <text>
        <r>
          <rPr>
            <b/>
            <sz val="9"/>
            <color indexed="81"/>
            <rFont val="Tahoma"/>
            <charset val="1"/>
          </rPr>
          <t>Anes et al., IJF 58 (2014) 102-113, Table 1 p. 2 (measured on the tested 42CrMo4)</t>
        </r>
      </text>
    </comment>
    <comment ref="A3" authorId="0" shapeId="0" xr:uid="{0F04678D-7CE9-4AF4-A7E9-4E0CAC1FDDB7}">
      <text>
        <r>
          <rPr>
            <b/>
            <sz val="9"/>
            <color indexed="81"/>
            <rFont val="Tahoma"/>
            <charset val="1"/>
          </rPr>
          <t>Values as in the previous 42CrMo4_QT.xlsx Summary row (23e1dfe); same batch as the IJF 58 row (both republish Reis 2004).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  <author>Tommaso Grossi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  <comment ref="D2" authorId="2" shapeId="0" xr:uid="{7D474598-D775-4903-B700-B1E7EA7F3FC5}">
      <text>
        <r>
          <rPr>
            <b/>
            <sz val="9"/>
            <color indexed="81"/>
            <rFont val="Tahoma"/>
            <charset val="1"/>
          </rPr>
          <t>Copied from 42CrMo4_QT.xlsx row 95 (commit 23e1dfe). Legacy Null written as 0 (inactive component / in-phase): Phase radial load (°), Mean RADIAL stress  (MPa), Amplitute RADIAL stress  (MPa)</t>
        </r>
      </text>
    </comment>
    <comment ref="D3" authorId="2" shapeId="0" xr:uid="{2C2EF521-2523-453B-9118-C336D936CAB7}">
      <text>
        <r>
          <rPr>
            <b/>
            <sz val="9"/>
            <color indexed="81"/>
            <rFont val="Tahoma"/>
            <charset val="1"/>
          </rPr>
          <t>Copied from 42CrMo4_QT.xlsx row 96 (commit 23e1dfe). Legacy Null written as 0 (inactive component / in-phase): Phase radial load (°), Mean RADIAL stress  (MPa), Amplitute RADIAL stress  (MPa)</t>
        </r>
      </text>
    </comment>
    <comment ref="D4" authorId="2" shapeId="0" xr:uid="{42266813-9DED-48D8-A557-B30C8CE6D5F2}">
      <text>
        <r>
          <rPr>
            <b/>
            <sz val="9"/>
            <color indexed="81"/>
            <rFont val="Tahoma"/>
            <charset val="1"/>
          </rPr>
          <t>Copied from 42CrMo4_QT.xlsx row 97 (commit 23e1dfe). Legacy Null written as 0 (inactive component / in-phase): Phase radial load (°), Mean RADIAL stress  (MPa), Amplitute RADIAL stress  (MPa)</t>
        </r>
      </text>
    </comment>
    <comment ref="D5" authorId="2" shapeId="0" xr:uid="{5DDFCAC3-EE89-4413-BCC9-92C1DEA74BD8}">
      <text>
        <r>
          <rPr>
            <b/>
            <sz val="9"/>
            <color indexed="81"/>
            <rFont val="Tahoma"/>
            <charset val="1"/>
          </rPr>
          <t>Copied from 42CrMo4_QT.xlsx row 98 (commit 23e1dfe). Legacy Null written as 0 (inactive component / in-phase): Phase radial load (°), Mean RADIAL stress  (MPa), Amplitute RADIAL stress  (MPa)</t>
        </r>
      </text>
    </comment>
    <comment ref="D6" authorId="2" shapeId="0" xr:uid="{0D6DD6CF-2D5F-410E-B504-1DA3BC243B91}">
      <text>
        <r>
          <rPr>
            <b/>
            <sz val="9"/>
            <color indexed="81"/>
            <rFont val="Tahoma"/>
            <charset val="1"/>
          </rPr>
          <t>Copied from 42CrMo4_QT.xlsx row 99 (commit 23e1dfe). Legacy Null written as 0 (inactive component / in-phase): Phase radial load (°), Mean RADIAL stress  (MPa), Amplitute RADIAL stress  (MPa)</t>
        </r>
      </text>
    </comment>
    <comment ref="D7" authorId="2" shapeId="0" xr:uid="{5D5D5161-3B29-4DB8-A401-24588607162E}">
      <text>
        <r>
          <rPr>
            <b/>
            <sz val="9"/>
            <color indexed="81"/>
            <rFont val="Tahoma"/>
            <charset val="1"/>
          </rPr>
          <t>Copied from 42CrMo4_QT.xlsx row 100 (commit 23e1dfe). Legacy Null written as 0 (inactive component / in-phase): Phase radial load (°), Mean RADIAL stress  (MPa), Amplitute RADIAL stress  (MPa)</t>
        </r>
      </text>
    </comment>
    <comment ref="D8" authorId="2" shapeId="0" xr:uid="{A9DB03E9-D198-4C0A-A84C-3BFE49170BA4}">
      <text>
        <r>
          <rPr>
            <b/>
            <sz val="9"/>
            <color indexed="81"/>
            <rFont val="Tahoma"/>
            <charset val="1"/>
          </rPr>
          <t>Copied from 42CrMo4_QT.xlsx row 101 (commit 23e1dfe). Legacy Null written as 0 (inactive component / in-phase): Phase radial load (°), Mean RADIAL stress  (MPa), Amplitute RADIAL stress  (MPa)</t>
        </r>
      </text>
    </comment>
    <comment ref="D9" authorId="2" shapeId="0" xr:uid="{74CAEE8B-A82B-42E4-A57A-369923A11848}">
      <text>
        <r>
          <rPr>
            <b/>
            <sz val="9"/>
            <color indexed="81"/>
            <rFont val="Tahoma"/>
            <charset val="1"/>
          </rPr>
          <t>Copied from 42CrMo4_QT.xlsx row 102 (commit 23e1dfe). Legacy Null written as 0 (inactive component / in-phase): Phase radial load (°), Mean RADIAL stress  (MPa), Amplitute RADIAL stress  (MPa)</t>
        </r>
      </text>
    </comment>
    <comment ref="D10" authorId="2" shapeId="0" xr:uid="{38A09C82-5EB2-468D-9C75-4855A2786EB2}">
      <text>
        <r>
          <rPr>
            <b/>
            <sz val="9"/>
            <color indexed="81"/>
            <rFont val="Tahoma"/>
            <charset val="1"/>
          </rPr>
          <t>Copied from 42CrMo4_QT.xlsx row 103 (commit 23e1dfe). Legacy Null written as 0 (inactive component / in-phase): Phase radial load (°), Mean RADIAL stress  (MPa), Amplitute RADIAL stress  (MPa)</t>
        </r>
      </text>
    </comment>
    <comment ref="D11" authorId="2" shapeId="0" xr:uid="{60673232-D091-46F0-9946-573F44EE2FC1}">
      <text>
        <r>
          <rPr>
            <b/>
            <sz val="9"/>
            <color indexed="81"/>
            <rFont val="Tahoma"/>
            <charset val="1"/>
          </rPr>
          <t>Copied from 42CrMo4_QT.xlsx row 104 (commit 23e1dfe). Legacy Null written as 0 (inactive component / in-phase): Phase radial load (°), Mean RADIAL stress  (MPa), Amplitute RADIAL stress  (MPa)</t>
        </r>
      </text>
    </comment>
    <comment ref="D12" authorId="2" shapeId="0" xr:uid="{A8307F10-EF6B-43D3-A6CB-F1B469FB17A4}">
      <text>
        <r>
          <rPr>
            <b/>
            <sz val="9"/>
            <color indexed="81"/>
            <rFont val="Tahoma"/>
            <charset val="1"/>
          </rPr>
          <t>Copied from 42CrMo4_QT.xlsx row 105 (commit 23e1dfe). Legacy Null written as 0 (inactive component / in-phase): Phase radial load (°), Mean RADIAL stress  (MPa), Amplitute RADIAL stress  (MPa)</t>
        </r>
      </text>
    </comment>
    <comment ref="D13" authorId="2" shapeId="0" xr:uid="{2B110595-5B36-474D-912C-2C8D37E55B6D}">
      <text>
        <r>
          <rPr>
            <b/>
            <sz val="9"/>
            <color indexed="81"/>
            <rFont val="Tahoma"/>
            <charset val="1"/>
          </rPr>
          <t>Copied from 42CrMo4_QT.xlsx row 106 (commit 23e1dfe). Legacy Null written as 0 (inactive component / in-phase): Phase radial load (°), Mean RADIAL stress  (MPa), Amplitute RADIAL stress  (MPa)</t>
        </r>
      </text>
    </comment>
    <comment ref="D14" authorId="2" shapeId="0" xr:uid="{5B830B89-5FF0-4768-9CB0-BF2EE40E16A7}">
      <text>
        <r>
          <rPr>
            <b/>
            <sz val="9"/>
            <color indexed="81"/>
            <rFont val="Tahoma"/>
            <charset val="1"/>
          </rPr>
          <t>Copied from 42CrMo4_QT.xlsx row 107 (commit 23e1dfe). Legacy Null written as 0 (inactive component / in-phase): Phase radial load (°), Mean RADIAL stress  (MPa), Amplitute RADIAL stress  (MPa)</t>
        </r>
      </text>
    </comment>
    <comment ref="D15" authorId="2" shapeId="0" xr:uid="{F8F3DC06-CBD5-4C2A-A5CB-63F3F47459C4}">
      <text>
        <r>
          <rPr>
            <b/>
            <sz val="9"/>
            <color indexed="81"/>
            <rFont val="Tahoma"/>
            <charset val="1"/>
          </rPr>
          <t>Copied from 42CrMo4_QT.xlsx row 108 (commit 23e1dfe). Legacy Null written as 0 (inactive component / in-phase): Phase radial load (°), Mean RADIAL stress  (MPa), Amplitute RADIAL stress  (MPa)</t>
        </r>
      </text>
    </comment>
    <comment ref="D16" authorId="2" shapeId="0" xr:uid="{A92145D7-CFB0-4031-AA89-403ECB3BF108}">
      <text>
        <r>
          <rPr>
            <b/>
            <sz val="9"/>
            <color indexed="81"/>
            <rFont val="Tahoma"/>
            <charset val="1"/>
          </rPr>
          <t>Copied from 42CrMo4_QT.xlsx row 109 (commit 23e1dfe). Legacy Null written as 0 (inactive component / in-phase): Phase radial load (°), Mean RADIAL stress  (MPa), Amplitute RADIAL stress  (MPa)</t>
        </r>
      </text>
    </comment>
    <comment ref="D17" authorId="2" shapeId="0" xr:uid="{213E20D9-53BA-45E0-B358-A958D9299168}">
      <text>
        <r>
          <rPr>
            <b/>
            <sz val="9"/>
            <color indexed="81"/>
            <rFont val="Tahoma"/>
            <charset val="1"/>
          </rPr>
          <t>Copied from 42CrMo4_QT.xlsx row 110 (commit 23e1dfe). Legacy Null written as 0 (inactive component / in-phase): Phase radial load (°), Mean RADIAL stress  (MPa), Amplitute RADIAL stress  (MPa)</t>
        </r>
      </text>
    </comment>
    <comment ref="B18" authorId="2" shapeId="0" xr:uid="{95BBCE0A-D515-439D-B252-4B0C546F0866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18" authorId="2" shapeId="0" xr:uid="{B96140C8-1C0D-41E9-9FBA-0A96F3BC9B54}">
      <text>
        <r>
          <rPr>
            <b/>
            <sz val="9"/>
            <color indexed="81"/>
            <rFont val="Tahoma"/>
            <charset val="1"/>
          </rPr>
          <t>Copied from 42CrMo4_QT.xlsx row 111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19" authorId="2" shapeId="0" xr:uid="{61824ADC-C98F-4811-8674-95C984082AE6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19" authorId="2" shapeId="0" xr:uid="{C422544D-7D66-4914-9A4D-F2AC8CAD382A}">
      <text>
        <r>
          <rPr>
            <b/>
            <sz val="9"/>
            <color indexed="81"/>
            <rFont val="Tahoma"/>
            <charset val="1"/>
          </rPr>
          <t>Copied from 42CrMo4_QT.xlsx row 112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0" authorId="2" shapeId="0" xr:uid="{E3443BCF-7192-41BA-B572-776C9DA8AED7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0" authorId="2" shapeId="0" xr:uid="{AFA8943F-89B7-4844-B7A4-F7186C0BF7EC}">
      <text>
        <r>
          <rPr>
            <b/>
            <sz val="9"/>
            <color indexed="81"/>
            <rFont val="Tahoma"/>
            <charset val="1"/>
          </rPr>
          <t>Copied from 42CrMo4_QT.xlsx row 113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1" authorId="2" shapeId="0" xr:uid="{DBBA2F7F-4745-4923-A3F6-0AF4D1FC7573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1" authorId="2" shapeId="0" xr:uid="{278B3D92-BE30-411B-BCA1-B80E0C094083}">
      <text>
        <r>
          <rPr>
            <b/>
            <sz val="9"/>
            <color indexed="81"/>
            <rFont val="Tahoma"/>
            <charset val="1"/>
          </rPr>
          <t>Copied from 42CrMo4_QT.xlsx row 114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2" authorId="2" shapeId="0" xr:uid="{1E115DA0-FB73-42F8-B375-A8009BBCAF36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2" authorId="2" shapeId="0" xr:uid="{A0A66396-11A9-4AAF-8801-1DB76E7FE6DC}">
      <text>
        <r>
          <rPr>
            <b/>
            <sz val="9"/>
            <color indexed="81"/>
            <rFont val="Tahoma"/>
            <charset val="1"/>
          </rPr>
          <t>Copied from 42CrMo4_QT.xlsx row 115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3" authorId="2" shapeId="0" xr:uid="{B410F05C-EC18-4D9A-B4EC-C731FEF91229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3" authorId="2" shapeId="0" xr:uid="{52331BD2-586D-4021-9D28-F519E73B4195}">
      <text>
        <r>
          <rPr>
            <b/>
            <sz val="9"/>
            <color indexed="81"/>
            <rFont val="Tahoma"/>
            <charset val="1"/>
          </rPr>
          <t>Copied from 42CrMo4_QT.xlsx row 116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4" authorId="2" shapeId="0" xr:uid="{CF783561-EC20-49A8-9D99-D2848DAA3F38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4" authorId="2" shapeId="0" xr:uid="{3128AFA9-0569-4324-824F-1EF7578760DF}">
      <text>
        <r>
          <rPr>
            <b/>
            <sz val="9"/>
            <color indexed="81"/>
            <rFont val="Tahoma"/>
            <charset val="1"/>
          </rPr>
          <t>Copied from 42CrMo4_QT.xlsx row 117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25" authorId="2" shapeId="0" xr:uid="{BEA1C5F8-608D-4009-AF16-941A760ED19C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5" authorId="2" shapeId="0" xr:uid="{AFC54410-F1E8-4E65-AE97-D8588A998C69}">
      <text>
        <r>
          <rPr>
            <b/>
            <sz val="9"/>
            <color indexed="81"/>
            <rFont val="Tahoma"/>
            <charset val="1"/>
          </rPr>
          <t>Copied from 42CrMo4_QT.xlsx row 118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6" authorId="2" shapeId="0" xr:uid="{A1352D3F-B492-44D3-8212-7984F61835BC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6" authorId="2" shapeId="0" xr:uid="{555AB42E-6B8D-4E74-A26E-E5639ED4BC46}">
      <text>
        <r>
          <rPr>
            <b/>
            <sz val="9"/>
            <color indexed="81"/>
            <rFont val="Tahoma"/>
            <charset val="1"/>
          </rPr>
          <t>Copied from 42CrMo4_QT.xlsx row 119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7" authorId="2" shapeId="0" xr:uid="{B43ED031-C4D0-4E21-BB5B-1AEE42C2E73E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7" authorId="2" shapeId="0" xr:uid="{3997C336-5EE3-4B54-8C9A-D3E94259D984}">
      <text>
        <r>
          <rPr>
            <b/>
            <sz val="9"/>
            <color indexed="81"/>
            <rFont val="Tahoma"/>
            <charset val="1"/>
          </rPr>
          <t>Copied from 42CrMo4_QT.xlsx row 120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8" authorId="2" shapeId="0" xr:uid="{90BCD0CE-ECB7-48C1-92F2-E17882007944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8" authorId="2" shapeId="0" xr:uid="{EA883300-5D37-4AED-9D08-6D625011C598}">
      <text>
        <r>
          <rPr>
            <b/>
            <sz val="9"/>
            <color indexed="81"/>
            <rFont val="Tahoma"/>
            <charset val="1"/>
          </rPr>
          <t>Copied from 42CrMo4_QT.xlsx row 121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9" authorId="2" shapeId="0" xr:uid="{727DE28B-53E8-4F67-B27C-D32032D924F4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29" authorId="2" shapeId="0" xr:uid="{F0AE12A3-FD31-4286-B560-A847FFD29C3C}">
      <text>
        <r>
          <rPr>
            <b/>
            <sz val="9"/>
            <color indexed="81"/>
            <rFont val="Tahoma"/>
            <charset val="1"/>
          </rPr>
          <t>Copied from 42CrMo4_QT.xlsx row 122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0" authorId="2" shapeId="0" xr:uid="{7C3F57B0-3525-4A26-B452-8F873FBC8D1E}">
      <text>
        <r>
          <rPr>
            <b/>
            <sz val="9"/>
            <color indexed="81"/>
            <rFont val="Tahoma"/>
            <charset val="1"/>
          </rPr>
          <t>Year corrected 2013 -&gt; 2014 to match the Summary sheet (2014) for this DOI. See PROVENANCE.md.</t>
        </r>
      </text>
    </comment>
    <comment ref="D30" authorId="2" shapeId="0" xr:uid="{1E88831C-9ADA-4D86-9820-1A743D12D99E}">
      <text>
        <r>
          <rPr>
            <b/>
            <sz val="9"/>
            <color indexed="81"/>
            <rFont val="Tahoma"/>
            <charset val="1"/>
          </rPr>
          <t>Copied from 42CrMo4_QT.xlsx row 123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</commentList>
</comments>
</file>

<file path=xl/sharedStrings.xml><?xml version="1.0" encoding="utf-8"?>
<sst xmlns="http://schemas.openxmlformats.org/spreadsheetml/2006/main" count="491" uniqueCount="102">
  <si>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</si>
  <si>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</si>
  <si>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</si>
  <si>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</si>
  <si>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</si>
  <si>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</si>
  <si>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</si>
  <si>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</si>
  <si>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</si>
  <si>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</si>
  <si>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</si>
  <si>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</si>
  <si>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</si>
  <si>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</si>
  <si>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</si>
  <si>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</si>
  <si>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</si>
  <si>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</si>
  <si>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</si>
  <si>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</si>
  <si>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</si>
  <si>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</si>
  <si>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</si>
  <si>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</si>
  <si>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</si>
  <si>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</si>
  <si>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</si>
  <si>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</si>
  <si>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</si>
  <si>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</si>
  <si>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</si>
  <si>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</si>
  <si>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</si>
  <si>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</si>
  <si>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</si>
  <si>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</si>
  <si>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</si>
  <si>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</si>
  <si>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</si>
  <si>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</si>
  <si>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</si>
  <si>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</si>
  <si>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</si>
  <si>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</si>
  <si>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</si>
  <si>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</si>
  <si>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</si>
  <si>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</si>
  <si>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</si>
  <si>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</si>
  <si>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</si>
  <si>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</si>
  <si>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</si>
  <si>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</si>
  <si>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</si>
  <si>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</si>
  <si>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</si>
  <si>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</si>
  <si>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</si>
  <si>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</si>
  <si>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</si>
  <si>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</si>
  <si>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</si>
  <si>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</si>
  <si>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complete rupture</t>
  </si>
  <si>
    <t>Anes et al.</t>
  </si>
  <si>
    <t>10.1111/ffe.12192</t>
  </si>
  <si>
    <t>Plain_multiaxial_1</t>
  </si>
  <si>
    <t>Plain_multiaxial_2</t>
  </si>
  <si>
    <t>Plain_multiaxial_3</t>
  </si>
  <si>
    <t>Plain_multiaxial_4</t>
  </si>
  <si>
    <t>Plain_multiaxial_5</t>
  </si>
  <si>
    <t>Plain_multiaxial_6</t>
  </si>
  <si>
    <t>Plain_multiaxial_7</t>
  </si>
  <si>
    <t>Plain_multiaxial_8</t>
  </si>
  <si>
    <t>Plain_multiaxial_9</t>
  </si>
  <si>
    <t>Plain_multiaxial_10</t>
  </si>
  <si>
    <t>Plain_multiaxial_11</t>
  </si>
  <si>
    <t>Plain_multiaxial_12</t>
  </si>
  <si>
    <t>Plain_multiaxial_13</t>
  </si>
  <si>
    <t>Plain_multiaxial_14</t>
  </si>
  <si>
    <t>Plain_multiaxial_15</t>
  </si>
  <si>
    <t>Plain_multiaxial_16</t>
  </si>
  <si>
    <t>10.1016/j.ijfatigue.2013.03.014</t>
  </si>
  <si>
    <t>Plain_multiaxial_17</t>
  </si>
  <si>
    <t>Plain_multiaxial_18</t>
  </si>
  <si>
    <t>Plain_multiaxial_19</t>
  </si>
  <si>
    <t>Plain_multiaxial_20</t>
  </si>
  <si>
    <t>Plain_multiaxial_21</t>
  </si>
  <si>
    <t>Plain_multiaxial_22</t>
  </si>
  <si>
    <t>Plain_multiaxial_23</t>
  </si>
  <si>
    <t>Plain_multiaxial_24</t>
  </si>
  <si>
    <t>Plain_multiaxial_25</t>
  </si>
  <si>
    <t>Plain_multiaxial_26</t>
  </si>
  <si>
    <t>Plain_multiaxial_27</t>
  </si>
  <si>
    <t>Plain_multiaxial_28</t>
  </si>
  <si>
    <t>Plain_multiaxial_29</t>
  </si>
  <si>
    <t>sigma_f (MPa)</t>
  </si>
  <si>
    <t>b_fat (-)</t>
  </si>
  <si>
    <t>epsilon_f (-)</t>
  </si>
  <si>
    <t>c_fat (-)</t>
  </si>
  <si>
    <t>42CrMo4_Reis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</si>
</sst>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" fontId="8" fillId="13" borderId="0" xfId="0" applyNumberFormat="1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9" borderId="0" xfId="0" applyNumberForma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2" fontId="0" fillId="9" borderId="0" xfId="0" applyNumberFormat="1" applyFill="1" applyAlignment="1">
      <alignment horizontal="center" vertical="center" wrapText="1"/>
    </xf>
    <xf numFmtId="164" fontId="7" fillId="12" borderId="1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6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Dataset!$E$2:$E$30</c:f>
              <c:numCache>
                <c:formatCode>0.00</c:formatCode>
                <c:ptCount val="29"/>
                <c:pt idx="0" formatCode="General">
                  <c:v>1000000</c:v>
                </c:pt>
                <c:pt idx="1">
                  <c:v>564088</c:v>
                </c:pt>
                <c:pt idx="2">
                  <c:v>311401</c:v>
                </c:pt>
                <c:pt idx="3">
                  <c:v>239600</c:v>
                </c:pt>
                <c:pt idx="4">
                  <c:v>109087</c:v>
                </c:pt>
                <c:pt idx="5">
                  <c:v>97366</c:v>
                </c:pt>
                <c:pt idx="6">
                  <c:v>48740</c:v>
                </c:pt>
                <c:pt idx="7">
                  <c:v>27204</c:v>
                </c:pt>
                <c:pt idx="8">
                  <c:v>4114</c:v>
                </c:pt>
                <c:pt idx="9">
                  <c:v>1000000</c:v>
                </c:pt>
                <c:pt idx="10">
                  <c:v>618128</c:v>
                </c:pt>
                <c:pt idx="11">
                  <c:v>316712</c:v>
                </c:pt>
                <c:pt idx="12">
                  <c:v>197548</c:v>
                </c:pt>
                <c:pt idx="13">
                  <c:v>107374</c:v>
                </c:pt>
                <c:pt idx="14">
                  <c:v>97548</c:v>
                </c:pt>
                <c:pt idx="15">
                  <c:v>56411</c:v>
                </c:pt>
                <c:pt idx="16">
                  <c:v>6040</c:v>
                </c:pt>
                <c:pt idx="17">
                  <c:v>19951</c:v>
                </c:pt>
                <c:pt idx="18">
                  <c:v>53752</c:v>
                </c:pt>
                <c:pt idx="19">
                  <c:v>56929</c:v>
                </c:pt>
                <c:pt idx="20">
                  <c:v>247953</c:v>
                </c:pt>
                <c:pt idx="21">
                  <c:v>269178</c:v>
                </c:pt>
                <c:pt idx="22">
                  <c:v>1000000</c:v>
                </c:pt>
                <c:pt idx="23">
                  <c:v>2088</c:v>
                </c:pt>
                <c:pt idx="24">
                  <c:v>11302</c:v>
                </c:pt>
                <c:pt idx="25">
                  <c:v>70610</c:v>
                </c:pt>
                <c:pt idx="26">
                  <c:v>159854</c:v>
                </c:pt>
                <c:pt idx="27">
                  <c:v>315668</c:v>
                </c:pt>
                <c:pt idx="28">
                  <c:v>1000000</c:v>
                </c:pt>
              </c:numCache>
            </c:numRef>
          </c:xVal>
          <c:yVal>
            <c:numRef>
              <c:f>Dataset!$AQ$2:$AQ$30</c:f>
              <c:numCache>
                <c:formatCode>0.00</c:formatCode>
                <c:ptCount val="29"/>
                <c:pt idx="0">
                  <c:v>601.07277429609132</c:v>
                </c:pt>
                <c:pt idx="1">
                  <c:v>615.12488975816939</c:v>
                </c:pt>
                <c:pt idx="2">
                  <c:v>622.21218245868511</c:v>
                </c:pt>
                <c:pt idx="3">
                  <c:v>629.29947560759967</c:v>
                </c:pt>
                <c:pt idx="4">
                  <c:v>657.64865239731159</c:v>
                </c:pt>
                <c:pt idx="5">
                  <c:v>664.73594757617855</c:v>
                </c:pt>
                <c:pt idx="6">
                  <c:v>700.04994107563493</c:v>
                </c:pt>
                <c:pt idx="7">
                  <c:v>735.36393710869447</c:v>
                </c:pt>
                <c:pt idx="8">
                  <c:v>862.69028045991104</c:v>
                </c:pt>
                <c:pt idx="9">
                  <c:v>636.38676918993212</c:v>
                </c:pt>
                <c:pt idx="10">
                  <c:v>657.64865239731159</c:v>
                </c:pt>
                <c:pt idx="11">
                  <c:v>671.70076671089191</c:v>
                </c:pt>
                <c:pt idx="12">
                  <c:v>685.87535310725377</c:v>
                </c:pt>
                <c:pt idx="13">
                  <c:v>692.96264690097109</c:v>
                </c:pt>
                <c:pt idx="14">
                  <c:v>700.04994107563493</c:v>
                </c:pt>
                <c:pt idx="15">
                  <c:v>721.18935100291094</c:v>
                </c:pt>
                <c:pt idx="16">
                  <c:v>700</c:v>
                </c:pt>
                <c:pt idx="17">
                  <c:v>600</c:v>
                </c:pt>
                <c:pt idx="18">
                  <c:v>560</c:v>
                </c:pt>
                <c:pt idx="19">
                  <c:v>550</c:v>
                </c:pt>
                <c:pt idx="20">
                  <c:v>495</c:v>
                </c:pt>
                <c:pt idx="21">
                  <c:v>485</c:v>
                </c:pt>
                <c:pt idx="22">
                  <c:v>480</c:v>
                </c:pt>
                <c:pt idx="23">
                  <c:v>945.69974093260703</c:v>
                </c:pt>
                <c:pt idx="24">
                  <c:v>838.3125908633366</c:v>
                </c:pt>
                <c:pt idx="25">
                  <c:v>762.10235533030595</c:v>
                </c:pt>
                <c:pt idx="26">
                  <c:v>696.28442464268869</c:v>
                </c:pt>
                <c:pt idx="27">
                  <c:v>684.16006898970659</c:v>
                </c:pt>
                <c:pt idx="28">
                  <c:v>677.231865759431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Q5" totalsRowShown="0" headerRowDxfId="18" dataDxfId="17">
  <autoFilter ref="A1:Q5" xr:uid="{7EB9CA7B-F9F7-4B65-BAF9-0554C4DD3A3C}"/>
  <tableColumns count="17">
    <tableColumn id="1" xr3:uid="{8E3D1E9D-FBEE-441F-8710-5037CD4F23F4}" name="Article DOI / Reference" dataDxfId="16"/>
    <tableColumn id="11" xr3:uid="{DB748F3A-E0FD-40A7-AD76-C03A14000D6D}" name="Authors" dataDxfId="15"/>
    <tableColumn id="8" xr3:uid="{5AA73CAD-51B7-41DD-94EB-F60F774B9687}" name="Article year" dataDxfId="14"/>
    <tableColumn id="2" xr3:uid="{06FA6682-59D0-409F-9A0C-E6CD1808F355}" name="Material name" dataDxfId="13"/>
    <tableColumn id="3" xr3:uid="{576FC30A-97BD-425F-92F2-9A2823474F7C}" name="Young's modulus (MPa)" dataDxfId="12"/>
    <tableColumn id="4" xr3:uid="{63CF6BC0-ABE3-408E-84A9-EDA0B421D7E2}" name="Poisson's ratio (-)" dataDxfId="11"/>
    <tableColumn id="5" xr3:uid="{BF08D467-4D62-4CAB-A94F-0030F94E8A2E}" name="Tensile strength (MPa)" dataDxfId="10"/>
    <tableColumn id="6" xr3:uid="{CDCD2563-ECD7-4843-B859-5F7762FE830B}" name="Yield strength (MPa)" dataDxfId="9"/>
    <tableColumn id="7" xr3:uid="{7991DD6F-6040-4C6F-AEB4-2211698F999C}" name="Tensile fatigue limit (MPa)" dataDxfId="8"/>
    <tableColumn id="9" xr3:uid="{C339353B-B530-41A6-97D0-BD9E3EFB3E1B}" name="Torsional fatigue limit (MPa)" dataDxfId="7">
      <calculatedColumnFormula>845/2</calculatedColumnFormula>
    </tableColumn>
    <tableColumn id="13" xr3:uid="{61EEDB63-8EB1-4E68-8C73-6F3D35C9EEF7}" name="Number of Cycles (cycles)" dataDxfId="6"/>
    <tableColumn id="12" xr3:uid="{5EB3D6EA-60A8-471D-AB0E-73C0B9E22DD2}" name="Stress ratio R" dataDxfId="5"/>
    <tableColumn id="10" xr3:uid="{EC242BA9-DE01-42A2-8C6C-75459CDE529E}" name="K" dataDxfId="4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  <tableColumn id="14" xr3:uid="{A5A0AF69-BCBF-447A-8558-1D76CCA5DB1B}" name="sigma_f (MPa)" dataDxfId="3"/>
    <tableColumn id="15" xr3:uid="{11455E2A-EF00-42E9-9474-0F9615DF5F1A}" name="b_fat (-)" dataDxfId="2"/>
    <tableColumn id="16" xr3:uid="{337FA71C-D295-4875-BEB1-A63FBEAE9F24}" name="epsilon_f (-)" dataDxfId="1"/>
    <tableColumn id="17" xr3:uid="{0D47F1BE-D8EA-47F2-8857-49B093B5B1F8}" name="c_fat (-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30" totalsRowShown="0" headerRowDxfId="63" dataDxfId="62">
  <autoFilter ref="A1:AQ30" xr:uid="{86243907-AA5D-4F4D-8699-490D77B21127}"/>
  <tableColumns count="43">
    <tableColumn id="31" xr3:uid="{05937513-BC98-44D1-A5DC-F19589B15DDF}" name="Authors" dataDxfId="61"/>
    <tableColumn id="32" xr3:uid="{DCBCBA66-A67E-429B-A752-67A81643133E}" name="Article year" dataDxfId="60"/>
    <tableColumn id="1" xr3:uid="{D75788C8-C867-4D50-A818-DADFA5044830}" name="Article DOI / Reference" dataDxfId="59"/>
    <tableColumn id="30" xr3:uid="{FA5CACDD-A594-4207-9BA7-C7F165153D5B}" name="Specimen name" dataDxfId="58"/>
    <tableColumn id="2" xr3:uid="{19DD8629-B305-4804-A689-1057FBADF71C}" name="Number of cycles to failure" dataDxfId="57"/>
    <tableColumn id="4" xr3:uid="{27575528-FAA3-4B4C-8860-7A7CFCB79DBE}" name="Run out (Yes/No)" dataDxfId="56"/>
    <tableColumn id="3" xr3:uid="{0CF78E1F-0EC3-474A-B3FD-519C01702157}" name="Failure type (complete rupture/stiffness decrease)" dataDxfId="55"/>
    <tableColumn id="26" xr3:uid="{05D9D755-9B11-40C9-8DCB-B9E39E20FA04}" name="Geometry picture" dataDxfId="54"/>
    <tableColumn id="33" xr3:uid="{936299CD-E030-4427-B1AB-D5CB204A04BE}" name="Geometry type (flat/cylindrical/hollow cylinder)" dataDxfId="53"/>
    <tableColumn id="34" xr3:uid="{09266E8F-9B14-40D4-88AB-80CC92F93BA2}" name="Notched" dataDxfId="52"/>
    <tableColumn id="39" xr3:uid="{108E1228-D670-44CE-87DA-2A1B0D22E417}" name="A (mm)" dataDxfId="51"/>
    <tableColumn id="38" xr3:uid="{D6414C63-3F42-4BCA-BB3F-506FCA7B7866}" name="B (mm)" dataDxfId="50"/>
    <tableColumn id="37" xr3:uid="{8138AA3A-CE2D-441D-907D-E35AD875EC90}" name="Hole diameter (mm)" dataDxfId="49"/>
    <tableColumn id="27" xr3:uid="{D5A8CCC0-542A-450B-8F88-B47472F29E40}" name="Diameter (mm)" dataDxfId="48"/>
    <tableColumn id="28" xr3:uid="{36725B61-E4CB-4B7E-AF40-7F3BC6BE6CB3}" name="Area (mm^2)" dataDxfId="47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6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5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4"/>
    <tableColumn id="40" xr3:uid="{FF54B50E-D6C4-4EF8-BED6-8558889E32B3}" name="Phase AXIAL load (°)" dataDxfId="43"/>
    <tableColumn id="22" xr3:uid="{9A8358C3-645B-4F7B-A800-BF2013564F31}" name="Phase TORSIONAL load (°)" dataDxfId="42"/>
    <tableColumn id="43" xr3:uid="{32E76D00-2B52-4D17-881F-6CB825346CD9}" name="Freq RADIAL load [Hz]" dataDxfId="41"/>
    <tableColumn id="42" xr3:uid="{A0DFAB77-F821-4A7F-A0A1-75075998D45D}" name="Freq AXIAL load[Hz]" dataDxfId="40"/>
    <tableColumn id="41" xr3:uid="{DEC77E42-D985-463A-B500-A8E16CF67856}" name="Freq TORSIONAL load [Hz]" dataDxfId="39"/>
    <tableColumn id="23" xr3:uid="{9724DA05-688A-43E5-9AAC-5035994CD3C7}" name="Load ratio (RADIAL)" dataDxfId="38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7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6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5"/>
    <tableColumn id="6" xr3:uid="{CFA41242-20EF-4D5D-9025-FC3F232CBE04}" name="Amplitute RADIAL stress  (MPa)" dataDxfId="34"/>
    <tableColumn id="16" xr3:uid="{F37D511D-F078-4171-84FD-3AE13D4078DC}" name="Mean AXIAL stress  (MPa)" dataDxfId="33"/>
    <tableColumn id="8" xr3:uid="{933ACC34-FA80-47BE-87CF-5D7D742564A2}" name="Amplitute AXIAL stress  (MPa)" dataDxfId="32"/>
    <tableColumn id="44" xr3:uid="{460C3648-EA91-4BC9-8C0D-58B3E19E1ED3}" name="derived from (AXIAL/BENDING) load" dataDxfId="31"/>
    <tableColumn id="19" xr3:uid="{06584471-CEAD-405D-A12E-5A2E79E8CA33}" name="Mean SHEAR stress  (MPa)" dataDxfId="30"/>
    <tableColumn id="10" xr3:uid="{2FCDB52E-3BD8-4D04-8689-303C003D64AE}" name="Amplitute SHEAR stress  (MPa)" dataDxfId="29"/>
    <tableColumn id="36" xr3:uid="{EF2440ED-01F8-493F-BD7F-BDBCFC67F43F}" name="Mean internal PRESSURE  (MPa)" dataDxfId="28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7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6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5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4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23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22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1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20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9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opLeftCell="A12" zoomScaleNormal="100" workbookViewId="0">
      <selection activeCell="E21" sqref="E21"/>
    </sheetView>
  </sheetViews>
  <sheetFormatPr defaultRowHeight="14.4" x14ac:dyDescent="0.3"/>
  <cols>
    <col min="1" max="1" width="29.109375" bestFit="1" customWidth="1"/>
    <col min="2" max="2" width="68.44140625" customWidth="1"/>
    <col min="3" max="3" width="42.33203125" bestFit="1" customWidth="1"/>
    <col min="4" max="4" width="31.6640625" customWidth="1"/>
    <col min="5" max="5" width="41.88671875" customWidth="1"/>
    <col min="6" max="6" width="31.109375" customWidth="1"/>
    <col min="7" max="7" width="35" customWidth="1"/>
    <col min="8" max="8" width="33.109375" customWidth="1"/>
    <col min="9" max="9" width="38" customWidth="1"/>
    <col min="10" max="10" width="40.88671875" customWidth="1"/>
    <col min="11" max="11" width="41.109375" customWidth="1"/>
    <col min="12" max="12" width="30.6640625" customWidth="1"/>
    <col min="13" max="13" width="9.5546875" bestFit="1" customWidth="1"/>
  </cols>
  <sheetData>
    <row r="1" spans="1:17" ht="20.100000000000001" customHeight="1" x14ac:dyDescent="0.3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  <c r="N1" s="1" t="s">
        <v>97</v>
      </c>
      <c r="O1" s="1" t="s">
        <v>98</v>
      </c>
      <c r="P1" s="1" t="s">
        <v>99</v>
      </c>
      <c r="Q1" s="1" t="s">
        <v>100</v>
      </c>
    </row>
    <row r="2" spans="1:17" ht="20.100000000000001" customHeight="1" x14ac:dyDescent="0.3">
      <c r="A2" s="1" t="s">
        <v>83</v>
      </c>
      <c r="B2" s="1" t="s">
        <v>65</v>
      </c>
      <c r="C2" s="1">
        <v>2014</v>
      </c>
      <c r="D2" s="1" t="s">
        <v>101</v>
      </c>
      <c r="E2" s="1">
        <v>206000</v>
      </c>
      <c r="F2" s="1">
        <v>0.3</v>
      </c>
      <c r="G2" s="1">
        <v>1100</v>
      </c>
      <c r="H2" s="1">
        <v>980</v>
      </c>
      <c r="I2" s="1" t="s">
        <v>21</v>
      </c>
      <c r="J2" s="1" t="s">
        <v>21</v>
      </c>
      <c r="K2" s="10" t="s">
        <v>21</v>
      </c>
      <c r="L2" s="1" t="s">
        <v>21</v>
      </c>
      <c r="M2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  <c r="N2" s="1">
        <v>1154</v>
      </c>
      <c r="O2" s="1">
        <v>-6.0999999999999999E-2</v>
      </c>
      <c r="P2" s="1">
        <v>0.18</v>
      </c>
      <c r="Q2" s="1">
        <v>-0.53</v>
      </c>
    </row>
    <row r="3" spans="1:17" ht="20.100000000000001" customHeight="1" x14ac:dyDescent="0.3">
      <c r="A3" s="1" t="s">
        <v>66</v>
      </c>
      <c r="B3" s="1" t="s">
        <v>65</v>
      </c>
      <c r="C3" s="1">
        <v>2014</v>
      </c>
      <c r="D3" s="1" t="s">
        <v>101</v>
      </c>
      <c r="E3" s="1">
        <v>206000</v>
      </c>
      <c r="F3" s="1" t="s">
        <v>21</v>
      </c>
      <c r="G3" s="1">
        <v>1100</v>
      </c>
      <c r="H3" s="1">
        <v>980</v>
      </c>
      <c r="I3" s="1" t="s">
        <v>21</v>
      </c>
      <c r="J3" s="1" t="s">
        <v>21</v>
      </c>
      <c r="K3" s="10" t="s">
        <v>21</v>
      </c>
      <c r="L3" s="18" t="s">
        <v>21</v>
      </c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  <c r="N3" s="1" t="s">
        <v>21</v>
      </c>
      <c r="O3" s="1" t="s">
        <v>21</v>
      </c>
      <c r="P3" s="1" t="s">
        <v>21</v>
      </c>
      <c r="Q3" s="1" t="s">
        <v>21</v>
      </c>
    </row>
    <row r="4" spans="1:17" ht="20.100000000000001" customHeight="1" x14ac:dyDescent="0.3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  <c r="N4" s="1"/>
      <c r="O4" s="1"/>
      <c r="P4" s="1"/>
      <c r="Q4" s="1"/>
    </row>
    <row r="5" spans="1:17" ht="20.100000000000001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  <c r="N5" s="1"/>
      <c r="O5" s="1"/>
      <c r="P5" s="1"/>
      <c r="Q5" s="1"/>
    </row>
    <row r="6" spans="1:17" ht="20.100000000000001" customHeight="1" x14ac:dyDescent="0.3">
      <c r="A6" s="43" t="s">
        <v>24</v>
      </c>
      <c r="B6" s="44"/>
      <c r="C6" s="44"/>
      <c r="D6" s="45"/>
      <c r="E6" s="3">
        <f>IF(COUNT(Tabella1[Young''s modulus (MPa)])=0, "Null", AVERAGE(Tabella1[Young''s modulus (MPa)]))</f>
        <v>206000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1100</v>
      </c>
      <c r="H6" s="3">
        <f>IF(COUNT(Tabella1[Yield strength (MPa)])=0, "Null", AVERAGE(Tabella1[Yield strength (MPa)]))</f>
        <v>980</v>
      </c>
      <c r="I6" s="3" t="str">
        <f>IF(COUNT(Tabella1[Tensile fatigue limit (MPa)])=0, "Null", AVERAGE(Tabella1[Tensile fatigue limit (MPa)]))</f>
        <v>Null</v>
      </c>
      <c r="J6" s="3" t="str">
        <f>IF(COUNT(Tabella1[Torsional fatigue limit (MPa)])=0, "Null", AVERAGE(Tabella1[Torsional fatigue limit (MPa)]))</f>
        <v>Null</v>
      </c>
      <c r="K6" s="11"/>
      <c r="L6" s="9"/>
      <c r="M6" s="15" t="str">
        <f>IF(COUNT(Tabella1[K])=0, "Null", AVERAGE(Tabella1[K]))</f>
        <v>Null</v>
      </c>
      <c r="N6">
        <f>IF(COUNT(Tabella1[sigma_f (MPa)])=0, "Null", AVERAGE(Tabella1[sigma_f (MPa)]))</f>
        <v>1154</v>
      </c>
      <c r="O6">
        <f>IF(COUNT(Tabella1[b_fat (-)])=0, "Null", AVERAGE(Tabella1[b_fat (-)]))</f>
        <v>-6.0999999999999999E-2</v>
      </c>
      <c r="P6">
        <f>IF(COUNT(Tabella1[epsilon_f (-)])=0, "Null", AVERAGE(Tabella1[epsilon_f (-)]))</f>
        <v>0.18</v>
      </c>
      <c r="Q6">
        <f>IF(COUNT(Tabella1[c_fat (-)])=0, "Null", AVERAGE(Tabella1[c_fat (-)]))</f>
        <v>-0.53</v>
      </c>
    </row>
    <row r="7" spans="1:17" ht="20.100000000000001" customHeight="1" thickBot="1" x14ac:dyDescent="0.35">
      <c r="A7" s="46" t="s">
        <v>23</v>
      </c>
      <c r="B7" s="47"/>
      <c r="C7" s="47"/>
      <c r="D7" s="48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 t="str">
        <f>IF(COUNT(Tabella1[Tensile fatigue limit (MPa)])=0, "Null", _xlfn.STDEV.P(Tabella1[Tensile fatigue limit (MPa)]))</f>
        <v>Null</v>
      </c>
      <c r="J7" s="4" t="str">
        <f>IF(COUNT(Tabella1[Torsional fatigue limit (MPa)])=0, "Null", _xlfn.STDEV.P(Tabella1[Torsional fatigue limit (MPa)]))</f>
        <v>Null</v>
      </c>
      <c r="K7" s="12"/>
      <c r="L7" s="4"/>
      <c r="M7" s="16" t="str">
        <f>IF(COUNT(Tabella1[K])=0, "Null", _xlfn.STDEV.P(Tabella1[K]))</f>
        <v>Null</v>
      </c>
      <c r="N7">
        <f>IF(COUNT(Tabella1[sigma_f (MPa)])=0, "Null", _xlfn.STDEV.P(Tabella1[sigma_f (MPa)]))</f>
        <v>0</v>
      </c>
      <c r="O7">
        <f>IF(COUNT(Tabella1[b_fat (-)])=0, "Null", _xlfn.STDEV.P(Tabella1[b_fat (-)]))</f>
        <v>0</v>
      </c>
      <c r="P7">
        <f>IF(COUNT(Tabella1[epsilon_f (-)])=0, "Null", _xlfn.STDEV.P(Tabella1[epsilon_f (-)]))</f>
        <v>0</v>
      </c>
      <c r="Q7">
        <f>IF(COUNT(Tabella1[c_fat (-)])=0, "Null", _xlfn.STDEV.P(Tabella1[c_fat (-)]))</f>
        <v>0</v>
      </c>
    </row>
    <row r="8" spans="1:17" ht="20.100000000000001" customHeight="1" x14ac:dyDescent="0.3"/>
    <row r="9" spans="1:17" ht="20.100000000000001" customHeight="1" x14ac:dyDescent="0.3"/>
    <row r="10" spans="1:17" ht="20.100000000000001" customHeight="1" x14ac:dyDescent="0.3"/>
    <row r="11" spans="1:17" ht="20.100000000000001" customHeight="1" x14ac:dyDescent="0.3"/>
    <row r="12" spans="1:17" ht="20.100000000000001" customHeight="1" thickBot="1" x14ac:dyDescent="0.35"/>
    <row r="13" spans="1:17" ht="20.100000000000001" customHeight="1" x14ac:dyDescent="0.3">
      <c r="A13" s="49" t="s">
        <v>29</v>
      </c>
      <c r="B13" s="5" t="s">
        <v>30</v>
      </c>
    </row>
    <row r="14" spans="1:17" ht="20.100000000000001" customHeight="1" thickBot="1" x14ac:dyDescent="0.35">
      <c r="A14" s="50"/>
      <c r="B14" s="6" t="s">
        <v>31</v>
      </c>
    </row>
    <row r="27" spans="4:4" x14ac:dyDescent="0.3">
      <c r="D27" s="7" t="s">
        <v>34</v>
      </c>
    </row>
    <row r="28" spans="4:4" x14ac:dyDescent="0.3">
      <c r="D28" s="8">
        <f>COUNTA(Tabella2[Authors])</f>
        <v>29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28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AC107" sqref="AC107"/>
    </sheetView>
  </sheetViews>
  <sheetFormatPr defaultColWidth="52.6640625" defaultRowHeight="20.100000000000001" customHeight="1" x14ac:dyDescent="0.3"/>
  <cols>
    <col min="1" max="1" width="32.44140625" style="1" customWidth="1"/>
    <col min="2" max="2" width="25.5546875" style="1" customWidth="1"/>
    <col min="3" max="3" width="40.44140625" style="1" customWidth="1"/>
    <col min="4" max="4" width="54" style="1" customWidth="1"/>
    <col min="5" max="5" width="32.88671875" style="14" customWidth="1"/>
    <col min="6" max="6" width="24.5546875" style="1" customWidth="1"/>
    <col min="7" max="7" width="49.109375" style="1" customWidth="1"/>
    <col min="8" max="8" width="28.6640625" style="1" customWidth="1"/>
    <col min="9" max="9" width="63.5546875" style="1" customWidth="1"/>
    <col min="10" max="10" width="31.33203125" style="1" customWidth="1"/>
    <col min="11" max="11" width="26.5546875" style="1" customWidth="1"/>
    <col min="12" max="12" width="28" style="1" customWidth="1"/>
    <col min="13" max="13" width="35" style="1" customWidth="1"/>
    <col min="14" max="14" width="31.88671875" style="1" customWidth="1"/>
    <col min="15" max="15" width="35" style="1" customWidth="1"/>
    <col min="16" max="16" width="49.44140625" style="1" customWidth="1"/>
    <col min="17" max="17" width="53.109375" style="1" customWidth="1"/>
    <col min="18" max="18" width="42.109375" style="1" customWidth="1"/>
    <col min="19" max="19" width="33.5546875" style="1" customWidth="1"/>
    <col min="20" max="20" width="38.44140625" style="1" customWidth="1"/>
    <col min="21" max="21" width="37.109375" style="20" customWidth="1"/>
    <col min="22" max="22" width="40.6640625" style="21" customWidth="1"/>
    <col min="23" max="23" width="40" style="21" customWidth="1"/>
    <col min="24" max="24" width="35.109375" style="1" customWidth="1"/>
    <col min="25" max="25" width="34.33203125" style="1" customWidth="1"/>
    <col min="26" max="26" width="41.44140625" style="1" customWidth="1"/>
    <col min="27" max="27" width="28.6640625" style="18" customWidth="1"/>
    <col min="28" max="28" width="29.5546875" style="18" customWidth="1"/>
    <col min="29" max="29" width="27.44140625" style="18" customWidth="1"/>
    <col min="30" max="30" width="30.109375" style="14" customWidth="1"/>
    <col min="31" max="31" width="30.88671875" style="21" customWidth="1"/>
    <col min="32" max="32" width="25" style="18" customWidth="1"/>
    <col min="33" max="33" width="30.33203125" style="1" customWidth="1"/>
    <col min="34" max="34" width="28.5546875" style="19" customWidth="1"/>
    <col min="35" max="35" width="29.33203125" style="18" customWidth="1"/>
    <col min="36" max="36" width="20.109375" style="18" customWidth="1"/>
    <col min="37" max="37" width="23.109375" style="18" customWidth="1"/>
    <col min="38" max="38" width="23.33203125" style="18" customWidth="1"/>
    <col min="39" max="39" width="25.88671875" style="18" customWidth="1"/>
    <col min="40" max="40" width="23.88671875" style="18" customWidth="1"/>
    <col min="41" max="41" width="24" style="18" customWidth="1"/>
    <col min="42" max="42" width="34" style="1" customWidth="1"/>
    <col min="43" max="43" width="52.6640625" style="14"/>
    <col min="44" max="16384" width="52.6640625" style="1"/>
  </cols>
  <sheetData>
    <row r="1" spans="1:43" s="39" customFormat="1" ht="39" customHeight="1" x14ac:dyDescent="0.3">
      <c r="A1" s="22" t="s">
        <v>26</v>
      </c>
      <c r="B1" s="22" t="s">
        <v>25</v>
      </c>
      <c r="C1" s="22" t="s">
        <v>61</v>
      </c>
      <c r="D1" s="22" t="s">
        <v>19</v>
      </c>
      <c r="E1" s="23" t="s">
        <v>5</v>
      </c>
      <c r="F1" s="22" t="s">
        <v>6</v>
      </c>
      <c r="G1" s="22" t="s">
        <v>18</v>
      </c>
      <c r="H1" s="24" t="s">
        <v>16</v>
      </c>
      <c r="I1" s="24" t="s">
        <v>44</v>
      </c>
      <c r="J1" s="24" t="s">
        <v>28</v>
      </c>
      <c r="K1" s="25" t="s">
        <v>41</v>
      </c>
      <c r="L1" s="25" t="s">
        <v>42</v>
      </c>
      <c r="M1" s="25" t="s">
        <v>43</v>
      </c>
      <c r="N1" s="24" t="s">
        <v>17</v>
      </c>
      <c r="O1" s="26" t="s">
        <v>33</v>
      </c>
      <c r="P1" s="26" t="s">
        <v>58</v>
      </c>
      <c r="Q1" s="26" t="s">
        <v>57</v>
      </c>
      <c r="R1" s="27" t="s">
        <v>45</v>
      </c>
      <c r="S1" s="27" t="s">
        <v>46</v>
      </c>
      <c r="T1" s="27" t="s">
        <v>47</v>
      </c>
      <c r="U1" s="28" t="s">
        <v>48</v>
      </c>
      <c r="V1" s="29" t="s">
        <v>49</v>
      </c>
      <c r="W1" s="29" t="s">
        <v>50</v>
      </c>
      <c r="X1" s="30" t="s">
        <v>14</v>
      </c>
      <c r="Y1" s="30" t="s">
        <v>51</v>
      </c>
      <c r="Z1" s="30" t="s">
        <v>15</v>
      </c>
      <c r="AA1" s="31" t="s">
        <v>7</v>
      </c>
      <c r="AB1" s="32" t="s">
        <v>8</v>
      </c>
      <c r="AC1" s="32" t="s">
        <v>52</v>
      </c>
      <c r="AD1" s="41" t="s">
        <v>53</v>
      </c>
      <c r="AE1" s="33" t="s">
        <v>56</v>
      </c>
      <c r="AF1" s="34" t="s">
        <v>9</v>
      </c>
      <c r="AG1" s="35" t="s">
        <v>10</v>
      </c>
      <c r="AH1" s="42" t="s">
        <v>54</v>
      </c>
      <c r="AI1" s="37" t="s">
        <v>55</v>
      </c>
      <c r="AJ1" s="36" t="s">
        <v>59</v>
      </c>
      <c r="AK1" s="37" t="s">
        <v>63</v>
      </c>
      <c r="AL1" s="36" t="s">
        <v>35</v>
      </c>
      <c r="AM1" s="37" t="s">
        <v>36</v>
      </c>
      <c r="AN1" s="36" t="s">
        <v>12</v>
      </c>
      <c r="AO1" s="37" t="s">
        <v>11</v>
      </c>
      <c r="AP1" s="24" t="s">
        <v>13</v>
      </c>
      <c r="AQ1" s="38" t="s">
        <v>62</v>
      </c>
    </row>
    <row r="2" spans="1:43" ht="20.100000000000001" customHeight="1" x14ac:dyDescent="0.3">
      <c r="A2" s="1" t="s">
        <v>65</v>
      </c>
      <c r="B2" s="1">
        <v>2014</v>
      </c>
      <c r="C2" s="1" t="s">
        <v>66</v>
      </c>
      <c r="D2" s="1" t="s">
        <v>67</v>
      </c>
      <c r="E2" s="1">
        <v>1000000</v>
      </c>
      <c r="F2" s="1" t="s">
        <v>32</v>
      </c>
      <c r="G2" s="1" t="s">
        <v>64</v>
      </c>
      <c r="H2" s="1" t="s">
        <v>21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1">
        <v>6.3</v>
      </c>
      <c r="O2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2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2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2" s="1">
        <v>0</v>
      </c>
      <c r="S2" s="1">
        <v>0</v>
      </c>
      <c r="T2" s="1">
        <v>0</v>
      </c>
      <c r="U2" s="20" t="s">
        <v>21</v>
      </c>
      <c r="V2" s="20" t="s">
        <v>21</v>
      </c>
      <c r="W2" s="20" t="s">
        <v>21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" s="18">
        <v>0</v>
      </c>
      <c r="AB2" s="18">
        <v>0</v>
      </c>
      <c r="AC2" s="18">
        <v>0</v>
      </c>
      <c r="AD2" s="14">
        <v>425</v>
      </c>
      <c r="AE2" s="21" t="s">
        <v>60</v>
      </c>
      <c r="AF2" s="18">
        <v>0</v>
      </c>
      <c r="AG2" s="18">
        <v>245.4</v>
      </c>
      <c r="AH2" s="19">
        <f>IF(ISNUMBER(Tabella2[[#This Row],[Mean RADIAL stress  (MPa)]]), Tabella2[[#This Row],[Mean RADIAL stress  (MPa)]],"")</f>
        <v>0</v>
      </c>
      <c r="AI2" s="18">
        <f>IF(ISNUMBER(Tabella2[[#This Row],[Amplitute RADIAL stress  (MPa)]]), Tabella2[[#This Row],[Amplitute RADIAL stress  (MPa)]],"")</f>
        <v>0</v>
      </c>
      <c r="AJ2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13248.292569729007</v>
      </c>
      <c r="AL2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12048.30898744261</v>
      </c>
      <c r="AP2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0.5774117647058824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601.07277429609132</v>
      </c>
    </row>
    <row r="3" spans="1:43" ht="20.100000000000001" customHeight="1" x14ac:dyDescent="0.3">
      <c r="A3" s="1" t="s">
        <v>65</v>
      </c>
      <c r="B3" s="1">
        <v>2014</v>
      </c>
      <c r="C3" s="1" t="s">
        <v>66</v>
      </c>
      <c r="D3" s="1" t="s">
        <v>68</v>
      </c>
      <c r="E3" s="14">
        <v>564088</v>
      </c>
      <c r="F3" s="1" t="s">
        <v>20</v>
      </c>
      <c r="G3" s="1" t="s">
        <v>64</v>
      </c>
      <c r="H3" s="1" t="s">
        <v>21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1">
        <v>6.3</v>
      </c>
      <c r="O3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3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3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3" s="1">
        <v>0</v>
      </c>
      <c r="S3" s="1">
        <v>0</v>
      </c>
      <c r="T3" s="1">
        <v>0</v>
      </c>
      <c r="U3" s="20" t="s">
        <v>21</v>
      </c>
      <c r="V3" s="21" t="s">
        <v>21</v>
      </c>
      <c r="W3" s="21" t="s">
        <v>21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18">
        <v>0</v>
      </c>
      <c r="AB3" s="18">
        <v>0</v>
      </c>
      <c r="AC3" s="18">
        <v>0</v>
      </c>
      <c r="AD3" s="14">
        <v>435</v>
      </c>
      <c r="AE3" s="21" t="s">
        <v>60</v>
      </c>
      <c r="AF3" s="18">
        <v>0</v>
      </c>
      <c r="AG3" s="18">
        <v>251.1</v>
      </c>
      <c r="AH3" s="19">
        <f>IF(ISNUMBER(Tabella2[[#This Row],[Mean RADIAL stress  (MPa)]]), Tabella2[[#This Row],[Mean RADIAL stress  (MPa)]],"")</f>
        <v>0</v>
      </c>
      <c r="AI3" s="18">
        <f>IF(ISNUMBER(Tabella2[[#This Row],[Amplitute RADIAL stress  (MPa)]]), Tabella2[[#This Row],[Amplitute RADIAL stress  (MPa)]],"")</f>
        <v>0</v>
      </c>
      <c r="AJ3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13560.017100781453</v>
      </c>
      <c r="AL3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12328.159685194943</v>
      </c>
      <c r="AP3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0.5772413793103448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615.12488975816939</v>
      </c>
    </row>
    <row r="4" spans="1:43" ht="20.100000000000001" customHeight="1" x14ac:dyDescent="0.3">
      <c r="A4" s="1" t="s">
        <v>65</v>
      </c>
      <c r="B4" s="1">
        <v>2014</v>
      </c>
      <c r="C4" s="1" t="s">
        <v>66</v>
      </c>
      <c r="D4" s="1" t="s">
        <v>69</v>
      </c>
      <c r="E4" s="14">
        <v>311401</v>
      </c>
      <c r="F4" s="1" t="s">
        <v>20</v>
      </c>
      <c r="G4" s="1" t="s">
        <v>64</v>
      </c>
      <c r="H4" s="1" t="s">
        <v>21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1">
        <v>6.3</v>
      </c>
      <c r="O4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4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4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4" s="1">
        <v>0</v>
      </c>
      <c r="S4" s="1">
        <v>0</v>
      </c>
      <c r="T4" s="1">
        <v>0</v>
      </c>
      <c r="U4" s="20" t="s">
        <v>21</v>
      </c>
      <c r="V4" s="21" t="s">
        <v>21</v>
      </c>
      <c r="W4" s="21" t="s">
        <v>21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18">
        <v>0</v>
      </c>
      <c r="AB4" s="18">
        <v>0</v>
      </c>
      <c r="AC4" s="18">
        <v>0</v>
      </c>
      <c r="AD4" s="14">
        <v>440</v>
      </c>
      <c r="AE4" s="21" t="s">
        <v>60</v>
      </c>
      <c r="AF4" s="18">
        <v>0</v>
      </c>
      <c r="AG4" s="18">
        <v>254</v>
      </c>
      <c r="AH4" s="19">
        <f>IF(ISNUMBER(Tabella2[[#This Row],[Mean RADIAL stress  (MPa)]]), Tabella2[[#This Row],[Mean RADIAL stress  (MPa)]],"")</f>
        <v>0</v>
      </c>
      <c r="AI4" s="18">
        <f>IF(ISNUMBER(Tabella2[[#This Row],[Amplitute RADIAL stress  (MPa)]]), Tabella2[[#This Row],[Amplitute RADIAL stress  (MPa)]],"")</f>
        <v>0</v>
      </c>
      <c r="AJ4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13715.879366307678</v>
      </c>
      <c r="AL4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12470.539864753149</v>
      </c>
      <c r="AP4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622.21218245868511</v>
      </c>
    </row>
    <row r="5" spans="1:43" ht="20.100000000000001" customHeight="1" x14ac:dyDescent="0.3">
      <c r="A5" s="1" t="s">
        <v>65</v>
      </c>
      <c r="B5" s="1">
        <v>2014</v>
      </c>
      <c r="C5" s="1" t="s">
        <v>66</v>
      </c>
      <c r="D5" s="1" t="s">
        <v>70</v>
      </c>
      <c r="E5" s="14">
        <v>239600</v>
      </c>
      <c r="F5" s="1" t="s">
        <v>20</v>
      </c>
      <c r="G5" s="1" t="s">
        <v>64</v>
      </c>
      <c r="H5" s="1" t="s">
        <v>21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1">
        <v>6.3</v>
      </c>
      <c r="O5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5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5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5" s="1">
        <v>0</v>
      </c>
      <c r="S5" s="1">
        <v>0</v>
      </c>
      <c r="T5" s="1">
        <v>0</v>
      </c>
      <c r="U5" s="20" t="s">
        <v>21</v>
      </c>
      <c r="V5" s="21" t="s">
        <v>21</v>
      </c>
      <c r="W5" s="21" t="s">
        <v>21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18">
        <v>0</v>
      </c>
      <c r="AB5" s="18">
        <v>0</v>
      </c>
      <c r="AC5" s="18">
        <v>0</v>
      </c>
      <c r="AD5" s="14">
        <v>445</v>
      </c>
      <c r="AE5" s="21" t="s">
        <v>60</v>
      </c>
      <c r="AF5" s="18">
        <v>0</v>
      </c>
      <c r="AG5" s="18">
        <v>256.89999999999998</v>
      </c>
      <c r="AH5" s="19">
        <f>IF(ISNUMBER(Tabella2[[#This Row],[Mean RADIAL stress  (MPa)]]), Tabella2[[#This Row],[Mean RADIAL stress  (MPa)]],"")</f>
        <v>0</v>
      </c>
      <c r="AI5" s="18">
        <f>IF(ISNUMBER(Tabella2[[#This Row],[Amplitute RADIAL stress  (MPa)]]), Tabella2[[#This Row],[Amplitute RADIAL stress  (MPa)]],"")</f>
        <v>0</v>
      </c>
      <c r="AJ5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13871.7416318339</v>
      </c>
      <c r="AL5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12612.920044311353</v>
      </c>
      <c r="AP5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0.57730337078651683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629.29947560759967</v>
      </c>
    </row>
    <row r="6" spans="1:43" ht="20.100000000000001" customHeight="1" x14ac:dyDescent="0.3">
      <c r="A6" s="1" t="s">
        <v>65</v>
      </c>
      <c r="B6" s="1">
        <v>2014</v>
      </c>
      <c r="C6" s="1" t="s">
        <v>66</v>
      </c>
      <c r="D6" s="1" t="s">
        <v>71</v>
      </c>
      <c r="E6" s="14">
        <v>109087</v>
      </c>
      <c r="F6" s="1" t="s">
        <v>20</v>
      </c>
      <c r="G6" s="1" t="s">
        <v>64</v>
      </c>
      <c r="H6" s="1" t="s">
        <v>21</v>
      </c>
      <c r="I6" s="1" t="s">
        <v>27</v>
      </c>
      <c r="J6" s="1" t="s">
        <v>20</v>
      </c>
      <c r="K6" s="1" t="s">
        <v>21</v>
      </c>
      <c r="L6" s="1" t="s">
        <v>21</v>
      </c>
      <c r="M6" s="1">
        <v>0</v>
      </c>
      <c r="N6" s="1">
        <v>6.3</v>
      </c>
      <c r="O6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6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6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6" s="1">
        <v>0</v>
      </c>
      <c r="S6" s="1">
        <v>0</v>
      </c>
      <c r="T6" s="1">
        <v>0</v>
      </c>
      <c r="U6" s="20" t="s">
        <v>21</v>
      </c>
      <c r="V6" s="21" t="s">
        <v>21</v>
      </c>
      <c r="W6" s="21" t="s">
        <v>21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" s="18">
        <v>0</v>
      </c>
      <c r="AB6" s="18">
        <v>0</v>
      </c>
      <c r="AC6" s="18">
        <v>0</v>
      </c>
      <c r="AD6" s="14">
        <v>465</v>
      </c>
      <c r="AE6" s="21" t="s">
        <v>60</v>
      </c>
      <c r="AF6" s="18">
        <v>0</v>
      </c>
      <c r="AG6" s="18">
        <v>268.5</v>
      </c>
      <c r="AH6" s="19">
        <f>IF(ISNUMBER(Tabella2[[#This Row],[Mean RADIAL stress  (MPa)]]), Tabella2[[#This Row],[Mean RADIAL stress  (MPa)]],"")</f>
        <v>0</v>
      </c>
      <c r="AI6" s="18">
        <f>IF(ISNUMBER(Tabella2[[#This Row],[Amplitute RADIAL stress  (MPa)]]), Tabella2[[#This Row],[Amplitute RADIAL stress  (MPa)]],"")</f>
        <v>0</v>
      </c>
      <c r="AJ6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14495.190693938795</v>
      </c>
      <c r="AL6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13182.440762544176</v>
      </c>
      <c r="AP6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</row>
    <row r="7" spans="1:43" ht="20.100000000000001" customHeight="1" x14ac:dyDescent="0.3">
      <c r="A7" s="1" t="s">
        <v>65</v>
      </c>
      <c r="B7" s="1">
        <v>2014</v>
      </c>
      <c r="C7" s="1" t="s">
        <v>66</v>
      </c>
      <c r="D7" s="1" t="s">
        <v>72</v>
      </c>
      <c r="E7" s="14">
        <v>97366</v>
      </c>
      <c r="F7" s="1" t="s">
        <v>20</v>
      </c>
      <c r="G7" s="1" t="s">
        <v>64</v>
      </c>
      <c r="H7" s="1" t="s">
        <v>21</v>
      </c>
      <c r="I7" s="1" t="s">
        <v>27</v>
      </c>
      <c r="J7" s="1" t="s">
        <v>20</v>
      </c>
      <c r="K7" s="1" t="s">
        <v>21</v>
      </c>
      <c r="L7" s="1" t="s">
        <v>21</v>
      </c>
      <c r="M7" s="1">
        <v>0</v>
      </c>
      <c r="N7" s="1">
        <v>6.3</v>
      </c>
      <c r="O7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7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7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7" s="1">
        <v>0</v>
      </c>
      <c r="S7" s="1">
        <v>0</v>
      </c>
      <c r="T7" s="1">
        <v>0</v>
      </c>
      <c r="U7" s="20" t="s">
        <v>21</v>
      </c>
      <c r="V7" s="21" t="s">
        <v>21</v>
      </c>
      <c r="W7" s="21" t="s">
        <v>21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18">
        <v>0</v>
      </c>
      <c r="AB7" s="18">
        <v>0</v>
      </c>
      <c r="AC7" s="18">
        <v>0</v>
      </c>
      <c r="AD7" s="14">
        <v>470</v>
      </c>
      <c r="AE7" s="21" t="s">
        <v>60</v>
      </c>
      <c r="AF7" s="18">
        <v>0</v>
      </c>
      <c r="AG7" s="18">
        <v>271.39999999999998</v>
      </c>
      <c r="AH7" s="19">
        <f>IF(ISNUMBER(Tabella2[[#This Row],[Mean RADIAL stress  (MPa)]]), Tabella2[[#This Row],[Mean RADIAL stress  (MPa)]],"")</f>
        <v>0</v>
      </c>
      <c r="AI7" s="18">
        <f>IF(ISNUMBER(Tabella2[[#This Row],[Amplitute RADIAL stress  (MPa)]]), Tabella2[[#This Row],[Amplitute RADIAL stress  (MPa)]],"")</f>
        <v>0</v>
      </c>
      <c r="AJ7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14651.052959465018</v>
      </c>
      <c r="AL7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13324.820942102378</v>
      </c>
      <c r="AP7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0.57744680851063823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664.73594757617855</v>
      </c>
    </row>
    <row r="8" spans="1:43" ht="20.100000000000001" customHeight="1" x14ac:dyDescent="0.3">
      <c r="A8" s="1" t="s">
        <v>65</v>
      </c>
      <c r="B8" s="1">
        <v>2014</v>
      </c>
      <c r="C8" s="1" t="s">
        <v>66</v>
      </c>
      <c r="D8" s="1" t="s">
        <v>73</v>
      </c>
      <c r="E8" s="14">
        <v>48740</v>
      </c>
      <c r="F8" s="1" t="s">
        <v>20</v>
      </c>
      <c r="G8" s="1" t="s">
        <v>64</v>
      </c>
      <c r="H8" s="1" t="s">
        <v>21</v>
      </c>
      <c r="I8" s="1" t="s">
        <v>27</v>
      </c>
      <c r="J8" s="1" t="s">
        <v>20</v>
      </c>
      <c r="K8" s="1" t="s">
        <v>21</v>
      </c>
      <c r="L8" s="1" t="s">
        <v>21</v>
      </c>
      <c r="M8" s="1">
        <v>0</v>
      </c>
      <c r="N8" s="1">
        <v>6.3</v>
      </c>
      <c r="O8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8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8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8" s="1">
        <v>0</v>
      </c>
      <c r="S8" s="1">
        <v>0</v>
      </c>
      <c r="T8" s="1">
        <v>0</v>
      </c>
      <c r="U8" s="20" t="s">
        <v>21</v>
      </c>
      <c r="V8" s="21" t="s">
        <v>21</v>
      </c>
      <c r="W8" s="21" t="s">
        <v>21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18">
        <v>0</v>
      </c>
      <c r="AB8" s="18">
        <v>0</v>
      </c>
      <c r="AC8" s="18">
        <v>0</v>
      </c>
      <c r="AD8" s="14">
        <v>495</v>
      </c>
      <c r="AE8" s="21" t="s">
        <v>60</v>
      </c>
      <c r="AF8" s="18">
        <v>0</v>
      </c>
      <c r="AG8" s="18">
        <v>285.8</v>
      </c>
      <c r="AH8" s="19">
        <f>IF(ISNUMBER(Tabella2[[#This Row],[Mean RADIAL stress  (MPa)]]), Tabella2[[#This Row],[Mean RADIAL stress  (MPa)]],"")</f>
        <v>0</v>
      </c>
      <c r="AI8" s="18">
        <f>IF(ISNUMBER(Tabella2[[#This Row],[Amplitute RADIAL stress  (MPa)]]), Tabella2[[#This Row],[Amplitute RADIAL stress  (MPa)]],"")</f>
        <v>0</v>
      </c>
      <c r="AJ8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15430.364287096136</v>
      </c>
      <c r="AL8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14031.81217852933</v>
      </c>
      <c r="AP8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</row>
    <row r="9" spans="1:43" ht="20.100000000000001" customHeight="1" x14ac:dyDescent="0.3">
      <c r="A9" s="1" t="s">
        <v>65</v>
      </c>
      <c r="B9" s="1">
        <v>2014</v>
      </c>
      <c r="C9" s="1" t="s">
        <v>66</v>
      </c>
      <c r="D9" s="1" t="s">
        <v>74</v>
      </c>
      <c r="E9" s="14">
        <v>27204</v>
      </c>
      <c r="F9" s="1" t="s">
        <v>20</v>
      </c>
      <c r="G9" s="1" t="s">
        <v>64</v>
      </c>
      <c r="H9" s="1" t="s">
        <v>21</v>
      </c>
      <c r="I9" s="1" t="s">
        <v>27</v>
      </c>
      <c r="J9" s="1" t="s">
        <v>20</v>
      </c>
      <c r="K9" s="1" t="s">
        <v>21</v>
      </c>
      <c r="L9" s="1" t="s">
        <v>21</v>
      </c>
      <c r="M9" s="1">
        <v>0</v>
      </c>
      <c r="N9" s="1">
        <v>6.3</v>
      </c>
      <c r="O9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9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9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9" s="1">
        <v>0</v>
      </c>
      <c r="S9" s="1">
        <v>0</v>
      </c>
      <c r="T9" s="1">
        <v>0</v>
      </c>
      <c r="U9" s="20" t="s">
        <v>21</v>
      </c>
      <c r="V9" s="21" t="s">
        <v>21</v>
      </c>
      <c r="W9" s="21" t="s">
        <v>21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18">
        <v>0</v>
      </c>
      <c r="AB9" s="18">
        <v>0</v>
      </c>
      <c r="AC9" s="18">
        <v>0</v>
      </c>
      <c r="AD9" s="14">
        <v>520</v>
      </c>
      <c r="AE9" s="21" t="s">
        <v>60</v>
      </c>
      <c r="AF9" s="18">
        <v>0</v>
      </c>
      <c r="AG9" s="18">
        <v>300.2</v>
      </c>
      <c r="AH9" s="19">
        <f>IF(ISNUMBER(Tabella2[[#This Row],[Mean RADIAL stress  (MPa)]]), Tabella2[[#This Row],[Mean RADIAL stress  (MPa)]],"")</f>
        <v>0</v>
      </c>
      <c r="AI9" s="18">
        <f>IF(ISNUMBER(Tabella2[[#This Row],[Amplitute RADIAL stress  (MPa)]]), Tabella2[[#This Row],[Amplitute RADIAL stress  (MPa)]],"")</f>
        <v>0</v>
      </c>
      <c r="AJ9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16209.675614727255</v>
      </c>
      <c r="AL9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14738.803414956279</v>
      </c>
      <c r="AP9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0.5773076923076923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735.36393710869447</v>
      </c>
    </row>
    <row r="10" spans="1:43" ht="20.100000000000001" customHeight="1" x14ac:dyDescent="0.3">
      <c r="A10" s="1" t="s">
        <v>65</v>
      </c>
      <c r="B10" s="1">
        <v>2014</v>
      </c>
      <c r="C10" s="1" t="s">
        <v>66</v>
      </c>
      <c r="D10" s="1" t="s">
        <v>75</v>
      </c>
      <c r="E10" s="14">
        <v>4114</v>
      </c>
      <c r="F10" s="1" t="s">
        <v>20</v>
      </c>
      <c r="G10" s="1" t="s">
        <v>64</v>
      </c>
      <c r="H10" s="1" t="s">
        <v>21</v>
      </c>
      <c r="I10" s="1" t="s">
        <v>27</v>
      </c>
      <c r="J10" s="1" t="s">
        <v>20</v>
      </c>
      <c r="K10" s="1" t="s">
        <v>21</v>
      </c>
      <c r="L10" s="1" t="s">
        <v>21</v>
      </c>
      <c r="M10" s="1">
        <v>0</v>
      </c>
      <c r="N10" s="1">
        <v>6.3</v>
      </c>
      <c r="O10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0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0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0" s="1">
        <v>0</v>
      </c>
      <c r="S10" s="1">
        <v>0</v>
      </c>
      <c r="T10" s="1">
        <v>0</v>
      </c>
      <c r="U10" s="20" t="s">
        <v>21</v>
      </c>
      <c r="V10" s="21" t="s">
        <v>21</v>
      </c>
      <c r="W10" s="21" t="s">
        <v>21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18">
        <v>0</v>
      </c>
      <c r="AB10" s="18">
        <v>0</v>
      </c>
      <c r="AC10" s="18">
        <v>0</v>
      </c>
      <c r="AD10" s="14">
        <v>610</v>
      </c>
      <c r="AE10" s="21" t="s">
        <v>60</v>
      </c>
      <c r="AF10" s="18">
        <v>0</v>
      </c>
      <c r="AG10" s="18">
        <v>352.2</v>
      </c>
      <c r="AH10" s="19">
        <f>IF(ISNUMBER(Tabella2[[#This Row],[Mean RADIAL stress  (MPa)]]), Tabella2[[#This Row],[Mean RADIAL stress  (MPa)]],"")</f>
        <v>0</v>
      </c>
      <c r="AI10" s="18">
        <f>IF(ISNUMBER(Tabella2[[#This Row],[Amplitute RADIAL stress  (MPa)]]), Tabella2[[#This Row],[Amplitute RADIAL stress  (MPa)]],"")</f>
        <v>0</v>
      </c>
      <c r="AJ10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19015.19639419928</v>
      </c>
      <c r="AL10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17291.827324275822</v>
      </c>
      <c r="AP10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0.57737704918032784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862.69028045991104</v>
      </c>
    </row>
    <row r="11" spans="1:43" ht="20.100000000000001" customHeight="1" x14ac:dyDescent="0.3">
      <c r="A11" s="1" t="s">
        <v>65</v>
      </c>
      <c r="B11" s="1">
        <v>2014</v>
      </c>
      <c r="C11" s="1" t="s">
        <v>66</v>
      </c>
      <c r="D11" s="1" t="s">
        <v>76</v>
      </c>
      <c r="E11" s="14">
        <v>1000000</v>
      </c>
      <c r="F11" s="1" t="s">
        <v>32</v>
      </c>
      <c r="G11" s="1" t="s">
        <v>64</v>
      </c>
      <c r="H11" s="1" t="s">
        <v>21</v>
      </c>
      <c r="I11" s="1" t="s">
        <v>27</v>
      </c>
      <c r="J11" s="1" t="s">
        <v>20</v>
      </c>
      <c r="K11" s="1" t="s">
        <v>21</v>
      </c>
      <c r="L11" s="1" t="s">
        <v>21</v>
      </c>
      <c r="M11" s="1">
        <v>0</v>
      </c>
      <c r="N11" s="1">
        <v>6.3</v>
      </c>
      <c r="O11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1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1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1" s="1">
        <v>0</v>
      </c>
      <c r="S11" s="1">
        <v>0</v>
      </c>
      <c r="T11" s="1">
        <v>90</v>
      </c>
      <c r="U11" s="20" t="s">
        <v>21</v>
      </c>
      <c r="V11" s="21" t="s">
        <v>21</v>
      </c>
      <c r="W11" s="21" t="s">
        <v>21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18">
        <v>0</v>
      </c>
      <c r="AB11" s="18">
        <v>0</v>
      </c>
      <c r="AC11" s="18">
        <v>0</v>
      </c>
      <c r="AD11" s="14">
        <v>450</v>
      </c>
      <c r="AE11" s="21" t="s">
        <v>60</v>
      </c>
      <c r="AF11" s="18">
        <v>0</v>
      </c>
      <c r="AG11" s="18">
        <v>259.8</v>
      </c>
      <c r="AH11" s="19">
        <f>IF(ISNUMBER(Tabella2[[#This Row],[Mean RADIAL stress  (MPa)]]), Tabella2[[#This Row],[Mean RADIAL stress  (MPa)]],"")</f>
        <v>0</v>
      </c>
      <c r="AI11" s="18">
        <f>IF(ISNUMBER(Tabella2[[#This Row],[Amplitute RADIAL stress  (MPa)]]), Tabella2[[#This Row],[Amplitute RADIAL stress  (MPa)]],"")</f>
        <v>0</v>
      </c>
      <c r="AJ11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14027.603897360124</v>
      </c>
      <c r="AL11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12755.300223869561</v>
      </c>
      <c r="AP11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0.57733333333333337</v>
      </c>
      <c r="AQ1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636.38676918993212</v>
      </c>
    </row>
    <row r="12" spans="1:43" ht="20.100000000000001" customHeight="1" x14ac:dyDescent="0.3">
      <c r="A12" s="1" t="s">
        <v>65</v>
      </c>
      <c r="B12" s="1">
        <v>2014</v>
      </c>
      <c r="C12" s="1" t="s">
        <v>66</v>
      </c>
      <c r="D12" s="1" t="s">
        <v>77</v>
      </c>
      <c r="E12" s="14">
        <v>618128</v>
      </c>
      <c r="F12" s="1" t="s">
        <v>20</v>
      </c>
      <c r="G12" s="1" t="s">
        <v>64</v>
      </c>
      <c r="H12" s="1" t="s">
        <v>21</v>
      </c>
      <c r="I12" s="1" t="s">
        <v>27</v>
      </c>
      <c r="J12" s="1" t="s">
        <v>20</v>
      </c>
      <c r="K12" s="1" t="s">
        <v>21</v>
      </c>
      <c r="L12" s="1" t="s">
        <v>21</v>
      </c>
      <c r="M12" s="1">
        <v>0</v>
      </c>
      <c r="N12" s="1">
        <v>6.3</v>
      </c>
      <c r="O12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2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2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2" s="1">
        <v>0</v>
      </c>
      <c r="S12" s="1">
        <v>0</v>
      </c>
      <c r="T12" s="1">
        <v>90</v>
      </c>
      <c r="U12" s="20" t="s">
        <v>21</v>
      </c>
      <c r="V12" s="21" t="s">
        <v>21</v>
      </c>
      <c r="W12" s="21" t="s">
        <v>21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18">
        <v>0</v>
      </c>
      <c r="AB12" s="18">
        <v>0</v>
      </c>
      <c r="AC12" s="18">
        <v>0</v>
      </c>
      <c r="AD12" s="14">
        <v>465</v>
      </c>
      <c r="AE12" s="21" t="s">
        <v>60</v>
      </c>
      <c r="AF12" s="18">
        <v>0</v>
      </c>
      <c r="AG12" s="18">
        <v>268.5</v>
      </c>
      <c r="AH12" s="19">
        <f>IF(ISNUMBER(Tabella2[[#This Row],[Mean RADIAL stress  (MPa)]]), Tabella2[[#This Row],[Mean RADIAL stress  (MPa)]],"")</f>
        <v>0</v>
      </c>
      <c r="AI12" s="18">
        <f>IF(ISNUMBER(Tabella2[[#This Row],[Amplitute RADIAL stress  (MPa)]]), Tabella2[[#This Row],[Amplitute RADIAL stress  (MPa)]],"")</f>
        <v>0</v>
      </c>
      <c r="AJ12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14495.190693938795</v>
      </c>
      <c r="AL12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13182.440762544176</v>
      </c>
      <c r="AP12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  <c r="AQ1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</row>
    <row r="13" spans="1:43" ht="20.100000000000001" customHeight="1" x14ac:dyDescent="0.3">
      <c r="A13" s="1" t="s">
        <v>65</v>
      </c>
      <c r="B13" s="1">
        <v>2014</v>
      </c>
      <c r="C13" s="1" t="s">
        <v>66</v>
      </c>
      <c r="D13" s="1" t="s">
        <v>78</v>
      </c>
      <c r="E13" s="14">
        <v>316712</v>
      </c>
      <c r="F13" s="1" t="s">
        <v>20</v>
      </c>
      <c r="G13" s="1" t="s">
        <v>64</v>
      </c>
      <c r="H13" s="1" t="s">
        <v>21</v>
      </c>
      <c r="I13" s="1" t="s">
        <v>27</v>
      </c>
      <c r="J13" s="1" t="s">
        <v>20</v>
      </c>
      <c r="K13" s="1" t="s">
        <v>21</v>
      </c>
      <c r="L13" s="1" t="s">
        <v>21</v>
      </c>
      <c r="M13" s="1">
        <v>0</v>
      </c>
      <c r="N13" s="1">
        <v>6.3</v>
      </c>
      <c r="O13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3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3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3" s="1">
        <v>0</v>
      </c>
      <c r="S13" s="1">
        <v>0</v>
      </c>
      <c r="T13" s="1">
        <v>90</v>
      </c>
      <c r="U13" s="20" t="s">
        <v>21</v>
      </c>
      <c r="V13" s="21" t="s">
        <v>21</v>
      </c>
      <c r="W13" s="21" t="s">
        <v>21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18">
        <v>0</v>
      </c>
      <c r="AB13" s="18">
        <v>0</v>
      </c>
      <c r="AC13" s="18">
        <v>0</v>
      </c>
      <c r="AD13" s="14">
        <v>475</v>
      </c>
      <c r="AE13" s="21" t="s">
        <v>60</v>
      </c>
      <c r="AF13" s="18">
        <v>0</v>
      </c>
      <c r="AG13" s="18">
        <v>274.2</v>
      </c>
      <c r="AH13" s="19">
        <f>IF(ISNUMBER(Tabella2[[#This Row],[Mean RADIAL stress  (MPa)]]), Tabella2[[#This Row],[Mean RADIAL stress  (MPa)]],"")</f>
        <v>0</v>
      </c>
      <c r="AI13" s="18">
        <f>IF(ISNUMBER(Tabella2[[#This Row],[Amplitute RADIAL stress  (MPa)]]), Tabella2[[#This Row],[Amplitute RADIAL stress  (MPa)]],"")</f>
        <v>0</v>
      </c>
      <c r="AJ13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14806.915224991242</v>
      </c>
      <c r="AL13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13462.29146029651</v>
      </c>
      <c r="AP13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0.57726315789473681</v>
      </c>
      <c r="AQ1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671.70076671089191</v>
      </c>
    </row>
    <row r="14" spans="1:43" ht="20.100000000000001" customHeight="1" x14ac:dyDescent="0.3">
      <c r="A14" s="1" t="s">
        <v>65</v>
      </c>
      <c r="B14" s="1">
        <v>2014</v>
      </c>
      <c r="C14" s="1" t="s">
        <v>66</v>
      </c>
      <c r="D14" s="1" t="s">
        <v>79</v>
      </c>
      <c r="E14" s="14">
        <v>197548</v>
      </c>
      <c r="F14" s="1" t="s">
        <v>20</v>
      </c>
      <c r="G14" s="1" t="s">
        <v>64</v>
      </c>
      <c r="H14" s="1" t="s">
        <v>21</v>
      </c>
      <c r="I14" s="1" t="s">
        <v>27</v>
      </c>
      <c r="J14" s="1" t="s">
        <v>20</v>
      </c>
      <c r="K14" s="1" t="s">
        <v>21</v>
      </c>
      <c r="L14" s="1" t="s">
        <v>21</v>
      </c>
      <c r="M14" s="1">
        <v>0</v>
      </c>
      <c r="N14" s="1">
        <v>6.3</v>
      </c>
      <c r="O14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4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4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4" s="1">
        <v>0</v>
      </c>
      <c r="S14" s="1">
        <v>0</v>
      </c>
      <c r="T14" s="1">
        <v>90</v>
      </c>
      <c r="U14" s="20" t="s">
        <v>21</v>
      </c>
      <c r="V14" s="21" t="s">
        <v>21</v>
      </c>
      <c r="W14" s="21" t="s">
        <v>21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" s="18">
        <v>0</v>
      </c>
      <c r="AB14" s="18">
        <v>0</v>
      </c>
      <c r="AC14" s="18">
        <v>0</v>
      </c>
      <c r="AD14" s="14">
        <v>485</v>
      </c>
      <c r="AE14" s="21" t="s">
        <v>60</v>
      </c>
      <c r="AF14" s="18">
        <v>0</v>
      </c>
      <c r="AG14" s="18">
        <v>280</v>
      </c>
      <c r="AH14" s="19">
        <f>IF(ISNUMBER(Tabella2[[#This Row],[Mean RADIAL stress  (MPa)]]), Tabella2[[#This Row],[Mean RADIAL stress  (MPa)]],"")</f>
        <v>0</v>
      </c>
      <c r="AI14" s="18">
        <f>IF(ISNUMBER(Tabella2[[#This Row],[Amplitute RADIAL stress  (MPa)]]), Tabella2[[#This Row],[Amplitute RADIAL stress  (MPa)]],"")</f>
        <v>0</v>
      </c>
      <c r="AJ14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15118.639756043689</v>
      </c>
      <c r="AL14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13747.051819412922</v>
      </c>
      <c r="AP14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0.57731958762886593</v>
      </c>
      <c r="AQ1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685.87535310725377</v>
      </c>
    </row>
    <row r="15" spans="1:43" ht="20.100000000000001" customHeight="1" x14ac:dyDescent="0.3">
      <c r="A15" s="1" t="s">
        <v>65</v>
      </c>
      <c r="B15" s="1">
        <v>2014</v>
      </c>
      <c r="C15" s="1" t="s">
        <v>66</v>
      </c>
      <c r="D15" s="1" t="s">
        <v>80</v>
      </c>
      <c r="E15" s="14">
        <v>107374</v>
      </c>
      <c r="F15" s="1" t="s">
        <v>20</v>
      </c>
      <c r="G15" s="1" t="s">
        <v>64</v>
      </c>
      <c r="H15" s="1" t="s">
        <v>21</v>
      </c>
      <c r="I15" s="1" t="s">
        <v>27</v>
      </c>
      <c r="J15" s="1" t="s">
        <v>20</v>
      </c>
      <c r="K15" s="1" t="s">
        <v>21</v>
      </c>
      <c r="L15" s="1" t="s">
        <v>21</v>
      </c>
      <c r="M15" s="1">
        <v>0</v>
      </c>
      <c r="N15" s="1">
        <v>6.3</v>
      </c>
      <c r="O15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5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5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5" s="1">
        <v>0</v>
      </c>
      <c r="S15" s="1">
        <v>0</v>
      </c>
      <c r="T15" s="1">
        <v>90</v>
      </c>
      <c r="U15" s="20" t="s">
        <v>21</v>
      </c>
      <c r="V15" s="21" t="s">
        <v>21</v>
      </c>
      <c r="W15" s="21" t="s">
        <v>21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" s="18">
        <v>0</v>
      </c>
      <c r="AB15" s="18">
        <v>0</v>
      </c>
      <c r="AC15" s="18">
        <v>0</v>
      </c>
      <c r="AD15" s="14">
        <v>490</v>
      </c>
      <c r="AE15" s="21" t="s">
        <v>60</v>
      </c>
      <c r="AF15" s="18">
        <v>0</v>
      </c>
      <c r="AG15" s="18">
        <v>282.89999999999998</v>
      </c>
      <c r="AH15" s="19">
        <f>IF(ISNUMBER(Tabella2[[#This Row],[Mean RADIAL stress  (MPa)]]), Tabella2[[#This Row],[Mean RADIAL stress  (MPa)]],"")</f>
        <v>0</v>
      </c>
      <c r="AI15" s="18">
        <f>IF(ISNUMBER(Tabella2[[#This Row],[Amplitute RADIAL stress  (MPa)]]), Tabella2[[#This Row],[Amplitute RADIAL stress  (MPa)]],"")</f>
        <v>0</v>
      </c>
      <c r="AJ15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15274.502021569913</v>
      </c>
      <c r="AL15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13889.431998971124</v>
      </c>
      <c r="AP15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0.57734693877551013</v>
      </c>
      <c r="AQ1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692.96264690097109</v>
      </c>
    </row>
    <row r="16" spans="1:43" ht="20.100000000000001" customHeight="1" x14ac:dyDescent="0.3">
      <c r="A16" s="1" t="s">
        <v>65</v>
      </c>
      <c r="B16" s="1">
        <v>2014</v>
      </c>
      <c r="C16" s="1" t="s">
        <v>66</v>
      </c>
      <c r="D16" s="1" t="s">
        <v>81</v>
      </c>
      <c r="E16" s="14">
        <v>97548</v>
      </c>
      <c r="F16" s="1" t="s">
        <v>20</v>
      </c>
      <c r="G16" s="1" t="s">
        <v>64</v>
      </c>
      <c r="H16" s="1" t="s">
        <v>21</v>
      </c>
      <c r="I16" s="1" t="s">
        <v>27</v>
      </c>
      <c r="J16" s="1" t="s">
        <v>20</v>
      </c>
      <c r="K16" s="1" t="s">
        <v>21</v>
      </c>
      <c r="L16" s="1" t="s">
        <v>21</v>
      </c>
      <c r="M16" s="1">
        <v>0</v>
      </c>
      <c r="N16" s="1">
        <v>6.3</v>
      </c>
      <c r="O16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6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6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6" s="1">
        <v>0</v>
      </c>
      <c r="S16" s="1">
        <v>0</v>
      </c>
      <c r="T16" s="1">
        <v>90</v>
      </c>
      <c r="U16" s="20" t="s">
        <v>21</v>
      </c>
      <c r="V16" s="21" t="s">
        <v>21</v>
      </c>
      <c r="W16" s="21" t="s">
        <v>21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18">
        <v>0</v>
      </c>
      <c r="AB16" s="18">
        <v>0</v>
      </c>
      <c r="AC16" s="18">
        <v>0</v>
      </c>
      <c r="AD16" s="14">
        <v>495</v>
      </c>
      <c r="AE16" s="21" t="s">
        <v>60</v>
      </c>
      <c r="AF16" s="18">
        <v>0</v>
      </c>
      <c r="AG16" s="18">
        <v>285.8</v>
      </c>
      <c r="AH16" s="19">
        <f>IF(ISNUMBER(Tabella2[[#This Row],[Mean RADIAL stress  (MPa)]]), Tabella2[[#This Row],[Mean RADIAL stress  (MPa)]],"")</f>
        <v>0</v>
      </c>
      <c r="AI16" s="18">
        <f>IF(ISNUMBER(Tabella2[[#This Row],[Amplitute RADIAL stress  (MPa)]]), Tabella2[[#This Row],[Amplitute RADIAL stress  (MPa)]],"")</f>
        <v>0</v>
      </c>
      <c r="AJ16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15430.364287096136</v>
      </c>
      <c r="AL16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14031.81217852933</v>
      </c>
      <c r="AP16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  <c r="AQ1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</row>
    <row r="17" spans="1:43" ht="20.100000000000001" customHeight="1" x14ac:dyDescent="0.3">
      <c r="A17" s="1" t="s">
        <v>65</v>
      </c>
      <c r="B17" s="1">
        <v>2014</v>
      </c>
      <c r="C17" s="1" t="s">
        <v>66</v>
      </c>
      <c r="D17" s="1" t="s">
        <v>82</v>
      </c>
      <c r="E17" s="14">
        <v>56411</v>
      </c>
      <c r="F17" s="1" t="s">
        <v>20</v>
      </c>
      <c r="G17" s="1" t="s">
        <v>64</v>
      </c>
      <c r="H17" s="1" t="s">
        <v>21</v>
      </c>
      <c r="I17" s="1" t="s">
        <v>27</v>
      </c>
      <c r="J17" s="1" t="s">
        <v>20</v>
      </c>
      <c r="K17" s="1" t="s">
        <v>21</v>
      </c>
      <c r="L17" s="1" t="s">
        <v>21</v>
      </c>
      <c r="M17" s="1">
        <v>0</v>
      </c>
      <c r="N17" s="1">
        <v>6.3</v>
      </c>
      <c r="O17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31.17245310524472</v>
      </c>
      <c r="P17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77.327166484197676</v>
      </c>
      <c r="Q17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154.65433296839535</v>
      </c>
      <c r="R17" s="1">
        <v>0</v>
      </c>
      <c r="S17" s="1">
        <v>0</v>
      </c>
      <c r="T17" s="1">
        <v>90</v>
      </c>
      <c r="U17" s="20" t="s">
        <v>21</v>
      </c>
      <c r="V17" s="21" t="s">
        <v>21</v>
      </c>
      <c r="W17" s="21" t="s">
        <v>21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" s="18">
        <v>0</v>
      </c>
      <c r="AB17" s="18">
        <v>0</v>
      </c>
      <c r="AC17" s="18">
        <v>0</v>
      </c>
      <c r="AD17" s="14">
        <v>510</v>
      </c>
      <c r="AE17" s="21" t="s">
        <v>60</v>
      </c>
      <c r="AF17" s="18">
        <v>0</v>
      </c>
      <c r="AG17" s="18">
        <v>294.39999999999998</v>
      </c>
      <c r="AH17" s="19">
        <f>IF(ISNUMBER(Tabella2[[#This Row],[Mean RADIAL stress  (MPa)]]), Tabella2[[#This Row],[Mean RADIAL stress  (MPa)]],"")</f>
        <v>0</v>
      </c>
      <c r="AI17" s="18">
        <f>IF(ISNUMBER(Tabella2[[#This Row],[Amplitute RADIAL stress  (MPa)]]), Tabella2[[#This Row],[Amplitute RADIAL stress  (MPa)]],"")</f>
        <v>0</v>
      </c>
      <c r="AJ17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18">
        <f>IF(ISNUMBER(Tabella2[[#This Row],[Amplitute AXIAL stress  (MPa)]]),    IF(Tabella2[[#This Row],[derived from (AXIAL/BENDING) load]]="AXIAL",Tabella2[[#This Row],[Amplitute AXIAL stress  (MPa)]]*Tabella2[[#This Row],[Area (mm^2)]],"Null"), "")</f>
        <v>15897.951083674807</v>
      </c>
      <c r="AL17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14454.043055839871</v>
      </c>
      <c r="AP17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0.57725490196078422</v>
      </c>
      <c r="AQ1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721.18935100291094</v>
      </c>
    </row>
    <row r="18" spans="1:43" s="17" customFormat="1" ht="20.100000000000001" customHeight="1" thickBot="1" x14ac:dyDescent="0.35">
      <c r="A18" s="1" t="s">
        <v>65</v>
      </c>
      <c r="B18" s="1">
        <v>2014</v>
      </c>
      <c r="C18" s="1" t="s">
        <v>83</v>
      </c>
      <c r="D18" s="1" t="s">
        <v>84</v>
      </c>
      <c r="E18" s="14">
        <v>6040</v>
      </c>
      <c r="F18" s="1" t="s">
        <v>20</v>
      </c>
      <c r="G18" s="1" t="s">
        <v>64</v>
      </c>
      <c r="H18" s="1" t="s">
        <v>21</v>
      </c>
      <c r="I18" s="1" t="s">
        <v>27</v>
      </c>
      <c r="J18" s="1" t="s">
        <v>20</v>
      </c>
      <c r="K18" s="1" t="s">
        <v>21</v>
      </c>
      <c r="L18" s="1" t="s">
        <v>21</v>
      </c>
      <c r="M18" s="1">
        <v>0</v>
      </c>
      <c r="N18" s="1">
        <v>7.5</v>
      </c>
      <c r="O18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18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18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18" s="1">
        <v>0</v>
      </c>
      <c r="S18" s="1">
        <v>0</v>
      </c>
      <c r="T18" s="1">
        <v>0</v>
      </c>
      <c r="U18" s="20" t="s">
        <v>21</v>
      </c>
      <c r="V18" s="21" t="s">
        <v>21</v>
      </c>
      <c r="W18" s="21" t="s">
        <v>21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18">
        <v>0</v>
      </c>
      <c r="AB18" s="18">
        <v>0</v>
      </c>
      <c r="AC18" s="18">
        <v>0</v>
      </c>
      <c r="AD18" s="14">
        <v>700</v>
      </c>
      <c r="AE18" s="21" t="s">
        <v>60</v>
      </c>
      <c r="AF18" s="18">
        <v>0</v>
      </c>
      <c r="AG18" s="18">
        <v>0</v>
      </c>
      <c r="AH18" s="19">
        <f>IF(ISNUMBER(Tabella2[[#This Row],[Mean RADIAL stress  (MPa)]]), Tabella2[[#This Row],[Mean RADIAL stress  (MPa)]],"")</f>
        <v>0</v>
      </c>
      <c r="AI18" s="18">
        <f>IF(ISNUMBER(Tabella2[[#This Row],[Amplitute RADIAL stress  (MPa)]]), Tabella2[[#This Row],[Amplitute RADIAL stress  (MPa)]],"")</f>
        <v>0</v>
      </c>
      <c r="AJ18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18">
        <f>IF(ISNUMBER(Tabella2[[#This Row],[Amplitute AXIAL stress  (MPa)]]),    IF(Tabella2[[#This Row],[derived from (AXIAL/BENDING) load]]="AXIAL",Tabella2[[#This Row],[Amplitute AXIAL stress  (MPa)]]*Tabella2[[#This Row],[Area (mm^2)]],"Null"), "")</f>
        <v>30925.052683774524</v>
      </c>
      <c r="AL18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8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</v>
      </c>
    </row>
    <row r="19" spans="1:43" ht="20.100000000000001" customHeight="1" x14ac:dyDescent="0.3">
      <c r="A19" s="1" t="s">
        <v>65</v>
      </c>
      <c r="B19" s="1">
        <v>2014</v>
      </c>
      <c r="C19" s="1" t="s">
        <v>83</v>
      </c>
      <c r="D19" s="1" t="s">
        <v>85</v>
      </c>
      <c r="E19" s="14">
        <v>19951</v>
      </c>
      <c r="F19" s="1" t="s">
        <v>20</v>
      </c>
      <c r="G19" s="1" t="s">
        <v>64</v>
      </c>
      <c r="H19" s="1" t="s">
        <v>21</v>
      </c>
      <c r="I19" s="1" t="s">
        <v>27</v>
      </c>
      <c r="J19" s="1" t="s">
        <v>20</v>
      </c>
      <c r="K19" s="1" t="s">
        <v>21</v>
      </c>
      <c r="L19" s="1" t="s">
        <v>21</v>
      </c>
      <c r="M19" s="1">
        <v>0</v>
      </c>
      <c r="N19" s="1">
        <v>7.5</v>
      </c>
      <c r="O19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19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19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19" s="1">
        <v>0</v>
      </c>
      <c r="S19" s="1">
        <v>0</v>
      </c>
      <c r="T19" s="1">
        <v>0</v>
      </c>
      <c r="U19" s="20" t="s">
        <v>21</v>
      </c>
      <c r="V19" s="21" t="s">
        <v>21</v>
      </c>
      <c r="W19" s="21" t="s">
        <v>21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18">
        <v>0</v>
      </c>
      <c r="AB19" s="18">
        <v>0</v>
      </c>
      <c r="AC19" s="18">
        <v>0</v>
      </c>
      <c r="AD19" s="14">
        <v>600</v>
      </c>
      <c r="AE19" s="21" t="s">
        <v>60</v>
      </c>
      <c r="AF19" s="18">
        <v>0</v>
      </c>
      <c r="AG19" s="18">
        <v>0</v>
      </c>
      <c r="AH19" s="19">
        <f>IF(ISNUMBER(Tabella2[[#This Row],[Mean RADIAL stress  (MPa)]]), Tabella2[[#This Row],[Mean RADIAL stress  (MPa)]],"")</f>
        <v>0</v>
      </c>
      <c r="AI19" s="18">
        <f>IF(ISNUMBER(Tabella2[[#This Row],[Amplitute RADIAL stress  (MPa)]]), Tabella2[[#This Row],[Amplitute RADIAL stress  (MPa)]],"")</f>
        <v>0</v>
      </c>
      <c r="AJ19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26507.18801466388</v>
      </c>
      <c r="AL19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9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</row>
    <row r="20" spans="1:43" ht="20.100000000000001" customHeight="1" x14ac:dyDescent="0.3">
      <c r="A20" s="1" t="s">
        <v>65</v>
      </c>
      <c r="B20" s="1">
        <v>2014</v>
      </c>
      <c r="C20" s="1" t="s">
        <v>83</v>
      </c>
      <c r="D20" s="1" t="s">
        <v>86</v>
      </c>
      <c r="E20" s="14">
        <v>53752</v>
      </c>
      <c r="F20" s="1" t="s">
        <v>20</v>
      </c>
      <c r="G20" s="1" t="s">
        <v>64</v>
      </c>
      <c r="H20" s="1" t="s">
        <v>21</v>
      </c>
      <c r="I20" s="1" t="s">
        <v>27</v>
      </c>
      <c r="J20" s="1" t="s">
        <v>20</v>
      </c>
      <c r="K20" s="1" t="s">
        <v>21</v>
      </c>
      <c r="L20" s="1" t="s">
        <v>21</v>
      </c>
      <c r="M20" s="1">
        <v>0</v>
      </c>
      <c r="N20" s="1">
        <v>7.5</v>
      </c>
      <c r="O20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0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0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0" s="1">
        <v>0</v>
      </c>
      <c r="S20" s="1">
        <v>0</v>
      </c>
      <c r="T20" s="1">
        <v>0</v>
      </c>
      <c r="U20" s="20" t="s">
        <v>21</v>
      </c>
      <c r="V20" s="21" t="s">
        <v>21</v>
      </c>
      <c r="W20" s="21" t="s">
        <v>21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0" s="18">
        <v>0</v>
      </c>
      <c r="AB20" s="18">
        <v>0</v>
      </c>
      <c r="AC20" s="18">
        <v>0</v>
      </c>
      <c r="AD20" s="14">
        <v>560</v>
      </c>
      <c r="AE20" s="21" t="s">
        <v>60</v>
      </c>
      <c r="AF20" s="18">
        <v>0</v>
      </c>
      <c r="AG20" s="18">
        <v>0</v>
      </c>
      <c r="AH20" s="19">
        <f>IF(ISNUMBER(Tabella2[[#This Row],[Mean RADIAL stress  (MPa)]]), Tabella2[[#This Row],[Mean RADIAL stress  (MPa)]],"")</f>
        <v>0</v>
      </c>
      <c r="AI20" s="18">
        <f>IF(ISNUMBER(Tabella2[[#This Row],[Amplitute RADIAL stress  (MPa)]]), Tabella2[[#This Row],[Amplitute RADIAL stress  (MPa)]],"")</f>
        <v>0</v>
      </c>
      <c r="AJ20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24740.04214701962</v>
      </c>
      <c r="AL20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0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560</v>
      </c>
    </row>
    <row r="21" spans="1:43" ht="20.100000000000001" customHeight="1" x14ac:dyDescent="0.3">
      <c r="A21" s="1" t="s">
        <v>65</v>
      </c>
      <c r="B21" s="1">
        <v>2014</v>
      </c>
      <c r="C21" s="1" t="s">
        <v>83</v>
      </c>
      <c r="D21" s="1" t="s">
        <v>87</v>
      </c>
      <c r="E21" s="14">
        <v>56929</v>
      </c>
      <c r="F21" s="1" t="s">
        <v>20</v>
      </c>
      <c r="G21" s="1" t="s">
        <v>64</v>
      </c>
      <c r="H21" s="1" t="s">
        <v>21</v>
      </c>
      <c r="I21" s="1" t="s">
        <v>27</v>
      </c>
      <c r="J21" s="1" t="s">
        <v>20</v>
      </c>
      <c r="K21" s="1" t="s">
        <v>21</v>
      </c>
      <c r="L21" s="1" t="s">
        <v>21</v>
      </c>
      <c r="M21" s="1">
        <v>0</v>
      </c>
      <c r="N21" s="1">
        <v>7.5</v>
      </c>
      <c r="O21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1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1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1" s="1">
        <v>0</v>
      </c>
      <c r="S21" s="1">
        <v>0</v>
      </c>
      <c r="T21" s="1">
        <v>0</v>
      </c>
      <c r="U21" s="20" t="s">
        <v>21</v>
      </c>
      <c r="V21" s="21" t="s">
        <v>21</v>
      </c>
      <c r="W21" s="21" t="s">
        <v>21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1" s="18">
        <v>0</v>
      </c>
      <c r="AB21" s="18">
        <v>0</v>
      </c>
      <c r="AC21" s="18">
        <v>0</v>
      </c>
      <c r="AD21" s="14">
        <v>550</v>
      </c>
      <c r="AE21" s="21" t="s">
        <v>60</v>
      </c>
      <c r="AF21" s="18">
        <v>0</v>
      </c>
      <c r="AG21" s="18">
        <v>0</v>
      </c>
      <c r="AH21" s="19">
        <f>IF(ISNUMBER(Tabella2[[#This Row],[Mean RADIAL stress  (MPa)]]), Tabella2[[#This Row],[Mean RADIAL stress  (MPa)]],"")</f>
        <v>0</v>
      </c>
      <c r="AI21" s="18">
        <f>IF(ISNUMBER(Tabella2[[#This Row],[Amplitute RADIAL stress  (MPa)]]), Tabella2[[#This Row],[Amplitute RADIAL stress  (MPa)]],"")</f>
        <v>0</v>
      </c>
      <c r="AJ21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24298.255680108556</v>
      </c>
      <c r="AL21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1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</row>
    <row r="22" spans="1:43" ht="20.100000000000001" customHeight="1" x14ac:dyDescent="0.3">
      <c r="A22" s="1" t="s">
        <v>65</v>
      </c>
      <c r="B22" s="1">
        <v>2014</v>
      </c>
      <c r="C22" s="1" t="s">
        <v>83</v>
      </c>
      <c r="D22" s="1" t="s">
        <v>88</v>
      </c>
      <c r="E22" s="14">
        <v>247953</v>
      </c>
      <c r="F22" s="1" t="s">
        <v>20</v>
      </c>
      <c r="G22" s="1" t="s">
        <v>64</v>
      </c>
      <c r="H22" s="1" t="s">
        <v>21</v>
      </c>
      <c r="I22" s="1" t="s">
        <v>27</v>
      </c>
      <c r="J22" s="1" t="s">
        <v>20</v>
      </c>
      <c r="K22" s="1" t="s">
        <v>21</v>
      </c>
      <c r="L22" s="1" t="s">
        <v>21</v>
      </c>
      <c r="M22" s="1">
        <v>0</v>
      </c>
      <c r="N22" s="1">
        <v>7.5</v>
      </c>
      <c r="O22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2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2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2" s="1">
        <v>0</v>
      </c>
      <c r="S22" s="1">
        <v>0</v>
      </c>
      <c r="T22" s="1">
        <v>0</v>
      </c>
      <c r="U22" s="20" t="s">
        <v>21</v>
      </c>
      <c r="V22" s="21" t="s">
        <v>21</v>
      </c>
      <c r="W22" s="21" t="s">
        <v>21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2" s="18">
        <v>0</v>
      </c>
      <c r="AB22" s="18">
        <v>0</v>
      </c>
      <c r="AC22" s="18">
        <v>0</v>
      </c>
      <c r="AD22" s="14">
        <v>495</v>
      </c>
      <c r="AE22" s="21" t="s">
        <v>60</v>
      </c>
      <c r="AF22" s="18">
        <v>0</v>
      </c>
      <c r="AG22" s="18">
        <v>0</v>
      </c>
      <c r="AH22" s="19">
        <f>IF(ISNUMBER(Tabella2[[#This Row],[Mean RADIAL stress  (MPa)]]), Tabella2[[#This Row],[Mean RADIAL stress  (MPa)]],"")</f>
        <v>0</v>
      </c>
      <c r="AI22" s="18">
        <f>IF(ISNUMBER(Tabella2[[#This Row],[Amplitute RADIAL stress  (MPa)]]), Tabella2[[#This Row],[Amplitute RADIAL stress  (MPa)]],"")</f>
        <v>0</v>
      </c>
      <c r="AJ22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21868.4301120977</v>
      </c>
      <c r="AL22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2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495</v>
      </c>
    </row>
    <row r="23" spans="1:43" ht="20.100000000000001" customHeight="1" x14ac:dyDescent="0.3">
      <c r="A23" s="1" t="s">
        <v>65</v>
      </c>
      <c r="B23" s="1">
        <v>2014</v>
      </c>
      <c r="C23" s="1" t="s">
        <v>83</v>
      </c>
      <c r="D23" s="1" t="s">
        <v>89</v>
      </c>
      <c r="E23" s="14">
        <v>269178</v>
      </c>
      <c r="F23" s="1" t="s">
        <v>20</v>
      </c>
      <c r="G23" s="1" t="s">
        <v>64</v>
      </c>
      <c r="H23" s="1" t="s">
        <v>21</v>
      </c>
      <c r="I23" s="1" t="s">
        <v>27</v>
      </c>
      <c r="J23" s="1" t="s">
        <v>20</v>
      </c>
      <c r="K23" s="1" t="s">
        <v>21</v>
      </c>
      <c r="L23" s="1" t="s">
        <v>21</v>
      </c>
      <c r="M23" s="1">
        <v>0</v>
      </c>
      <c r="N23" s="1">
        <v>7.5</v>
      </c>
      <c r="O23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3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3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3" s="1">
        <v>0</v>
      </c>
      <c r="S23" s="1">
        <v>0</v>
      </c>
      <c r="T23" s="1">
        <v>0</v>
      </c>
      <c r="U23" s="20" t="s">
        <v>21</v>
      </c>
      <c r="V23" s="21" t="s">
        <v>21</v>
      </c>
      <c r="W23" s="21" t="s">
        <v>21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3" s="18">
        <v>0</v>
      </c>
      <c r="AB23" s="18">
        <v>0</v>
      </c>
      <c r="AC23" s="18">
        <v>0</v>
      </c>
      <c r="AD23" s="14">
        <v>485</v>
      </c>
      <c r="AE23" s="21" t="s">
        <v>60</v>
      </c>
      <c r="AF23" s="18">
        <v>0</v>
      </c>
      <c r="AG23" s="18">
        <v>0</v>
      </c>
      <c r="AH23" s="19">
        <f>IF(ISNUMBER(Tabella2[[#This Row],[Mean RADIAL stress  (MPa)]]), Tabella2[[#This Row],[Mean RADIAL stress  (MPa)]],"")</f>
        <v>0</v>
      </c>
      <c r="AI23" s="18">
        <f>IF(ISNUMBER(Tabella2[[#This Row],[Amplitute RADIAL stress  (MPa)]]), Tabella2[[#This Row],[Amplitute RADIAL stress  (MPa)]],"")</f>
        <v>0</v>
      </c>
      <c r="AJ23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21426.643645186636</v>
      </c>
      <c r="AL23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3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485</v>
      </c>
    </row>
    <row r="24" spans="1:43" ht="20.100000000000001" customHeight="1" x14ac:dyDescent="0.3">
      <c r="A24" s="1" t="s">
        <v>65</v>
      </c>
      <c r="B24" s="1">
        <v>2014</v>
      </c>
      <c r="C24" s="1" t="s">
        <v>83</v>
      </c>
      <c r="D24" s="1" t="s">
        <v>90</v>
      </c>
      <c r="E24" s="14">
        <v>1000000</v>
      </c>
      <c r="F24" s="1" t="s">
        <v>32</v>
      </c>
      <c r="G24" s="1" t="s">
        <v>64</v>
      </c>
      <c r="H24" s="1" t="s">
        <v>21</v>
      </c>
      <c r="I24" s="1" t="s">
        <v>27</v>
      </c>
      <c r="J24" s="1" t="s">
        <v>20</v>
      </c>
      <c r="K24" s="1" t="s">
        <v>21</v>
      </c>
      <c r="L24" s="1" t="s">
        <v>21</v>
      </c>
      <c r="M24" s="1">
        <v>0</v>
      </c>
      <c r="N24" s="1">
        <v>7.5</v>
      </c>
      <c r="O24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4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4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4" s="1">
        <v>0</v>
      </c>
      <c r="S24" s="1">
        <v>0</v>
      </c>
      <c r="T24" s="1">
        <v>0</v>
      </c>
      <c r="U24" s="20" t="s">
        <v>21</v>
      </c>
      <c r="V24" s="21" t="s">
        <v>21</v>
      </c>
      <c r="W24" s="21" t="s">
        <v>21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4" s="18">
        <v>0</v>
      </c>
      <c r="AB24" s="18">
        <v>0</v>
      </c>
      <c r="AC24" s="18">
        <v>0</v>
      </c>
      <c r="AD24" s="14">
        <v>480</v>
      </c>
      <c r="AE24" s="21" t="s">
        <v>60</v>
      </c>
      <c r="AF24" s="18">
        <v>0</v>
      </c>
      <c r="AG24" s="18">
        <v>0</v>
      </c>
      <c r="AH24" s="19">
        <f>IF(ISNUMBER(Tabella2[[#This Row],[Mean RADIAL stress  (MPa)]]), Tabella2[[#This Row],[Mean RADIAL stress  (MPa)]],"")</f>
        <v>0</v>
      </c>
      <c r="AI24" s="18">
        <f>IF(ISNUMBER(Tabella2[[#This Row],[Amplitute RADIAL stress  (MPa)]]), Tabella2[[#This Row],[Amplitute RADIAL stress  (MPa)]],"")</f>
        <v>0</v>
      </c>
      <c r="AJ24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18">
        <f>IF(ISNUMBER(Tabella2[[#This Row],[Amplitute AXIAL stress  (MPa)]]),    IF(Tabella2[[#This Row],[derived from (AXIAL/BENDING) load]]="AXIAL",Tabella2[[#This Row],[Amplitute AXIAL stress  (MPa)]]*Tabella2[[#This Row],[Area (mm^2)]],"Null"), "")</f>
        <v>21205.750411731104</v>
      </c>
      <c r="AL24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4" s="1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480</v>
      </c>
    </row>
    <row r="25" spans="1:43" ht="20.100000000000001" customHeight="1" x14ac:dyDescent="0.3">
      <c r="A25" s="1" t="s">
        <v>65</v>
      </c>
      <c r="B25" s="1">
        <v>2014</v>
      </c>
      <c r="C25" s="1" t="s">
        <v>83</v>
      </c>
      <c r="D25" s="1" t="s">
        <v>91</v>
      </c>
      <c r="E25" s="14">
        <v>2088</v>
      </c>
      <c r="F25" s="1" t="s">
        <v>20</v>
      </c>
      <c r="G25" s="1" t="s">
        <v>64</v>
      </c>
      <c r="H25" s="1" t="s">
        <v>21</v>
      </c>
      <c r="I25" s="1" t="s">
        <v>27</v>
      </c>
      <c r="J25" s="1" t="s">
        <v>20</v>
      </c>
      <c r="K25" s="1" t="s">
        <v>21</v>
      </c>
      <c r="L25" s="1" t="s">
        <v>21</v>
      </c>
      <c r="M25" s="1">
        <v>0</v>
      </c>
      <c r="N25" s="1">
        <v>7.5</v>
      </c>
      <c r="O25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5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5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5" s="1">
        <v>0</v>
      </c>
      <c r="S25" s="1">
        <v>0</v>
      </c>
      <c r="T25" s="1">
        <v>0</v>
      </c>
      <c r="U25" s="20" t="s">
        <v>21</v>
      </c>
      <c r="V25" s="21" t="s">
        <v>21</v>
      </c>
      <c r="W25" s="21" t="s">
        <v>21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5" s="18">
        <v>0</v>
      </c>
      <c r="AB25" s="18">
        <v>0</v>
      </c>
      <c r="AC25" s="18">
        <v>0</v>
      </c>
      <c r="AD25" s="14">
        <v>0</v>
      </c>
      <c r="AE25" s="21" t="s">
        <v>60</v>
      </c>
      <c r="AF25" s="18">
        <v>0</v>
      </c>
      <c r="AG25" s="18">
        <v>546</v>
      </c>
      <c r="AH25" s="19">
        <f>IF(ISNUMBER(Tabella2[[#This Row],[Mean RADIAL stress  (MPa)]]), Tabella2[[#This Row],[Mean RADIAL stress  (MPa)]],"")</f>
        <v>0</v>
      </c>
      <c r="AI25" s="18">
        <f>IF(ISNUMBER(Tabella2[[#This Row],[Amplitute RADIAL stress  (MPa)]]), Tabella2[[#This Row],[Amplitute RADIAL stress  (MPa)]],"")</f>
        <v>0</v>
      </c>
      <c r="AJ25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5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45227.889550020242</v>
      </c>
      <c r="AP25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945.69974093260703</v>
      </c>
    </row>
    <row r="26" spans="1:43" ht="20.100000000000001" customHeight="1" x14ac:dyDescent="0.3">
      <c r="A26" s="1" t="s">
        <v>65</v>
      </c>
      <c r="B26" s="1">
        <v>2014</v>
      </c>
      <c r="C26" s="1" t="s">
        <v>83</v>
      </c>
      <c r="D26" s="1" t="s">
        <v>92</v>
      </c>
      <c r="E26" s="14">
        <v>11302</v>
      </c>
      <c r="F26" s="1" t="s">
        <v>20</v>
      </c>
      <c r="G26" s="1" t="s">
        <v>64</v>
      </c>
      <c r="H26" s="1" t="s">
        <v>21</v>
      </c>
      <c r="I26" s="1" t="s">
        <v>27</v>
      </c>
      <c r="J26" s="1" t="s">
        <v>20</v>
      </c>
      <c r="K26" s="1" t="s">
        <v>21</v>
      </c>
      <c r="L26" s="1" t="s">
        <v>21</v>
      </c>
      <c r="M26" s="1">
        <v>0</v>
      </c>
      <c r="N26" s="1">
        <v>7.5</v>
      </c>
      <c r="O26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6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6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6" s="1">
        <v>0</v>
      </c>
      <c r="S26" s="1">
        <v>0</v>
      </c>
      <c r="T26" s="1">
        <v>0</v>
      </c>
      <c r="U26" s="20" t="s">
        <v>21</v>
      </c>
      <c r="V26" s="21" t="s">
        <v>21</v>
      </c>
      <c r="W26" s="21" t="s">
        <v>21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6" s="18">
        <v>0</v>
      </c>
      <c r="AB26" s="18">
        <v>0</v>
      </c>
      <c r="AC26" s="18">
        <v>0</v>
      </c>
      <c r="AD26" s="14">
        <v>0</v>
      </c>
      <c r="AE26" s="21" t="s">
        <v>60</v>
      </c>
      <c r="AF26" s="18">
        <v>0</v>
      </c>
      <c r="AG26" s="18">
        <v>484</v>
      </c>
      <c r="AH26" s="19">
        <f>IF(ISNUMBER(Tabella2[[#This Row],[Mean RADIAL stress  (MPa)]]), Tabella2[[#This Row],[Mean RADIAL stress  (MPa)]],"")</f>
        <v>0</v>
      </c>
      <c r="AI26" s="18">
        <f>IF(ISNUMBER(Tabella2[[#This Row],[Amplitute RADIAL stress  (MPa)]]), Tabella2[[#This Row],[Amplitute RADIAL stress  (MPa)]],"")</f>
        <v>0</v>
      </c>
      <c r="AJ26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6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40092.121872179116</v>
      </c>
      <c r="AP26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838.3125908633366</v>
      </c>
    </row>
    <row r="27" spans="1:43" ht="20.100000000000001" customHeight="1" x14ac:dyDescent="0.3">
      <c r="A27" s="1" t="s">
        <v>65</v>
      </c>
      <c r="B27" s="1">
        <v>2014</v>
      </c>
      <c r="C27" s="1" t="s">
        <v>83</v>
      </c>
      <c r="D27" s="1" t="s">
        <v>93</v>
      </c>
      <c r="E27" s="14">
        <v>70610</v>
      </c>
      <c r="F27" s="1" t="s">
        <v>20</v>
      </c>
      <c r="G27" s="1" t="s">
        <v>64</v>
      </c>
      <c r="H27" s="1" t="s">
        <v>21</v>
      </c>
      <c r="I27" s="1" t="s">
        <v>27</v>
      </c>
      <c r="J27" s="1" t="s">
        <v>20</v>
      </c>
      <c r="K27" s="1" t="s">
        <v>21</v>
      </c>
      <c r="L27" s="1" t="s">
        <v>21</v>
      </c>
      <c r="M27" s="1">
        <v>0</v>
      </c>
      <c r="N27" s="1">
        <v>7.5</v>
      </c>
      <c r="O27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7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7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7" s="1">
        <v>0</v>
      </c>
      <c r="S27" s="1">
        <v>0</v>
      </c>
      <c r="T27" s="1">
        <v>0</v>
      </c>
      <c r="U27" s="20" t="s">
        <v>21</v>
      </c>
      <c r="V27" s="21" t="s">
        <v>21</v>
      </c>
      <c r="W27" s="21" t="s">
        <v>21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18">
        <v>0</v>
      </c>
      <c r="AB27" s="18">
        <v>0</v>
      </c>
      <c r="AC27" s="18">
        <v>0</v>
      </c>
      <c r="AD27" s="14">
        <v>0</v>
      </c>
      <c r="AE27" s="21" t="s">
        <v>60</v>
      </c>
      <c r="AF27" s="18">
        <v>0</v>
      </c>
      <c r="AG27" s="18">
        <v>440</v>
      </c>
      <c r="AH27" s="19">
        <f>IF(ISNUMBER(Tabella2[[#This Row],[Mean RADIAL stress  (MPa)]]), Tabella2[[#This Row],[Mean RADIAL stress  (MPa)]],"")</f>
        <v>0</v>
      </c>
      <c r="AI27" s="18">
        <f>IF(ISNUMBER(Tabella2[[#This Row],[Amplitute RADIAL stress  (MPa)]]), Tabella2[[#This Row],[Amplitute RADIAL stress  (MPa)]],"")</f>
        <v>0</v>
      </c>
      <c r="AJ27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7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36447.383520162824</v>
      </c>
      <c r="AP27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762.10235533030595</v>
      </c>
    </row>
    <row r="28" spans="1:43" ht="20.100000000000001" customHeight="1" x14ac:dyDescent="0.3">
      <c r="A28" s="1" t="s">
        <v>65</v>
      </c>
      <c r="B28" s="1">
        <v>2014</v>
      </c>
      <c r="C28" s="1" t="s">
        <v>83</v>
      </c>
      <c r="D28" s="1" t="s">
        <v>94</v>
      </c>
      <c r="E28" s="14">
        <v>159854</v>
      </c>
      <c r="F28" s="1" t="s">
        <v>20</v>
      </c>
      <c r="G28" s="1" t="s">
        <v>64</v>
      </c>
      <c r="H28" s="1" t="s">
        <v>21</v>
      </c>
      <c r="I28" s="1" t="s">
        <v>27</v>
      </c>
      <c r="J28" s="1" t="s">
        <v>20</v>
      </c>
      <c r="K28" s="1" t="s">
        <v>21</v>
      </c>
      <c r="L28" s="1" t="s">
        <v>21</v>
      </c>
      <c r="M28" s="1">
        <v>0</v>
      </c>
      <c r="N28" s="1">
        <v>7.5</v>
      </c>
      <c r="O28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8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8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8" s="1">
        <v>0</v>
      </c>
      <c r="S28" s="1">
        <v>0</v>
      </c>
      <c r="T28" s="1">
        <v>0</v>
      </c>
      <c r="U28" s="20" t="s">
        <v>21</v>
      </c>
      <c r="V28" s="21" t="s">
        <v>21</v>
      </c>
      <c r="W28" s="21" t="s">
        <v>21</v>
      </c>
      <c r="X2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8" s="18">
        <v>0</v>
      </c>
      <c r="AB28" s="18">
        <v>0</v>
      </c>
      <c r="AC28" s="18">
        <v>0</v>
      </c>
      <c r="AD28" s="14">
        <v>0</v>
      </c>
      <c r="AE28" s="21" t="s">
        <v>60</v>
      </c>
      <c r="AF28" s="18">
        <v>0</v>
      </c>
      <c r="AG28" s="18">
        <v>402</v>
      </c>
      <c r="AH28" s="19">
        <f>IF(ISNUMBER(Tabella2[[#This Row],[Mean RADIAL stress  (MPa)]]), Tabella2[[#This Row],[Mean RADIAL stress  (MPa)]],"")</f>
        <v>0</v>
      </c>
      <c r="AI28" s="18">
        <f>IF(ISNUMBER(Tabella2[[#This Row],[Amplitute RADIAL stress  (MPa)]]), Tabella2[[#This Row],[Amplitute RADIAL stress  (MPa)]],"")</f>
        <v>0</v>
      </c>
      <c r="AJ28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8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33299.654943421498</v>
      </c>
      <c r="AP28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696.28442464268869</v>
      </c>
    </row>
    <row r="29" spans="1:43" ht="20.100000000000001" customHeight="1" x14ac:dyDescent="0.3">
      <c r="A29" s="1" t="s">
        <v>65</v>
      </c>
      <c r="B29" s="1">
        <v>2014</v>
      </c>
      <c r="C29" s="1" t="s">
        <v>83</v>
      </c>
      <c r="D29" s="1" t="s">
        <v>95</v>
      </c>
      <c r="E29" s="14">
        <v>315668</v>
      </c>
      <c r="F29" s="1" t="s">
        <v>20</v>
      </c>
      <c r="G29" s="1" t="s">
        <v>64</v>
      </c>
      <c r="H29" s="1" t="s">
        <v>21</v>
      </c>
      <c r="I29" s="1" t="s">
        <v>27</v>
      </c>
      <c r="J29" s="1" t="s">
        <v>20</v>
      </c>
      <c r="K29" s="1" t="s">
        <v>21</v>
      </c>
      <c r="L29" s="1" t="s">
        <v>21</v>
      </c>
      <c r="M29" s="1">
        <v>0</v>
      </c>
      <c r="N29" s="1">
        <v>7.5</v>
      </c>
      <c r="O29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29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29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29" s="1">
        <v>0</v>
      </c>
      <c r="S29" s="1">
        <v>0</v>
      </c>
      <c r="T29" s="1">
        <v>0</v>
      </c>
      <c r="U29" s="20" t="s">
        <v>21</v>
      </c>
      <c r="V29" s="21" t="s">
        <v>21</v>
      </c>
      <c r="W29" s="21" t="s">
        <v>21</v>
      </c>
      <c r="X2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9" s="18">
        <v>0</v>
      </c>
      <c r="AB29" s="18">
        <v>0</v>
      </c>
      <c r="AC29" s="18">
        <v>0</v>
      </c>
      <c r="AD29" s="14">
        <v>0</v>
      </c>
      <c r="AE29" s="21" t="s">
        <v>60</v>
      </c>
      <c r="AF29" s="18">
        <v>0</v>
      </c>
      <c r="AG29" s="18">
        <v>395</v>
      </c>
      <c r="AH29" s="19">
        <f>IF(ISNUMBER(Tabella2[[#This Row],[Mean RADIAL stress  (MPa)]]), Tabella2[[#This Row],[Mean RADIAL stress  (MPa)]],"")</f>
        <v>0</v>
      </c>
      <c r="AI29" s="18">
        <f>IF(ISNUMBER(Tabella2[[#This Row],[Amplitute RADIAL stress  (MPa)]]), Tabella2[[#This Row],[Amplitute RADIAL stress  (MPa)]],"")</f>
        <v>0</v>
      </c>
      <c r="AJ29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9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9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32719.810205600726</v>
      </c>
      <c r="AP29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</row>
    <row r="30" spans="1:43" ht="20.100000000000001" customHeight="1" x14ac:dyDescent="0.3">
      <c r="A30" s="1" t="s">
        <v>65</v>
      </c>
      <c r="B30" s="1">
        <v>2014</v>
      </c>
      <c r="C30" s="1" t="s">
        <v>83</v>
      </c>
      <c r="D30" s="1" t="s">
        <v>96</v>
      </c>
      <c r="E30" s="14">
        <v>1000000</v>
      </c>
      <c r="F30" s="1" t="s">
        <v>32</v>
      </c>
      <c r="G30" s="1" t="s">
        <v>64</v>
      </c>
      <c r="H30" s="1" t="s">
        <v>21</v>
      </c>
      <c r="I30" s="1" t="s">
        <v>27</v>
      </c>
      <c r="J30" s="1" t="s">
        <v>20</v>
      </c>
      <c r="K30" s="1" t="s">
        <v>21</v>
      </c>
      <c r="L30" s="1" t="s">
        <v>21</v>
      </c>
      <c r="M30" s="1">
        <v>0</v>
      </c>
      <c r="N30" s="1">
        <v>7.5</v>
      </c>
      <c r="O30" s="20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44.178646691106465</v>
      </c>
      <c r="P30" s="20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155.31555477342116</v>
      </c>
      <c r="Q30" s="2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310.63110954684231</v>
      </c>
      <c r="R30" s="1">
        <v>0</v>
      </c>
      <c r="S30" s="1">
        <v>0</v>
      </c>
      <c r="T30" s="1">
        <v>0</v>
      </c>
      <c r="U30" s="20" t="s">
        <v>21</v>
      </c>
      <c r="V30" s="21" t="s">
        <v>21</v>
      </c>
      <c r="W30" s="21" t="s">
        <v>21</v>
      </c>
      <c r="X3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0" s="18">
        <v>0</v>
      </c>
      <c r="AB30" s="18">
        <v>0</v>
      </c>
      <c r="AC30" s="18">
        <v>0</v>
      </c>
      <c r="AD30" s="14">
        <v>0</v>
      </c>
      <c r="AE30" s="21" t="s">
        <v>60</v>
      </c>
      <c r="AF30" s="18">
        <v>0</v>
      </c>
      <c r="AG30" s="18">
        <v>391</v>
      </c>
      <c r="AH30" s="19">
        <f>IF(ISNUMBER(Tabella2[[#This Row],[Mean RADIAL stress  (MPa)]]), Tabella2[[#This Row],[Mean RADIAL stress  (MPa)]],"")</f>
        <v>0</v>
      </c>
      <c r="AI30" s="18">
        <f>IF(ISNUMBER(Tabella2[[#This Row],[Amplitute RADIAL stress  (MPa)]]), Tabella2[[#This Row],[Amplitute RADIAL stress  (MPa)]],"")</f>
        <v>0</v>
      </c>
      <c r="AJ30" s="1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0" s="1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0" s="1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1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1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32388.470355417423</v>
      </c>
      <c r="AP30" s="1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677.231865759431</v>
      </c>
    </row>
    <row r="31" spans="1:43" ht="20.100000000000001" customHeight="1" x14ac:dyDescent="0.3">
      <c r="O31" s="20"/>
      <c r="P31" s="20"/>
      <c r="Z31" s="18"/>
      <c r="AG31" s="20"/>
    </row>
    <row r="32" spans="1:43" ht="20.100000000000001" customHeight="1" x14ac:dyDescent="0.3">
      <c r="O32" s="20"/>
      <c r="P32" s="20"/>
      <c r="Z32" s="18"/>
      <c r="AG32" s="20"/>
    </row>
    <row r="33" spans="1:43" s="17" customFormat="1" ht="20.100000000000001" customHeight="1" thickBot="1" x14ac:dyDescent="0.35">
      <c r="A33" s="1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"/>
      <c r="N33" s="1"/>
      <c r="O33" s="20"/>
      <c r="P33" s="20"/>
      <c r="Q33" s="1"/>
      <c r="R33" s="1"/>
      <c r="S33" s="1"/>
      <c r="T33" s="1"/>
      <c r="U33" s="20"/>
      <c r="V33" s="21"/>
      <c r="W33" s="21"/>
      <c r="X33" s="1"/>
      <c r="Y33" s="1"/>
      <c r="Z33" s="18"/>
      <c r="AA33" s="18"/>
      <c r="AB33" s="18"/>
      <c r="AC33" s="18"/>
      <c r="AD33" s="14"/>
      <c r="AE33" s="21"/>
      <c r="AF33" s="18"/>
      <c r="AG33" s="20"/>
      <c r="AH33" s="19"/>
      <c r="AI33" s="18"/>
      <c r="AJ33" s="18"/>
      <c r="AK33" s="18"/>
      <c r="AL33" s="18"/>
      <c r="AM33" s="18"/>
      <c r="AN33" s="18"/>
      <c r="AO33" s="18"/>
      <c r="AP33" s="1"/>
      <c r="AQ33" s="14"/>
    </row>
    <row r="34" spans="1:43" ht="20.100000000000001" customHeight="1" x14ac:dyDescent="0.3">
      <c r="O34" s="20"/>
      <c r="P34" s="20"/>
      <c r="Z34" s="18"/>
      <c r="AG34" s="20"/>
    </row>
    <row r="35" spans="1:43" ht="20.100000000000001" customHeight="1" x14ac:dyDescent="0.3">
      <c r="O35" s="20"/>
      <c r="P35" s="20"/>
      <c r="Z35" s="18"/>
      <c r="AG35" s="20"/>
    </row>
    <row r="36" spans="1:43" ht="20.100000000000001" customHeight="1" x14ac:dyDescent="0.3">
      <c r="O36" s="20"/>
      <c r="P36" s="20"/>
      <c r="Z36" s="18"/>
      <c r="AB36" s="40"/>
      <c r="AC36" s="40"/>
      <c r="AG36" s="20"/>
    </row>
    <row r="37" spans="1:43" ht="20.100000000000001" customHeight="1" x14ac:dyDescent="0.3">
      <c r="O37" s="20"/>
      <c r="P37" s="20"/>
      <c r="Z37" s="18"/>
      <c r="AB37" s="40"/>
      <c r="AC37" s="40"/>
      <c r="AG37" s="20"/>
    </row>
    <row r="38" spans="1:43" ht="20.100000000000001" customHeight="1" x14ac:dyDescent="0.3">
      <c r="O38" s="20"/>
      <c r="P38" s="20"/>
      <c r="Z38" s="18"/>
      <c r="AB38" s="40"/>
      <c r="AC38" s="40"/>
      <c r="AG38" s="20"/>
    </row>
    <row r="39" spans="1:43" ht="20.100000000000001" customHeight="1" x14ac:dyDescent="0.3">
      <c r="O39" s="20"/>
      <c r="P39" s="20"/>
      <c r="Z39" s="18"/>
      <c r="AB39" s="40"/>
      <c r="AC39" s="40"/>
      <c r="AG39" s="20"/>
    </row>
    <row r="40" spans="1:43" ht="20.100000000000001" customHeight="1" x14ac:dyDescent="0.3">
      <c r="O40" s="20"/>
      <c r="P40" s="20"/>
      <c r="Z40" s="18"/>
      <c r="AG40" s="20"/>
    </row>
    <row r="41" spans="1:43" ht="20.100000000000001" customHeight="1" x14ac:dyDescent="0.3">
      <c r="O41" s="20"/>
      <c r="P41" s="20"/>
      <c r="Z41" s="18"/>
      <c r="AG41" s="20"/>
    </row>
    <row r="42" spans="1:43" ht="20.100000000000001" customHeight="1" x14ac:dyDescent="0.3">
      <c r="O42" s="20"/>
      <c r="P42" s="20"/>
      <c r="Z42" s="18"/>
      <c r="AG42" s="20"/>
    </row>
    <row r="43" spans="1:43" ht="20.100000000000001" customHeight="1" x14ac:dyDescent="0.3">
      <c r="O43" s="20"/>
      <c r="P43" s="20"/>
      <c r="Z43" s="18"/>
      <c r="AG43" s="20"/>
    </row>
    <row r="44" spans="1:43" ht="20.100000000000001" customHeight="1" x14ac:dyDescent="0.3">
      <c r="O44" s="20"/>
      <c r="P44" s="20"/>
      <c r="Z44" s="18"/>
      <c r="AG44" s="20"/>
    </row>
    <row r="45" spans="1:43" ht="20.100000000000001" customHeight="1" x14ac:dyDescent="0.3">
      <c r="O45" s="20"/>
      <c r="P45" s="20"/>
      <c r="Z45" s="18"/>
      <c r="AG45" s="20"/>
    </row>
    <row r="46" spans="1:43" ht="20.100000000000001" customHeight="1" x14ac:dyDescent="0.3">
      <c r="O46" s="20"/>
      <c r="P46" s="20"/>
      <c r="Z46" s="18"/>
      <c r="AG46" s="20"/>
    </row>
    <row r="47" spans="1:43" s="17" customFormat="1" ht="20.100000000000001" customHeight="1" thickBot="1" x14ac:dyDescent="0.35">
      <c r="A47" s="1"/>
      <c r="B47" s="1"/>
      <c r="C47" s="1"/>
      <c r="D47" s="1"/>
      <c r="E47" s="14"/>
      <c r="F47" s="1"/>
      <c r="G47" s="1"/>
      <c r="H47" s="1"/>
      <c r="I47" s="1"/>
      <c r="J47" s="1"/>
      <c r="K47" s="1"/>
      <c r="L47" s="1"/>
      <c r="M47" s="1"/>
      <c r="N47" s="1"/>
      <c r="O47" s="20"/>
      <c r="P47" s="20"/>
      <c r="Q47" s="1"/>
      <c r="R47" s="1"/>
      <c r="S47" s="1"/>
      <c r="T47" s="1"/>
      <c r="U47" s="20"/>
      <c r="V47" s="21"/>
      <c r="W47" s="21"/>
      <c r="X47" s="1"/>
      <c r="Y47" s="1"/>
      <c r="Z47" s="18"/>
      <c r="AA47" s="18"/>
      <c r="AB47" s="18"/>
      <c r="AC47" s="18"/>
      <c r="AD47" s="14"/>
      <c r="AE47" s="21"/>
      <c r="AF47" s="18"/>
      <c r="AG47" s="20"/>
      <c r="AH47" s="19"/>
      <c r="AI47" s="18"/>
      <c r="AJ47" s="18"/>
      <c r="AK47" s="18"/>
      <c r="AL47" s="18"/>
      <c r="AM47" s="18"/>
      <c r="AN47" s="18"/>
      <c r="AO47" s="18"/>
      <c r="AP47" s="1"/>
      <c r="AQ47" s="14"/>
    </row>
    <row r="48" spans="1:43" ht="20.100000000000001" customHeight="1" x14ac:dyDescent="0.3">
      <c r="O48" s="20"/>
      <c r="P48" s="20"/>
      <c r="AG48" s="20"/>
    </row>
    <row r="49" spans="15:33" ht="20.100000000000001" customHeight="1" x14ac:dyDescent="0.3">
      <c r="O49" s="20"/>
      <c r="P49" s="20"/>
      <c r="AG49" s="20"/>
    </row>
    <row r="50" spans="15:33" ht="20.100000000000001" customHeight="1" x14ac:dyDescent="0.3">
      <c r="O50" s="20"/>
      <c r="P50" s="20"/>
      <c r="AG50" s="20"/>
    </row>
    <row r="51" spans="15:33" ht="20.100000000000001" customHeight="1" x14ac:dyDescent="0.3">
      <c r="O51" s="20"/>
      <c r="P51" s="20"/>
      <c r="AG51" s="20"/>
    </row>
    <row r="52" spans="15:33" ht="20.100000000000001" customHeight="1" x14ac:dyDescent="0.3">
      <c r="O52" s="20"/>
      <c r="P52" s="20"/>
      <c r="AG52" s="20"/>
    </row>
    <row r="53" spans="15:33" ht="20.100000000000001" customHeight="1" x14ac:dyDescent="0.3">
      <c r="O53" s="20"/>
      <c r="P53" s="20"/>
      <c r="AG53" s="20"/>
    </row>
    <row r="54" spans="15:33" ht="20.100000000000001" customHeight="1" x14ac:dyDescent="0.3">
      <c r="O54" s="20"/>
      <c r="P54" s="20"/>
      <c r="AG54" s="20"/>
    </row>
    <row r="55" spans="15:33" ht="20.100000000000001" customHeight="1" x14ac:dyDescent="0.3">
      <c r="O55" s="20"/>
      <c r="P55" s="20"/>
      <c r="AG55" s="20"/>
    </row>
    <row r="56" spans="15:33" ht="20.100000000000001" customHeight="1" x14ac:dyDescent="0.3">
      <c r="O56" s="20"/>
      <c r="P56" s="20"/>
      <c r="AG56" s="20"/>
    </row>
    <row r="57" spans="15:33" ht="20.100000000000001" customHeight="1" x14ac:dyDescent="0.3">
      <c r="O57" s="20"/>
      <c r="P57" s="20"/>
      <c r="AG57" s="20"/>
    </row>
    <row r="58" spans="15:33" ht="20.100000000000001" customHeight="1" x14ac:dyDescent="0.3">
      <c r="O58" s="20"/>
      <c r="P58" s="20"/>
      <c r="AG58" s="20"/>
    </row>
    <row r="59" spans="15:33" ht="20.100000000000001" customHeight="1" x14ac:dyDescent="0.3">
      <c r="O59" s="20"/>
      <c r="P59" s="20"/>
      <c r="AG59" s="20"/>
    </row>
    <row r="60" spans="15:33" ht="20.100000000000001" customHeight="1" x14ac:dyDescent="0.3">
      <c r="O60" s="20"/>
      <c r="P60" s="20"/>
      <c r="AG60" s="20"/>
    </row>
    <row r="61" spans="15:33" ht="20.100000000000001" customHeight="1" x14ac:dyDescent="0.3">
      <c r="O61" s="20"/>
      <c r="P61" s="20"/>
      <c r="AG61" s="20"/>
    </row>
    <row r="62" spans="15:33" ht="20.100000000000001" customHeight="1" x14ac:dyDescent="0.3">
      <c r="O62" s="20"/>
      <c r="P62" s="20"/>
      <c r="AG62" s="20"/>
    </row>
    <row r="63" spans="15:33" ht="20.100000000000001" customHeight="1" x14ac:dyDescent="0.3">
      <c r="O63" s="20"/>
      <c r="P63" s="20"/>
      <c r="AG63" s="20"/>
    </row>
    <row r="64" spans="15:33" ht="20.100000000000001" customHeight="1" x14ac:dyDescent="0.3">
      <c r="O64" s="20"/>
      <c r="P64" s="20"/>
      <c r="AG64" s="20"/>
    </row>
    <row r="65" spans="15:33" ht="20.100000000000001" customHeight="1" x14ac:dyDescent="0.3">
      <c r="O65" s="20"/>
      <c r="P65" s="20"/>
      <c r="AG65" s="20"/>
    </row>
    <row r="66" spans="15:33" ht="20.100000000000001" customHeight="1" x14ac:dyDescent="0.3">
      <c r="O66" s="20"/>
      <c r="P66" s="20"/>
      <c r="AG66" s="20"/>
    </row>
    <row r="67" spans="15:33" ht="20.100000000000001" customHeight="1" x14ac:dyDescent="0.3">
      <c r="O67" s="20"/>
      <c r="P67" s="20"/>
      <c r="AG67" s="20"/>
    </row>
    <row r="68" spans="15:33" ht="20.100000000000001" customHeight="1" x14ac:dyDescent="0.3">
      <c r="O68" s="20"/>
      <c r="P68" s="20"/>
      <c r="AG68" s="20"/>
    </row>
    <row r="69" spans="15:33" ht="20.100000000000001" customHeight="1" x14ac:dyDescent="0.3">
      <c r="O69" s="20"/>
      <c r="P69" s="20"/>
      <c r="AG69" s="20"/>
    </row>
    <row r="70" spans="15:33" ht="20.100000000000001" customHeight="1" x14ac:dyDescent="0.3">
      <c r="O70" s="20"/>
      <c r="P70" s="20"/>
      <c r="AG70" s="20"/>
    </row>
    <row r="71" spans="15:33" ht="20.100000000000001" customHeight="1" x14ac:dyDescent="0.3">
      <c r="O71" s="20"/>
      <c r="P71" s="20"/>
      <c r="AG71" s="20"/>
    </row>
    <row r="72" spans="15:33" ht="20.100000000000001" customHeight="1" x14ac:dyDescent="0.3">
      <c r="O72" s="20"/>
      <c r="P72" s="20"/>
      <c r="AG72" s="20"/>
    </row>
    <row r="73" spans="15:33" ht="20.100000000000001" customHeight="1" x14ac:dyDescent="0.3">
      <c r="O73" s="20"/>
      <c r="P73" s="20"/>
      <c r="AG73" s="20"/>
    </row>
    <row r="74" spans="15:33" ht="20.100000000000001" customHeight="1" x14ac:dyDescent="0.3">
      <c r="O74" s="20"/>
      <c r="P74" s="20"/>
      <c r="AG74" s="20"/>
    </row>
    <row r="75" spans="15:33" ht="20.100000000000001" customHeight="1" x14ac:dyDescent="0.3">
      <c r="O75" s="20"/>
      <c r="P75" s="20"/>
      <c r="AG75" s="20"/>
    </row>
    <row r="76" spans="15:33" ht="20.100000000000001" customHeight="1" x14ac:dyDescent="0.3">
      <c r="O76" s="20"/>
      <c r="P76" s="20"/>
      <c r="AG76" s="20"/>
    </row>
    <row r="77" spans="15:33" ht="20.100000000000001" customHeight="1" x14ac:dyDescent="0.3">
      <c r="O77" s="20"/>
      <c r="P77" s="20"/>
      <c r="AG77" s="20"/>
    </row>
    <row r="78" spans="15:33" ht="20.100000000000001" customHeight="1" x14ac:dyDescent="0.3">
      <c r="O78" s="20"/>
      <c r="P78" s="20"/>
      <c r="AG78" s="20"/>
    </row>
    <row r="79" spans="15:33" ht="20.100000000000001" customHeight="1" x14ac:dyDescent="0.3">
      <c r="O79" s="20"/>
      <c r="P79" s="20"/>
      <c r="AG79" s="20"/>
    </row>
    <row r="80" spans="15:33" ht="20.100000000000001" customHeight="1" x14ac:dyDescent="0.3">
      <c r="O80" s="20"/>
      <c r="P80" s="20"/>
      <c r="AG80" s="20"/>
    </row>
    <row r="81" spans="1:43" ht="20.100000000000001" customHeight="1" x14ac:dyDescent="0.3">
      <c r="O81" s="20"/>
      <c r="P81" s="20"/>
      <c r="AG81" s="20"/>
    </row>
    <row r="82" spans="1:43" ht="20.100000000000001" customHeight="1" x14ac:dyDescent="0.3">
      <c r="O82" s="20"/>
      <c r="P82" s="20"/>
      <c r="AG82" s="20"/>
    </row>
    <row r="83" spans="1:43" ht="20.100000000000001" customHeight="1" x14ac:dyDescent="0.3">
      <c r="O83" s="20"/>
      <c r="P83" s="20"/>
      <c r="AG83" s="20"/>
    </row>
    <row r="84" spans="1:43" ht="20.100000000000001" customHeight="1" x14ac:dyDescent="0.3">
      <c r="O84" s="20"/>
      <c r="P84" s="20"/>
      <c r="AG84" s="20"/>
    </row>
    <row r="85" spans="1:43" ht="20.100000000000001" customHeight="1" x14ac:dyDescent="0.3">
      <c r="O85" s="20"/>
      <c r="P85" s="20"/>
      <c r="AG85" s="20"/>
    </row>
    <row r="86" spans="1:43" ht="20.100000000000001" customHeight="1" x14ac:dyDescent="0.3">
      <c r="O86" s="20"/>
      <c r="P86" s="20"/>
      <c r="AG86" s="20"/>
    </row>
    <row r="87" spans="1:43" ht="20.100000000000001" customHeight="1" x14ac:dyDescent="0.3">
      <c r="O87" s="20"/>
      <c r="P87" s="20"/>
      <c r="AG87" s="20"/>
    </row>
    <row r="88" spans="1:43" ht="20.100000000000001" customHeight="1" x14ac:dyDescent="0.3">
      <c r="O88" s="20"/>
      <c r="P88" s="20"/>
      <c r="AG88" s="20"/>
    </row>
    <row r="89" spans="1:43" ht="20.100000000000001" customHeight="1" x14ac:dyDescent="0.3">
      <c r="O89" s="20"/>
      <c r="P89" s="20"/>
      <c r="AG89" s="20"/>
    </row>
    <row r="90" spans="1:43" ht="20.100000000000001" customHeight="1" x14ac:dyDescent="0.3">
      <c r="O90" s="20"/>
      <c r="P90" s="20"/>
      <c r="AG90" s="20"/>
    </row>
    <row r="91" spans="1:43" ht="20.100000000000001" customHeight="1" x14ac:dyDescent="0.3">
      <c r="O91" s="20"/>
      <c r="P91" s="20"/>
      <c r="AG91" s="20"/>
    </row>
    <row r="92" spans="1:43" ht="20.100000000000001" customHeight="1" x14ac:dyDescent="0.3">
      <c r="O92" s="20"/>
      <c r="P92" s="20"/>
      <c r="AG92" s="20"/>
    </row>
    <row r="93" spans="1:43" ht="20.100000000000001" customHeight="1" x14ac:dyDescent="0.3">
      <c r="O93" s="20"/>
      <c r="P93" s="20"/>
      <c r="AG93" s="20"/>
    </row>
    <row r="94" spans="1:43" s="17" customFormat="1" ht="20.100000000000001" customHeight="1" thickBot="1" x14ac:dyDescent="0.35">
      <c r="A94" s="1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"/>
      <c r="N94" s="1"/>
      <c r="O94" s="20"/>
      <c r="P94" s="20"/>
      <c r="Q94" s="1"/>
      <c r="R94" s="1"/>
      <c r="S94" s="1"/>
      <c r="T94" s="1"/>
      <c r="U94" s="20"/>
      <c r="V94" s="21"/>
      <c r="W94" s="21"/>
      <c r="X94" s="1"/>
      <c r="Y94" s="1"/>
      <c r="Z94" s="1"/>
      <c r="AA94" s="18"/>
      <c r="AB94" s="18"/>
      <c r="AC94" s="18"/>
      <c r="AD94" s="14"/>
      <c r="AE94" s="21"/>
      <c r="AF94" s="18"/>
      <c r="AG94" s="20"/>
      <c r="AH94" s="19"/>
      <c r="AI94" s="18"/>
      <c r="AJ94" s="18"/>
      <c r="AK94" s="18"/>
      <c r="AL94" s="18"/>
      <c r="AM94" s="18"/>
      <c r="AN94" s="18"/>
      <c r="AO94" s="18"/>
      <c r="AP94" s="1"/>
      <c r="AQ94" s="14"/>
    </row>
    <row r="95" spans="1:43" ht="20.100000000000001" customHeight="1" x14ac:dyDescent="0.3">
      <c r="O95" s="20"/>
      <c r="P95" s="20"/>
      <c r="AG95" s="20"/>
    </row>
    <row r="96" spans="1:43" ht="20.100000000000001" customHeight="1" x14ac:dyDescent="0.3">
      <c r="O96" s="20"/>
      <c r="P96" s="20"/>
      <c r="AG96" s="20"/>
    </row>
    <row r="97" spans="15:33" ht="20.100000000000001" customHeight="1" x14ac:dyDescent="0.3">
      <c r="O97" s="20"/>
      <c r="P97" s="20"/>
      <c r="AG97" s="20"/>
    </row>
    <row r="98" spans="15:33" ht="20.100000000000001" customHeight="1" x14ac:dyDescent="0.3">
      <c r="O98" s="20"/>
      <c r="P98" s="20"/>
      <c r="AG98" s="20"/>
    </row>
    <row r="99" spans="15:33" ht="20.100000000000001" customHeight="1" x14ac:dyDescent="0.3">
      <c r="O99" s="20"/>
      <c r="P99" s="20"/>
      <c r="AG99" s="20"/>
    </row>
    <row r="100" spans="15:33" ht="20.100000000000001" customHeight="1" x14ac:dyDescent="0.3">
      <c r="O100" s="20"/>
      <c r="P100" s="20"/>
      <c r="AG100" s="20"/>
    </row>
    <row r="101" spans="15:33" ht="20.100000000000001" customHeight="1" x14ac:dyDescent="0.3">
      <c r="O101" s="20"/>
      <c r="P101" s="20"/>
      <c r="AG101" s="20"/>
    </row>
    <row r="102" spans="15:33" ht="20.100000000000001" customHeight="1" x14ac:dyDescent="0.3">
      <c r="O102" s="20"/>
      <c r="P102" s="20"/>
      <c r="AG102" s="20"/>
    </row>
    <row r="103" spans="15:33" ht="20.100000000000001" customHeight="1" x14ac:dyDescent="0.3">
      <c r="O103" s="20"/>
      <c r="P103" s="20"/>
      <c r="AG103" s="20"/>
    </row>
    <row r="104" spans="15:33" ht="20.100000000000001" customHeight="1" x14ac:dyDescent="0.3">
      <c r="O104" s="20"/>
      <c r="P104" s="20"/>
      <c r="AG104" s="20"/>
    </row>
    <row r="105" spans="15:33" ht="20.100000000000001" customHeight="1" x14ac:dyDescent="0.3">
      <c r="O105" s="20"/>
      <c r="P105" s="20"/>
      <c r="AG105" s="20"/>
    </row>
    <row r="106" spans="15:33" ht="20.100000000000001" customHeight="1" x14ac:dyDescent="0.3">
      <c r="O106" s="20"/>
      <c r="P106" s="20"/>
      <c r="AG106" s="20"/>
    </row>
    <row r="107" spans="15:33" ht="20.100000000000001" customHeight="1" x14ac:dyDescent="0.3">
      <c r="O107" s="20"/>
      <c r="P107" s="20"/>
      <c r="AG107" s="20"/>
    </row>
    <row r="108" spans="15:33" ht="20.100000000000001" customHeight="1" x14ac:dyDescent="0.3">
      <c r="O108" s="20"/>
      <c r="P108" s="20"/>
      <c r="AG108" s="20"/>
    </row>
    <row r="109" spans="15:33" ht="20.100000000000001" customHeight="1" x14ac:dyDescent="0.3">
      <c r="O109" s="20"/>
      <c r="P109" s="20"/>
      <c r="AG109" s="20"/>
    </row>
    <row r="110" spans="15:33" ht="20.100000000000001" customHeight="1" x14ac:dyDescent="0.3">
      <c r="O110" s="20"/>
      <c r="P110" s="20"/>
      <c r="AG110" s="20"/>
    </row>
    <row r="111" spans="15:33" ht="20.100000000000001" customHeight="1" x14ac:dyDescent="0.3">
      <c r="O111" s="20"/>
      <c r="P111" s="20"/>
      <c r="AG111" s="20"/>
    </row>
    <row r="112" spans="15:33" ht="20.100000000000001" customHeight="1" x14ac:dyDescent="0.3">
      <c r="O112" s="20"/>
      <c r="P112" s="20"/>
      <c r="AG112" s="20"/>
    </row>
    <row r="113" spans="15:33" ht="20.100000000000001" customHeight="1" x14ac:dyDescent="0.3">
      <c r="O113" s="20"/>
      <c r="P113" s="20"/>
      <c r="AG113" s="20"/>
    </row>
    <row r="114" spans="15:33" ht="20.100000000000001" customHeight="1" x14ac:dyDescent="0.3">
      <c r="O114" s="20"/>
      <c r="P114" s="20"/>
      <c r="AG114" s="20"/>
    </row>
    <row r="115" spans="15:33" ht="20.100000000000001" customHeight="1" x14ac:dyDescent="0.3">
      <c r="O115" s="20"/>
      <c r="P115" s="20"/>
      <c r="AG115" s="20"/>
    </row>
    <row r="116" spans="15:33" ht="20.100000000000001" customHeight="1" x14ac:dyDescent="0.3">
      <c r="O116" s="20"/>
      <c r="P116" s="20"/>
      <c r="AG116" s="20"/>
    </row>
    <row r="117" spans="15:33" ht="20.100000000000001" customHeight="1" x14ac:dyDescent="0.3">
      <c r="O117" s="20"/>
      <c r="P117" s="20"/>
      <c r="AG117" s="20"/>
    </row>
    <row r="118" spans="15:33" ht="20.100000000000001" customHeight="1" x14ac:dyDescent="0.3">
      <c r="O118" s="20"/>
      <c r="P118" s="20"/>
      <c r="AG118" s="20"/>
    </row>
    <row r="119" spans="15:33" ht="20.100000000000001" customHeight="1" x14ac:dyDescent="0.3">
      <c r="O119" s="20"/>
      <c r="P119" s="20"/>
      <c r="AG119" s="20"/>
    </row>
    <row r="120" spans="15:33" ht="20.100000000000001" customHeight="1" x14ac:dyDescent="0.3">
      <c r="O120" s="20"/>
      <c r="P120" s="20"/>
      <c r="AG120" s="20"/>
    </row>
    <row r="121" spans="15:33" ht="20.100000000000001" customHeight="1" x14ac:dyDescent="0.3">
      <c r="O121" s="20"/>
      <c r="P121" s="20"/>
      <c r="AG121" s="20"/>
    </row>
    <row r="122" spans="15:33" ht="20.100000000000001" customHeight="1" x14ac:dyDescent="0.3">
      <c r="O122" s="20"/>
      <c r="P122" s="20"/>
      <c r="AG122" s="20"/>
    </row>
    <row r="123" spans="15:33" ht="20.100000000000001" customHeight="1" x14ac:dyDescent="0.3">
      <c r="O123" s="20"/>
      <c r="P123" s="20"/>
      <c r="AG123" s="20"/>
    </row>
    <row r="124" spans="15:33" ht="20.100000000000001" customHeight="1" x14ac:dyDescent="0.3">
      <c r="O124" s="20"/>
      <c r="P124" s="20"/>
      <c r="AG124" s="20"/>
    </row>
    <row r="125" spans="15:33" ht="20.100000000000001" customHeight="1" x14ac:dyDescent="0.3">
      <c r="O125" s="20"/>
      <c r="P125" s="20"/>
      <c r="AG125" s="20"/>
    </row>
    <row r="126" spans="15:33" ht="20.100000000000001" customHeight="1" x14ac:dyDescent="0.3">
      <c r="O126" s="20"/>
      <c r="P126" s="20"/>
      <c r="AG126" s="20"/>
    </row>
    <row r="127" spans="15:33" ht="20.100000000000001" customHeight="1" x14ac:dyDescent="0.3">
      <c r="O127" s="20"/>
      <c r="P127" s="20"/>
      <c r="AG127" s="20"/>
    </row>
    <row r="128" spans="15:33" ht="20.100000000000001" customHeight="1" x14ac:dyDescent="0.3">
      <c r="O128" s="20"/>
      <c r="P128" s="20"/>
      <c r="AG128" s="20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Tommaso Grossi</cp:lastModifiedBy>
  <dcterms:created xsi:type="dcterms:W3CDTF">2015-06-05T18:19:34Z</dcterms:created>
  <dcterms:modified xsi:type="dcterms:W3CDTF">2026-10-22T21:43:15Z</dcterms:modified>
</cp:coreProperties>
</file>