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1391" documentId="13_ncr:1_{B6241A85-8AF5-4DA4-A18C-73AB2898B46A}" xr6:coauthVersionLast="47" xr6:coauthVersionMax="47" xr10:uidLastSave="{AB277671-58F3-44DF-B2A2-718AAD69F280}"/>
  <bookViews>
    <workbookView xWindow="2868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/>
  <c r="P4" i="1"/>
  <c r="Q4" i="1"/>
  <c r="R4" i="1"/>
  <c r="N5" i="1"/>
  <c r="O5" i="1"/>
  <c r="P5" i="1"/>
  <c r="Q5" i="1"/>
  <c r="R5" i="1"/>
  <c r="L70" i="2"/>
  <c r="L71" i="2"/>
  <c r="L72" i="2"/>
  <c r="L73" i="2"/>
  <c r="L74" i="2"/>
  <c r="AC74" i="2" s="1"/>
  <c r="L75" i="2"/>
  <c r="AC75" i="2" s="1"/>
  <c r="M70" i="2"/>
  <c r="AF70" i="2" s="1"/>
  <c r="M71" i="2"/>
  <c r="AF71" i="2" s="1"/>
  <c r="M72" i="2"/>
  <c r="AF72" i="2" s="1"/>
  <c r="M73" i="2"/>
  <c r="AF73" i="2" s="1"/>
  <c r="M74" i="2"/>
  <c r="AF74" i="2" s="1"/>
  <c r="M75" i="2"/>
  <c r="AF75" i="2" s="1"/>
  <c r="S70" i="2"/>
  <c r="S71" i="2"/>
  <c r="S72" i="2"/>
  <c r="Y72" i="2" s="1"/>
  <c r="AA72" i="2" s="1"/>
  <c r="S73" i="2"/>
  <c r="Y73" i="2" s="1"/>
  <c r="AA73" i="2" s="1"/>
  <c r="S74" i="2"/>
  <c r="Y74" i="2" s="1"/>
  <c r="AA74" i="2" s="1"/>
  <c r="S75" i="2"/>
  <c r="Y75" i="2" s="1"/>
  <c r="AA75" i="2" s="1"/>
  <c r="U70" i="2"/>
  <c r="AB70" i="2" s="1"/>
  <c r="U71" i="2"/>
  <c r="AB71" i="2" s="1"/>
  <c r="U72" i="2"/>
  <c r="AB72" i="2" s="1"/>
  <c r="U73" i="2"/>
  <c r="AB73" i="2" s="1"/>
  <c r="U74" i="2"/>
  <c r="AB74" i="2" s="1"/>
  <c r="U75" i="2"/>
  <c r="AB75" i="2" s="1"/>
  <c r="W70" i="2"/>
  <c r="AE70" i="2" s="1"/>
  <c r="W71" i="2"/>
  <c r="AE71" i="2" s="1"/>
  <c r="W72" i="2"/>
  <c r="W73" i="2"/>
  <c r="W74" i="2"/>
  <c r="AE74" i="2" s="1"/>
  <c r="W75" i="2"/>
  <c r="AE75" i="2" s="1"/>
  <c r="Y70" i="2"/>
  <c r="AA70" i="2" s="1"/>
  <c r="Y71" i="2"/>
  <c r="Z70" i="2"/>
  <c r="Z71" i="2"/>
  <c r="Z72" i="2"/>
  <c r="Z73" i="2"/>
  <c r="Z74" i="2"/>
  <c r="Z75" i="2"/>
  <c r="AC70" i="2"/>
  <c r="AC71" i="2"/>
  <c r="AC72" i="2"/>
  <c r="AC73" i="2"/>
  <c r="AH70" i="2"/>
  <c r="AH71" i="2"/>
  <c r="AH72" i="2"/>
  <c r="AH73" i="2"/>
  <c r="AH74" i="2"/>
  <c r="AH75" i="2"/>
  <c r="AI70" i="2"/>
  <c r="AI71" i="2"/>
  <c r="AI72" i="2"/>
  <c r="AI73" i="2"/>
  <c r="AI74" i="2"/>
  <c r="AI75" i="2"/>
  <c r="L62" i="2"/>
  <c r="AC62" i="2" s="1"/>
  <c r="L63" i="2"/>
  <c r="AC63" i="2" s="1"/>
  <c r="L64" i="2"/>
  <c r="L65" i="2"/>
  <c r="AB65" i="2" s="1"/>
  <c r="L66" i="2"/>
  <c r="L67" i="2"/>
  <c r="L68" i="2"/>
  <c r="L69" i="2"/>
  <c r="AC69" i="2" s="1"/>
  <c r="M62" i="2"/>
  <c r="AF62" i="2" s="1"/>
  <c r="M63" i="2"/>
  <c r="AF63" i="2" s="1"/>
  <c r="M64" i="2"/>
  <c r="AF64" i="2" s="1"/>
  <c r="M65" i="2"/>
  <c r="AF65" i="2" s="1"/>
  <c r="M66" i="2"/>
  <c r="AF66" i="2" s="1"/>
  <c r="M67" i="2"/>
  <c r="M68" i="2"/>
  <c r="M69" i="2"/>
  <c r="AF69" i="2" s="1"/>
  <c r="S62" i="2"/>
  <c r="Y62" i="2" s="1"/>
  <c r="S63" i="2"/>
  <c r="Y63" i="2" s="1"/>
  <c r="S64" i="2"/>
  <c r="Y64" i="2" s="1"/>
  <c r="S65" i="2"/>
  <c r="Y65" i="2" s="1"/>
  <c r="AA65" i="2" s="1"/>
  <c r="S66" i="2"/>
  <c r="Y66" i="2" s="1"/>
  <c r="S67" i="2"/>
  <c r="Y67" i="2" s="1"/>
  <c r="AA67" i="2" s="1"/>
  <c r="S68" i="2"/>
  <c r="Y68" i="2" s="1"/>
  <c r="AA68" i="2" s="1"/>
  <c r="S69" i="2"/>
  <c r="Y69" i="2" s="1"/>
  <c r="AA69" i="2" s="1"/>
  <c r="U62" i="2"/>
  <c r="U63" i="2"/>
  <c r="U64" i="2"/>
  <c r="U65" i="2"/>
  <c r="U66" i="2"/>
  <c r="AB66" i="2" s="1"/>
  <c r="U67" i="2"/>
  <c r="AB67" i="2" s="1"/>
  <c r="U68" i="2"/>
  <c r="AB68" i="2" s="1"/>
  <c r="U69" i="2"/>
  <c r="AB69" i="2" s="1"/>
  <c r="W62" i="2"/>
  <c r="W63" i="2"/>
  <c r="W64" i="2"/>
  <c r="AE64" i="2" s="1"/>
  <c r="AG64" i="2" s="1"/>
  <c r="W65" i="2"/>
  <c r="AE65" i="2" s="1"/>
  <c r="AG65" i="2" s="1"/>
  <c r="W66" i="2"/>
  <c r="AE66" i="2" s="1"/>
  <c r="W67" i="2"/>
  <c r="W68" i="2"/>
  <c r="W69" i="2"/>
  <c r="Z62" i="2"/>
  <c r="Z63" i="2"/>
  <c r="Z64" i="2"/>
  <c r="Z65" i="2"/>
  <c r="Z66" i="2"/>
  <c r="Z67" i="2"/>
  <c r="Z68" i="2"/>
  <c r="Z69" i="2"/>
  <c r="AB64" i="2"/>
  <c r="AC64" i="2"/>
  <c r="AC65" i="2"/>
  <c r="AC66" i="2"/>
  <c r="AC67" i="2"/>
  <c r="AC68" i="2"/>
  <c r="AE62" i="2"/>
  <c r="AH62" i="2"/>
  <c r="AH63" i="2"/>
  <c r="AH64" i="2"/>
  <c r="AH65" i="2"/>
  <c r="AH66" i="2"/>
  <c r="AH67" i="2"/>
  <c r="AH68" i="2"/>
  <c r="AH69" i="2"/>
  <c r="AI62" i="2"/>
  <c r="AI63" i="2"/>
  <c r="AI64" i="2"/>
  <c r="AI65" i="2"/>
  <c r="AI66" i="2"/>
  <c r="AI67" i="2"/>
  <c r="AI68" i="2"/>
  <c r="AI69" i="2"/>
  <c r="L54" i="2"/>
  <c r="AC54" i="2" s="1"/>
  <c r="L55" i="2"/>
  <c r="AC55" i="2" s="1"/>
  <c r="L56" i="2"/>
  <c r="AC56" i="2" s="1"/>
  <c r="L57" i="2"/>
  <c r="AC57" i="2" s="1"/>
  <c r="L58" i="2"/>
  <c r="AC58" i="2" s="1"/>
  <c r="L59" i="2"/>
  <c r="AC59" i="2" s="1"/>
  <c r="L60" i="2"/>
  <c r="AC60" i="2" s="1"/>
  <c r="L61" i="2"/>
  <c r="AC61" i="2" s="1"/>
  <c r="M54" i="2"/>
  <c r="AF54" i="2" s="1"/>
  <c r="M55" i="2"/>
  <c r="AF55" i="2" s="1"/>
  <c r="M56" i="2"/>
  <c r="AF56" i="2" s="1"/>
  <c r="M57" i="2"/>
  <c r="AF57" i="2" s="1"/>
  <c r="M58" i="2"/>
  <c r="AF58" i="2" s="1"/>
  <c r="M59" i="2"/>
  <c r="AF59" i="2" s="1"/>
  <c r="M60" i="2"/>
  <c r="AF60" i="2" s="1"/>
  <c r="M61" i="2"/>
  <c r="AF61" i="2" s="1"/>
  <c r="S54" i="2"/>
  <c r="Y54" i="2" s="1"/>
  <c r="S55" i="2"/>
  <c r="Y55" i="2" s="1"/>
  <c r="S56" i="2"/>
  <c r="Y56" i="2" s="1"/>
  <c r="S57" i="2"/>
  <c r="Y57" i="2" s="1"/>
  <c r="S58" i="2"/>
  <c r="Y58" i="2" s="1"/>
  <c r="S59" i="2"/>
  <c r="Y59" i="2" s="1"/>
  <c r="S60" i="2"/>
  <c r="Y60" i="2" s="1"/>
  <c r="S61" i="2"/>
  <c r="Y61" i="2" s="1"/>
  <c r="U54" i="2"/>
  <c r="U55" i="2"/>
  <c r="U56" i="2"/>
  <c r="U57" i="2"/>
  <c r="U58" i="2"/>
  <c r="U59" i="2"/>
  <c r="U60" i="2"/>
  <c r="AB60" i="2" s="1"/>
  <c r="U61" i="2"/>
  <c r="W54" i="2"/>
  <c r="W55" i="2"/>
  <c r="W56" i="2"/>
  <c r="W57" i="2"/>
  <c r="W58" i="2"/>
  <c r="W59" i="2"/>
  <c r="W60" i="2"/>
  <c r="W61" i="2"/>
  <c r="Z54" i="2"/>
  <c r="Z55" i="2"/>
  <c r="Z56" i="2"/>
  <c r="Z57" i="2"/>
  <c r="Z58" i="2"/>
  <c r="Z59" i="2"/>
  <c r="Z60" i="2"/>
  <c r="Z61" i="2"/>
  <c r="AH54" i="2"/>
  <c r="AH55" i="2"/>
  <c r="AH56" i="2"/>
  <c r="AH57" i="2"/>
  <c r="AH58" i="2"/>
  <c r="AH59" i="2"/>
  <c r="AH60" i="2"/>
  <c r="AH61" i="2"/>
  <c r="AI54" i="2"/>
  <c r="AI55" i="2"/>
  <c r="AI56" i="2"/>
  <c r="AI57" i="2"/>
  <c r="AI58" i="2"/>
  <c r="AI59" i="2"/>
  <c r="AI60" i="2"/>
  <c r="AI61" i="2"/>
  <c r="L48" i="2"/>
  <c r="L49" i="2"/>
  <c r="AC49" i="2" s="1"/>
  <c r="L50" i="2"/>
  <c r="AC50" i="2" s="1"/>
  <c r="L51" i="2"/>
  <c r="AC51" i="2" s="1"/>
  <c r="L52" i="2"/>
  <c r="AC52" i="2" s="1"/>
  <c r="L53" i="2"/>
  <c r="AC53" i="2" s="1"/>
  <c r="M48" i="2"/>
  <c r="AF48" i="2" s="1"/>
  <c r="M49" i="2"/>
  <c r="AF49" i="2" s="1"/>
  <c r="M50" i="2"/>
  <c r="AF50" i="2" s="1"/>
  <c r="M51" i="2"/>
  <c r="AF51" i="2" s="1"/>
  <c r="M52" i="2"/>
  <c r="AF52" i="2" s="1"/>
  <c r="M53" i="2"/>
  <c r="AF53" i="2" s="1"/>
  <c r="S48" i="2"/>
  <c r="Y48" i="2" s="1"/>
  <c r="S49" i="2"/>
  <c r="Y49" i="2" s="1"/>
  <c r="S50" i="2"/>
  <c r="Y50" i="2" s="1"/>
  <c r="S51" i="2"/>
  <c r="Y51" i="2" s="1"/>
  <c r="S52" i="2"/>
  <c r="S53" i="2"/>
  <c r="Y53" i="2" s="1"/>
  <c r="U48" i="2"/>
  <c r="U49" i="2"/>
  <c r="U50" i="2"/>
  <c r="U51" i="2"/>
  <c r="U52" i="2"/>
  <c r="AB52" i="2" s="1"/>
  <c r="U53" i="2"/>
  <c r="W48" i="2"/>
  <c r="W49" i="2"/>
  <c r="W50" i="2"/>
  <c r="W51" i="2"/>
  <c r="W52" i="2"/>
  <c r="W53" i="2"/>
  <c r="Y52" i="2"/>
  <c r="Z48" i="2"/>
  <c r="Z49" i="2"/>
  <c r="Z50" i="2"/>
  <c r="Z51" i="2"/>
  <c r="Z52" i="2"/>
  <c r="Z53" i="2"/>
  <c r="AH48" i="2"/>
  <c r="AH49" i="2"/>
  <c r="AH50" i="2"/>
  <c r="AH51" i="2"/>
  <c r="AH52" i="2"/>
  <c r="AH53" i="2"/>
  <c r="AI48" i="2"/>
  <c r="AI49" i="2"/>
  <c r="AI50" i="2"/>
  <c r="AI51" i="2"/>
  <c r="AI52" i="2"/>
  <c r="AI53" i="2"/>
  <c r="L43" i="2"/>
  <c r="AC43" i="2" s="1"/>
  <c r="L44" i="2"/>
  <c r="AC44" i="2" s="1"/>
  <c r="L45" i="2"/>
  <c r="AC45" i="2" s="1"/>
  <c r="L46" i="2"/>
  <c r="AC46" i="2" s="1"/>
  <c r="L47" i="2"/>
  <c r="AC47" i="2" s="1"/>
  <c r="M43" i="2"/>
  <c r="AF43" i="2" s="1"/>
  <c r="M44" i="2"/>
  <c r="AF44" i="2" s="1"/>
  <c r="M45" i="2"/>
  <c r="AF45" i="2" s="1"/>
  <c r="M46" i="2"/>
  <c r="M47" i="2"/>
  <c r="AF47" i="2" s="1"/>
  <c r="S43" i="2"/>
  <c r="Y43" i="2" s="1"/>
  <c r="S44" i="2"/>
  <c r="Y44" i="2" s="1"/>
  <c r="S45" i="2"/>
  <c r="Y45" i="2" s="1"/>
  <c r="S46" i="2"/>
  <c r="Y46" i="2" s="1"/>
  <c r="S47" i="2"/>
  <c r="Y47" i="2" s="1"/>
  <c r="U43" i="2"/>
  <c r="U44" i="2"/>
  <c r="U45" i="2"/>
  <c r="U46" i="2"/>
  <c r="U47" i="2"/>
  <c r="W43" i="2"/>
  <c r="W44" i="2"/>
  <c r="W45" i="2"/>
  <c r="W46" i="2"/>
  <c r="W47" i="2"/>
  <c r="Z43" i="2"/>
  <c r="Z44" i="2"/>
  <c r="Z45" i="2"/>
  <c r="Z46" i="2"/>
  <c r="Z47" i="2"/>
  <c r="AH43" i="2"/>
  <c r="AH44" i="2"/>
  <c r="AH45" i="2"/>
  <c r="AH46" i="2"/>
  <c r="AH47" i="2"/>
  <c r="AI43" i="2"/>
  <c r="AI44" i="2"/>
  <c r="AI45" i="2"/>
  <c r="AI46" i="2"/>
  <c r="AI47" i="2"/>
  <c r="L38" i="2"/>
  <c r="AC38" i="2" s="1"/>
  <c r="L39" i="2"/>
  <c r="AC39" i="2" s="1"/>
  <c r="L40" i="2"/>
  <c r="AC40" i="2" s="1"/>
  <c r="L41" i="2"/>
  <c r="AC41" i="2" s="1"/>
  <c r="L42" i="2"/>
  <c r="AC42" i="2" s="1"/>
  <c r="M38" i="2"/>
  <c r="AF38" i="2" s="1"/>
  <c r="M39" i="2"/>
  <c r="AF39" i="2" s="1"/>
  <c r="M40" i="2"/>
  <c r="AF40" i="2" s="1"/>
  <c r="M41" i="2"/>
  <c r="AF41" i="2" s="1"/>
  <c r="M42" i="2"/>
  <c r="AF42" i="2" s="1"/>
  <c r="S38" i="2"/>
  <c r="Y38" i="2" s="1"/>
  <c r="S39" i="2"/>
  <c r="Y39" i="2" s="1"/>
  <c r="AA39" i="2" s="1"/>
  <c r="S40" i="2"/>
  <c r="Y40" i="2" s="1"/>
  <c r="S41" i="2"/>
  <c r="Y41" i="2" s="1"/>
  <c r="S42" i="2"/>
  <c r="Y42" i="2" s="1"/>
  <c r="U38" i="2"/>
  <c r="U39" i="2"/>
  <c r="U40" i="2"/>
  <c r="U41" i="2"/>
  <c r="U42" i="2"/>
  <c r="W38" i="2"/>
  <c r="W39" i="2"/>
  <c r="W40" i="2"/>
  <c r="W41" i="2"/>
  <c r="W42" i="2"/>
  <c r="Z38" i="2"/>
  <c r="Z39" i="2"/>
  <c r="Z40" i="2"/>
  <c r="Z41" i="2"/>
  <c r="Z42" i="2"/>
  <c r="AH38" i="2"/>
  <c r="AH39" i="2"/>
  <c r="AH40" i="2"/>
  <c r="AH41" i="2"/>
  <c r="AH42" i="2"/>
  <c r="AI38" i="2"/>
  <c r="AI39" i="2"/>
  <c r="AI40" i="2"/>
  <c r="AI41" i="2"/>
  <c r="AI42" i="2"/>
  <c r="L37" i="2"/>
  <c r="AC37" i="2" s="1"/>
  <c r="M37" i="2"/>
  <c r="S37" i="2"/>
  <c r="Y37" i="2" s="1"/>
  <c r="U37" i="2"/>
  <c r="W37" i="2"/>
  <c r="Z37" i="2"/>
  <c r="AH37" i="2"/>
  <c r="AI37" i="2"/>
  <c r="L29" i="2"/>
  <c r="AC29" i="2" s="1"/>
  <c r="L30" i="2"/>
  <c r="AC30" i="2" s="1"/>
  <c r="L31" i="2"/>
  <c r="AC31" i="2" s="1"/>
  <c r="L32" i="2"/>
  <c r="AC32" i="2" s="1"/>
  <c r="L33" i="2"/>
  <c r="AC33" i="2" s="1"/>
  <c r="L34" i="2"/>
  <c r="AC34" i="2" s="1"/>
  <c r="L35" i="2"/>
  <c r="AC35" i="2" s="1"/>
  <c r="L36" i="2"/>
  <c r="AC36" i="2" s="1"/>
  <c r="M29" i="2"/>
  <c r="AF29" i="2" s="1"/>
  <c r="M30" i="2"/>
  <c r="AF30" i="2" s="1"/>
  <c r="M31" i="2"/>
  <c r="AF31" i="2" s="1"/>
  <c r="M32" i="2"/>
  <c r="AF32" i="2" s="1"/>
  <c r="M33" i="2"/>
  <c r="AF33" i="2" s="1"/>
  <c r="M34" i="2"/>
  <c r="AF34" i="2" s="1"/>
  <c r="M35" i="2"/>
  <c r="AF35" i="2" s="1"/>
  <c r="M36" i="2"/>
  <c r="AF36" i="2" s="1"/>
  <c r="S29" i="2"/>
  <c r="Y29" i="2" s="1"/>
  <c r="S30" i="2"/>
  <c r="Y30" i="2" s="1"/>
  <c r="S31" i="2"/>
  <c r="Y31" i="2" s="1"/>
  <c r="S32" i="2"/>
  <c r="Y32" i="2" s="1"/>
  <c r="S33" i="2"/>
  <c r="Y33" i="2" s="1"/>
  <c r="S34" i="2"/>
  <c r="Y34" i="2" s="1"/>
  <c r="S35" i="2"/>
  <c r="Y35" i="2" s="1"/>
  <c r="S36" i="2"/>
  <c r="Y36" i="2" s="1"/>
  <c r="U29" i="2"/>
  <c r="U30" i="2"/>
  <c r="U31" i="2"/>
  <c r="U32" i="2"/>
  <c r="U33" i="2"/>
  <c r="U34" i="2"/>
  <c r="U35" i="2"/>
  <c r="U36" i="2"/>
  <c r="W29" i="2"/>
  <c r="W30" i="2"/>
  <c r="W31" i="2"/>
  <c r="W32" i="2"/>
  <c r="W33" i="2"/>
  <c r="W34" i="2"/>
  <c r="W35" i="2"/>
  <c r="W36" i="2"/>
  <c r="Z29" i="2"/>
  <c r="Z30" i="2"/>
  <c r="Z31" i="2"/>
  <c r="Z32" i="2"/>
  <c r="Z33" i="2"/>
  <c r="Z34" i="2"/>
  <c r="Z35" i="2"/>
  <c r="Z36" i="2"/>
  <c r="AH29" i="2"/>
  <c r="AH30" i="2"/>
  <c r="AH31" i="2"/>
  <c r="AH32" i="2"/>
  <c r="AH33" i="2"/>
  <c r="AH34" i="2"/>
  <c r="AH35" i="2"/>
  <c r="AH36" i="2"/>
  <c r="AI29" i="2"/>
  <c r="AI30" i="2"/>
  <c r="AI31" i="2"/>
  <c r="AI32" i="2"/>
  <c r="AI33" i="2"/>
  <c r="AI34" i="2"/>
  <c r="AI35" i="2"/>
  <c r="AI36" i="2"/>
  <c r="L28" i="2"/>
  <c r="AC28" i="2" s="1"/>
  <c r="M28" i="2"/>
  <c r="AF28" i="2" s="1"/>
  <c r="S28" i="2"/>
  <c r="Y28" i="2" s="1"/>
  <c r="U28" i="2"/>
  <c r="W28" i="2"/>
  <c r="Z28" i="2"/>
  <c r="AH28" i="2"/>
  <c r="AI28" i="2"/>
  <c r="H5" i="1"/>
  <c r="G5" i="1"/>
  <c r="L4" i="1"/>
  <c r="M4" i="1"/>
  <c r="L5" i="1"/>
  <c r="M5" i="1"/>
  <c r="K2" i="1"/>
  <c r="AH4" i="2"/>
  <c r="AI4" i="2"/>
  <c r="AH5" i="2"/>
  <c r="AI5" i="2"/>
  <c r="AH6" i="2"/>
  <c r="AI6" i="2"/>
  <c r="AH7" i="2"/>
  <c r="AI7" i="2"/>
  <c r="AH8" i="2"/>
  <c r="AI8" i="2"/>
  <c r="AH9" i="2"/>
  <c r="AI9" i="2"/>
  <c r="AH10" i="2"/>
  <c r="AI10" i="2"/>
  <c r="AH11" i="2"/>
  <c r="AI11" i="2"/>
  <c r="AH12" i="2"/>
  <c r="AI12" i="2"/>
  <c r="AH13" i="2"/>
  <c r="AI13" i="2"/>
  <c r="AH14" i="2"/>
  <c r="AI14" i="2"/>
  <c r="AH15" i="2"/>
  <c r="AI15" i="2"/>
  <c r="AH16" i="2"/>
  <c r="AI16" i="2"/>
  <c r="AH17" i="2"/>
  <c r="AI17" i="2"/>
  <c r="AH18" i="2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H27" i="2"/>
  <c r="AI27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S4" i="2"/>
  <c r="Y4" i="2" s="1"/>
  <c r="S5" i="2"/>
  <c r="Y5" i="2" s="1"/>
  <c r="S6" i="2"/>
  <c r="Y6" i="2" s="1"/>
  <c r="S7" i="2"/>
  <c r="Y7" i="2" s="1"/>
  <c r="S8" i="2"/>
  <c r="Y8" i="2" s="1"/>
  <c r="S9" i="2"/>
  <c r="Y9" i="2" s="1"/>
  <c r="S10" i="2"/>
  <c r="Y10" i="2" s="1"/>
  <c r="S11" i="2"/>
  <c r="Y11" i="2" s="1"/>
  <c r="S12" i="2"/>
  <c r="Y12" i="2" s="1"/>
  <c r="S13" i="2"/>
  <c r="Y13" i="2" s="1"/>
  <c r="S14" i="2"/>
  <c r="Y14" i="2" s="1"/>
  <c r="S15" i="2"/>
  <c r="Y15" i="2" s="1"/>
  <c r="S16" i="2"/>
  <c r="Y16" i="2" s="1"/>
  <c r="S17" i="2"/>
  <c r="Y17" i="2" s="1"/>
  <c r="S18" i="2"/>
  <c r="Y18" i="2" s="1"/>
  <c r="S19" i="2"/>
  <c r="Y19" i="2" s="1"/>
  <c r="S20" i="2"/>
  <c r="Y20" i="2" s="1"/>
  <c r="S21" i="2"/>
  <c r="Y21" i="2" s="1"/>
  <c r="S22" i="2"/>
  <c r="Y22" i="2" s="1"/>
  <c r="S23" i="2"/>
  <c r="Y23" i="2" s="1"/>
  <c r="S24" i="2"/>
  <c r="Y24" i="2" s="1"/>
  <c r="S25" i="2"/>
  <c r="Y25" i="2" s="1"/>
  <c r="S26" i="2"/>
  <c r="Y26" i="2" s="1"/>
  <c r="S27" i="2"/>
  <c r="Y27" i="2" s="1"/>
  <c r="M4" i="2"/>
  <c r="M5" i="2"/>
  <c r="M6" i="2"/>
  <c r="M7" i="2"/>
  <c r="M8" i="2"/>
  <c r="AF8" i="2" s="1"/>
  <c r="M9" i="2"/>
  <c r="M10" i="2"/>
  <c r="AF10" i="2" s="1"/>
  <c r="M11" i="2"/>
  <c r="AF11" i="2" s="1"/>
  <c r="M12" i="2"/>
  <c r="AF12" i="2" s="1"/>
  <c r="M13" i="2"/>
  <c r="AF13" i="2" s="1"/>
  <c r="M14" i="2"/>
  <c r="AF14" i="2" s="1"/>
  <c r="M15" i="2"/>
  <c r="M16" i="2"/>
  <c r="M17" i="2"/>
  <c r="M18" i="2"/>
  <c r="M19" i="2"/>
  <c r="M20" i="2"/>
  <c r="M21" i="2"/>
  <c r="AF21" i="2" s="1"/>
  <c r="M22" i="2"/>
  <c r="AF22" i="2" s="1"/>
  <c r="M23" i="2"/>
  <c r="AF23" i="2" s="1"/>
  <c r="M24" i="2"/>
  <c r="AF24" i="2" s="1"/>
  <c r="M25" i="2"/>
  <c r="M26" i="2"/>
  <c r="AF26" i="2" s="1"/>
  <c r="M27" i="2"/>
  <c r="AF27" i="2" s="1"/>
  <c r="L4" i="2"/>
  <c r="AC4" i="2" s="1"/>
  <c r="L5" i="2"/>
  <c r="AC5" i="2" s="1"/>
  <c r="L6" i="2"/>
  <c r="AC6" i="2" s="1"/>
  <c r="L7" i="2"/>
  <c r="AC7" i="2" s="1"/>
  <c r="L8" i="2"/>
  <c r="AC8" i="2" s="1"/>
  <c r="L9" i="2"/>
  <c r="L10" i="2"/>
  <c r="AC10" i="2" s="1"/>
  <c r="L11" i="2"/>
  <c r="L12" i="2"/>
  <c r="L13" i="2"/>
  <c r="AC13" i="2" s="1"/>
  <c r="L14" i="2"/>
  <c r="L15" i="2"/>
  <c r="L16" i="2"/>
  <c r="L17" i="2"/>
  <c r="AC17" i="2" s="1"/>
  <c r="L18" i="2"/>
  <c r="L19" i="2"/>
  <c r="L20" i="2"/>
  <c r="AC20" i="2" s="1"/>
  <c r="L21" i="2"/>
  <c r="AC21" i="2" s="1"/>
  <c r="L22" i="2"/>
  <c r="AC22" i="2" s="1"/>
  <c r="L23" i="2"/>
  <c r="AC23" i="2" s="1"/>
  <c r="L24" i="2"/>
  <c r="AC24" i="2" s="1"/>
  <c r="L25" i="2"/>
  <c r="L26" i="2"/>
  <c r="L27" i="2"/>
  <c r="AC27" i="2" s="1"/>
  <c r="D26" i="1"/>
  <c r="AH2" i="2"/>
  <c r="AH3" i="2"/>
  <c r="AA63" i="2" l="1"/>
  <c r="AA62" i="2"/>
  <c r="AE68" i="2"/>
  <c r="AE67" i="2"/>
  <c r="AD71" i="2"/>
  <c r="AD70" i="2"/>
  <c r="AA64" i="2"/>
  <c r="AA71" i="2"/>
  <c r="AG62" i="2"/>
  <c r="AG70" i="2"/>
  <c r="AD66" i="2"/>
  <c r="AG75" i="2"/>
  <c r="AD65" i="2"/>
  <c r="AG74" i="2"/>
  <c r="AG71" i="2"/>
  <c r="AE63" i="2"/>
  <c r="AG63" i="2" s="1"/>
  <c r="AD75" i="2"/>
  <c r="AD74" i="2"/>
  <c r="AD73" i="2"/>
  <c r="AD72" i="2"/>
  <c r="AA47" i="2"/>
  <c r="AB63" i="2"/>
  <c r="AD63" i="2" s="1"/>
  <c r="AE73" i="2"/>
  <c r="AG73" i="2" s="1"/>
  <c r="AB62" i="2"/>
  <c r="AD62" i="2" s="1"/>
  <c r="AE72" i="2"/>
  <c r="AG72" i="2" s="1"/>
  <c r="AB59" i="2"/>
  <c r="AD59" i="2" s="1"/>
  <c r="AA43" i="2"/>
  <c r="AE52" i="2"/>
  <c r="AG52" i="2" s="1"/>
  <c r="AA48" i="2"/>
  <c r="AF68" i="2"/>
  <c r="AG68" i="2" s="1"/>
  <c r="AD68" i="2"/>
  <c r="AF67" i="2"/>
  <c r="AG67" i="2" s="1"/>
  <c r="AD67" i="2"/>
  <c r="AG66" i="2"/>
  <c r="AA12" i="2"/>
  <c r="AE69" i="2"/>
  <c r="AG69" i="2" s="1"/>
  <c r="AD69" i="2"/>
  <c r="AE5" i="2"/>
  <c r="AA42" i="2"/>
  <c r="AD64" i="2"/>
  <c r="AA41" i="2"/>
  <c r="AB53" i="2"/>
  <c r="AD53" i="2" s="1"/>
  <c r="AA66" i="2"/>
  <c r="AB51" i="2"/>
  <c r="AD51" i="2" s="1"/>
  <c r="AA38" i="2"/>
  <c r="AE61" i="2"/>
  <c r="AA61" i="2"/>
  <c r="AA53" i="2"/>
  <c r="AE60" i="2"/>
  <c r="AA60" i="2"/>
  <c r="AE59" i="2"/>
  <c r="AG59" i="2" s="1"/>
  <c r="AA59" i="2"/>
  <c r="AE58" i="2"/>
  <c r="AA58" i="2"/>
  <c r="AE57" i="2"/>
  <c r="AA57" i="2"/>
  <c r="AA15" i="2"/>
  <c r="AB42" i="2"/>
  <c r="AE56" i="2"/>
  <c r="AG56" i="2" s="1"/>
  <c r="AA56" i="2"/>
  <c r="AE55" i="2"/>
  <c r="AG55" i="2" s="1"/>
  <c r="AA55" i="2"/>
  <c r="AE54" i="2"/>
  <c r="AA54" i="2"/>
  <c r="AB40" i="2"/>
  <c r="AA44" i="2"/>
  <c r="AA52" i="2"/>
  <c r="AA50" i="2"/>
  <c r="AA49" i="2"/>
  <c r="AB48" i="2"/>
  <c r="AD60" i="2"/>
  <c r="AG61" i="2"/>
  <c r="AG57" i="2"/>
  <c r="AD61" i="2"/>
  <c r="AB55" i="2"/>
  <c r="AD55" i="2" s="1"/>
  <c r="AG54" i="2"/>
  <c r="AB45" i="2"/>
  <c r="AD45" i="2" s="1"/>
  <c r="AB56" i="2"/>
  <c r="AD56" i="2" s="1"/>
  <c r="AE53" i="2"/>
  <c r="AG53" i="2" s="1"/>
  <c r="AG60" i="2"/>
  <c r="AE49" i="2"/>
  <c r="AG49" i="2" s="1"/>
  <c r="AB57" i="2"/>
  <c r="AD57" i="2" s="1"/>
  <c r="AE48" i="2"/>
  <c r="AG48" i="2" s="1"/>
  <c r="AB61" i="2"/>
  <c r="AB44" i="2"/>
  <c r="AG58" i="2"/>
  <c r="AB50" i="2"/>
  <c r="AD50" i="2" s="1"/>
  <c r="AB58" i="2"/>
  <c r="AD58" i="2" s="1"/>
  <c r="AE46" i="2"/>
  <c r="AE45" i="2"/>
  <c r="AG45" i="2" s="1"/>
  <c r="AC48" i="2"/>
  <c r="AF46" i="2"/>
  <c r="AE43" i="2"/>
  <c r="AG43" i="2" s="1"/>
  <c r="AB37" i="2"/>
  <c r="AD37" i="2" s="1"/>
  <c r="AB38" i="2"/>
  <c r="AD38" i="2" s="1"/>
  <c r="AB46" i="2"/>
  <c r="AD46" i="2" s="1"/>
  <c r="AA51" i="2"/>
  <c r="AB54" i="2"/>
  <c r="AD54" i="2" s="1"/>
  <c r="AB49" i="2"/>
  <c r="AD52" i="2"/>
  <c r="AD49" i="2"/>
  <c r="AB47" i="2"/>
  <c r="AD47" i="2" s="1"/>
  <c r="AD44" i="2"/>
  <c r="AE51" i="2"/>
  <c r="AG51" i="2" s="1"/>
  <c r="AB43" i="2"/>
  <c r="AD43" i="2" s="1"/>
  <c r="AE50" i="2"/>
  <c r="AG50" i="2" s="1"/>
  <c r="AE39" i="2"/>
  <c r="AG39" i="2" s="1"/>
  <c r="AA45" i="2"/>
  <c r="AA46" i="2"/>
  <c r="AE40" i="2"/>
  <c r="AG40" i="2" s="1"/>
  <c r="AB41" i="2"/>
  <c r="AD41" i="2" s="1"/>
  <c r="AB33" i="2"/>
  <c r="AD33" i="2" s="1"/>
  <c r="AE47" i="2"/>
  <c r="AG47" i="2" s="1"/>
  <c r="AB31" i="2"/>
  <c r="AD31" i="2" s="1"/>
  <c r="AB30" i="2"/>
  <c r="AB32" i="2"/>
  <c r="AD32" i="2" s="1"/>
  <c r="AB29" i="2"/>
  <c r="AD29" i="2" s="1"/>
  <c r="AE38" i="2"/>
  <c r="AG38" i="2" s="1"/>
  <c r="AE44" i="2"/>
  <c r="AG44" i="2" s="1"/>
  <c r="AB39" i="2"/>
  <c r="AD39" i="2" s="1"/>
  <c r="AB28" i="2"/>
  <c r="AD28" i="2" s="1"/>
  <c r="AE7" i="2"/>
  <c r="AA40" i="2"/>
  <c r="AB7" i="2"/>
  <c r="AD7" i="2" s="1"/>
  <c r="AE6" i="2"/>
  <c r="AB6" i="2"/>
  <c r="AD6" i="2" s="1"/>
  <c r="AB12" i="2"/>
  <c r="AB5" i="2"/>
  <c r="AD5" i="2" s="1"/>
  <c r="AB4" i="2"/>
  <c r="AD4" i="2" s="1"/>
  <c r="AE4" i="2"/>
  <c r="AB35" i="2"/>
  <c r="AD35" i="2" s="1"/>
  <c r="AE37" i="2"/>
  <c r="AD42" i="2"/>
  <c r="AE41" i="2"/>
  <c r="AG41" i="2" s="1"/>
  <c r="AD40" i="2"/>
  <c r="AF37" i="2"/>
  <c r="AE42" i="2"/>
  <c r="AG42" i="2" s="1"/>
  <c r="AE35" i="2"/>
  <c r="AG35" i="2" s="1"/>
  <c r="AA35" i="2"/>
  <c r="AE34" i="2"/>
  <c r="AG34" i="2" s="1"/>
  <c r="AA34" i="2"/>
  <c r="AE33" i="2"/>
  <c r="AG33" i="2" s="1"/>
  <c r="AE32" i="2"/>
  <c r="AG32" i="2" s="1"/>
  <c r="AA32" i="2"/>
  <c r="AE31" i="2"/>
  <c r="AG31" i="2" s="1"/>
  <c r="AE30" i="2"/>
  <c r="AG30" i="2" s="1"/>
  <c r="AE29" i="2"/>
  <c r="AG29" i="2" s="1"/>
  <c r="AA37" i="2"/>
  <c r="AA29" i="2"/>
  <c r="AA31" i="2"/>
  <c r="AA30" i="2"/>
  <c r="AB34" i="2"/>
  <c r="AD34" i="2" s="1"/>
  <c r="AA28" i="2"/>
  <c r="AA25" i="2"/>
  <c r="AB17" i="2"/>
  <c r="AD17" i="2" s="1"/>
  <c r="AA33" i="2"/>
  <c r="AA20" i="2"/>
  <c r="AA4" i="2"/>
  <c r="AE36" i="2"/>
  <c r="AG36" i="2" s="1"/>
  <c r="AA36" i="2"/>
  <c r="AD30" i="2"/>
  <c r="AB36" i="2"/>
  <c r="AD36" i="2" s="1"/>
  <c r="AE28" i="2"/>
  <c r="AG28" i="2" s="1"/>
  <c r="AA14" i="2"/>
  <c r="AA24" i="2"/>
  <c r="AA8" i="2"/>
  <c r="AA23" i="2"/>
  <c r="AA7" i="2"/>
  <c r="AA22" i="2"/>
  <c r="AA6" i="2"/>
  <c r="AA16" i="2"/>
  <c r="AB24" i="2"/>
  <c r="AD24" i="2" s="1"/>
  <c r="AB8" i="2"/>
  <c r="AD8" i="2" s="1"/>
  <c r="AA9" i="2"/>
  <c r="AE16" i="2"/>
  <c r="AE24" i="2"/>
  <c r="AG24" i="2" s="1"/>
  <c r="AE8" i="2"/>
  <c r="AG8" i="2" s="1"/>
  <c r="AE15" i="2"/>
  <c r="AA19" i="2"/>
  <c r="AE22" i="2"/>
  <c r="AG22" i="2" s="1"/>
  <c r="AA18" i="2"/>
  <c r="AA21" i="2"/>
  <c r="AA5" i="2"/>
  <c r="AE23" i="2"/>
  <c r="AG23" i="2" s="1"/>
  <c r="AA17" i="2"/>
  <c r="AA27" i="2"/>
  <c r="AA11" i="2"/>
  <c r="AA26" i="2"/>
  <c r="AA10" i="2"/>
  <c r="AA13" i="2"/>
  <c r="AB13" i="2"/>
  <c r="AD13" i="2" s="1"/>
  <c r="AE12" i="2"/>
  <c r="AG12" i="2" s="1"/>
  <c r="AE11" i="2"/>
  <c r="AG11" i="2" s="1"/>
  <c r="AB27" i="2"/>
  <c r="AD27" i="2" s="1"/>
  <c r="AE26" i="2"/>
  <c r="AG26" i="2" s="1"/>
  <c r="AE10" i="2"/>
  <c r="AG10" i="2" s="1"/>
  <c r="AF4" i="2"/>
  <c r="AB10" i="2"/>
  <c r="AD10" i="2" s="1"/>
  <c r="AF6" i="2"/>
  <c r="AB22" i="2"/>
  <c r="AD22" i="2" s="1"/>
  <c r="AE21" i="2"/>
  <c r="AG21" i="2" s="1"/>
  <c r="AB21" i="2"/>
  <c r="AD21" i="2" s="1"/>
  <c r="AB20" i="2"/>
  <c r="AD20" i="2" s="1"/>
  <c r="AF5" i="2"/>
  <c r="AG5" i="2" s="1"/>
  <c r="AF7" i="2"/>
  <c r="AE27" i="2"/>
  <c r="AG27" i="2" s="1"/>
  <c r="AE25" i="2"/>
  <c r="AB25" i="2"/>
  <c r="AB26" i="2"/>
  <c r="AC26" i="2"/>
  <c r="AD26" i="2" s="1"/>
  <c r="AF25" i="2"/>
  <c r="AC25" i="2"/>
  <c r="AE19" i="2"/>
  <c r="AE18" i="2"/>
  <c r="AB23" i="2"/>
  <c r="AD23" i="2" s="1"/>
  <c r="AB18" i="2"/>
  <c r="AE20" i="2"/>
  <c r="AB19" i="2"/>
  <c r="AF19" i="2"/>
  <c r="AC19" i="2"/>
  <c r="AF20" i="2"/>
  <c r="AG20" i="2" s="1"/>
  <c r="AF18" i="2"/>
  <c r="AC18" i="2"/>
  <c r="AE9" i="2"/>
  <c r="AB14" i="2"/>
  <c r="AE17" i="2"/>
  <c r="AB16" i="2"/>
  <c r="AB15" i="2"/>
  <c r="AB11" i="2"/>
  <c r="AB9" i="2"/>
  <c r="AF17" i="2"/>
  <c r="AC15" i="2"/>
  <c r="AE14" i="2"/>
  <c r="AG14" i="2" s="1"/>
  <c r="AC12" i="2"/>
  <c r="AF16" i="2"/>
  <c r="AC14" i="2"/>
  <c r="AF9" i="2"/>
  <c r="AC16" i="2"/>
  <c r="AC9" i="2"/>
  <c r="AE13" i="2"/>
  <c r="AG13" i="2" s="1"/>
  <c r="AC11" i="2"/>
  <c r="AF15" i="2"/>
  <c r="F4" i="1"/>
  <c r="M3" i="2"/>
  <c r="L3" i="2"/>
  <c r="AD19" i="2" l="1"/>
  <c r="AD48" i="2"/>
  <c r="AG7" i="2"/>
  <c r="AG46" i="2"/>
  <c r="AG6" i="2"/>
  <c r="AG15" i="2"/>
  <c r="AG37" i="2"/>
  <c r="AD12" i="2"/>
  <c r="AG4" i="2"/>
  <c r="AD25" i="2"/>
  <c r="AG9" i="2"/>
  <c r="AG18" i="2"/>
  <c r="AG16" i="2"/>
  <c r="AD18" i="2"/>
  <c r="AD15" i="2"/>
  <c r="AG17" i="2"/>
  <c r="AD14" i="2"/>
  <c r="AG19" i="2"/>
  <c r="AG25" i="2"/>
  <c r="AD11" i="2"/>
  <c r="AD9" i="2"/>
  <c r="AD16" i="2"/>
  <c r="U2" i="2"/>
  <c r="U3" i="2"/>
  <c r="S3" i="2"/>
  <c r="M2" i="2"/>
  <c r="L2" i="2" l="1"/>
  <c r="E4" i="1" l="1"/>
  <c r="AC3" i="2" l="1"/>
  <c r="AC2" i="2"/>
  <c r="S2" i="2"/>
  <c r="W2" i="2" s="1"/>
  <c r="AB2" i="2"/>
  <c r="K4" i="1"/>
  <c r="F5" i="1"/>
  <c r="G4" i="1"/>
  <c r="H4" i="1"/>
  <c r="I5" i="1"/>
  <c r="I4" i="1"/>
  <c r="J5" i="1"/>
  <c r="J4" i="1"/>
  <c r="W3" i="2" l="1"/>
  <c r="AE3" i="2" s="1"/>
  <c r="AB3" i="2"/>
  <c r="AD3" i="2" s="1"/>
  <c r="AE2" i="2"/>
  <c r="AF2" i="2"/>
  <c r="AI2" i="2"/>
  <c r="AD2" i="2"/>
  <c r="AI3" i="2"/>
  <c r="AF3" i="2"/>
  <c r="K5" i="1"/>
  <c r="AG3" i="2" l="1"/>
  <c r="AG2" i="2"/>
  <c r="Z2" i="2"/>
  <c r="Z3" i="2"/>
  <c r="Y2" i="2"/>
  <c r="Y3" i="2"/>
  <c r="AA3" i="2" l="1"/>
  <c r="A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<sst xmlns="http://schemas.openxmlformats.org/spreadsheetml/2006/main" count="1039" uniqueCount="120">
  <si>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</si>
  <si>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</si>
  <si>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</si>
  <si>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</si>
  <si>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</si>
  <si>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</si>
  <si>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</si>
  <si>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</si>
  <si>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</si>
  <si>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</si>
  <si>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</si>
  <si>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</si>
  <si>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</si>
  <si>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</si>
  <si>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</si>
  <si>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</si>
  <si>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</si>
  <si>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</si>
  <si>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</si>
  <si>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</si>
  <si>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</si>
  <si>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</si>
  <si>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</si>
  <si>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</si>
  <si>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</si>
  <si>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</si>
  <si>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</si>
  <si>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</si>
  <si>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</si>
  <si>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</si>
  <si>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</si>
  <si>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</si>
  <si>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</si>
  <si>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</si>
  <si>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</si>
  <si>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</si>
  <si>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</si>
  <si>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</si>
  <si>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</si>
  <si>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</si>
  <si>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</si>
  <si>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</si>
  <si>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</si>
  <si>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Geometry type (flat/cylindrical)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</si>
  <si>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</si>
  <si>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</si>
  <si>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</si>
  <si>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</si>
  <si>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</si>
  <si>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</si>
  <si>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</si>
  <si>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Amplitude von Mises (MPa)</t>
  </si>
  <si>
    <t>Data count</t>
  </si>
  <si>
    <t>10.1016/j.tafmec.2018.06.010</t>
  </si>
  <si>
    <t>Meneghetti et al.</t>
  </si>
  <si>
    <t>Ti6Al4V</t>
  </si>
  <si>
    <t>potential drop (crack initiation)</t>
  </si>
  <si>
    <t>Axial_SN_RHO0.1_Dnet13</t>
  </si>
  <si>
    <t xml:space="preserve"> Torsion_SN_RHO0.1_Dnet13</t>
  </si>
  <si>
    <t>Axial Plain</t>
  </si>
  <si>
    <t>Torsional Plain</t>
  </si>
  <si>
    <t xml:space="preserve">10.1016/j.tafmec.2018.06.010 </t>
  </si>
  <si>
    <t>k FS (-)</t>
  </si>
  <si>
    <t>k FI (-)</t>
  </si>
  <si>
    <t>10.1111/ffe.12272</t>
  </si>
  <si>
    <t>Berto et al.</t>
  </si>
  <si>
    <t>Axial_Plain_1</t>
  </si>
  <si>
    <t>complete rupture</t>
  </si>
  <si>
    <t>Axial_Plain_2</t>
  </si>
  <si>
    <t>Axial_Plain_3</t>
  </si>
  <si>
    <t>Axial_Plain_4</t>
  </si>
  <si>
    <t>Axial_Plain_5</t>
  </si>
  <si>
    <t>Axial_Plain_6</t>
  </si>
  <si>
    <t>Axial_Plain_7</t>
  </si>
  <si>
    <t>Axial_Plain_8</t>
  </si>
  <si>
    <t>Axial_Plain_9</t>
  </si>
  <si>
    <t>Torsion_Plain_1</t>
  </si>
  <si>
    <t>Torsion_Plain_2</t>
  </si>
  <si>
    <t>Torsion_Plain_3</t>
  </si>
  <si>
    <t>Torsion_Plain_4</t>
  </si>
  <si>
    <t>Torsion_Plain_5</t>
  </si>
  <si>
    <t>Torsion_Plain_6</t>
  </si>
  <si>
    <t>Torsion_Plain_7</t>
  </si>
  <si>
    <t>Torsion_Plain_8</t>
  </si>
  <si>
    <t>Torsion_Plain_9</t>
  </si>
  <si>
    <t>Torsion_Plain_10</t>
  </si>
  <si>
    <t>Torsion_Plain_11</t>
  </si>
  <si>
    <t>Torsion_Plain_12</t>
  </si>
  <si>
    <t>Torsion_Plain_13</t>
  </si>
  <si>
    <t>Torsion_Plain_14</t>
  </si>
  <si>
    <t>Torsion_Plain_15</t>
  </si>
  <si>
    <t>Torsion_Plain_16</t>
  </si>
  <si>
    <t>Torsion_Plain_17</t>
  </si>
  <si>
    <t>Torsion_Plain_18</t>
  </si>
  <si>
    <t>Torsion_Plain_19</t>
  </si>
  <si>
    <t>Torsion_Plain_20</t>
  </si>
  <si>
    <t>Torsion_Plain_21</t>
  </si>
  <si>
    <t>Torsion_Plain_22</t>
  </si>
  <si>
    <t>Torsion_Plain_23</t>
  </si>
  <si>
    <t>Torsion_Plain_24</t>
  </si>
  <si>
    <t>Torsion_Plain_25</t>
  </si>
  <si>
    <t>Torsion_Plain_26</t>
  </si>
  <si>
    <t>Torsion_Plain_27</t>
  </si>
  <si>
    <t>Torsion_Plain_28</t>
  </si>
  <si>
    <t>Torsion_Plain_29</t>
  </si>
  <si>
    <t>Torsion_Plain_30</t>
  </si>
  <si>
    <t>Torsion_Plain_31</t>
  </si>
  <si>
    <t>Torsion_Plain_32</t>
  </si>
  <si>
    <t>Torsion_Plain_33</t>
  </si>
  <si>
    <t>Torsion_Plain_34</t>
  </si>
  <si>
    <t>Torsion_Plain_35</t>
  </si>
  <si>
    <t>Torsion_Plain_36</t>
  </si>
  <si>
    <t>Torsion_Plain_37</t>
  </si>
  <si>
    <t>Torsion_Plain_38</t>
  </si>
  <si>
    <t>Torsion_Plain_39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</si>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</sst>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e" xfId="0" builtinId="0"/>
  </cellStyles>
  <dxfs count="5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Dataset!$E$2:$E$200</c:f>
              <c:numCache>
                <c:formatCode>General</c:formatCode>
                <c:ptCount val="199"/>
                <c:pt idx="0">
                  <c:v>5248.4152309562496</c:v>
                </c:pt>
                <c:pt idx="1">
                  <c:v>15189.0817027989</c:v>
                </c:pt>
                <c:pt idx="2">
                  <c:v>22946.101915388201</c:v>
                </c:pt>
                <c:pt idx="3">
                  <c:v>140995.83501291199</c:v>
                </c:pt>
                <c:pt idx="4">
                  <c:v>261836.02448193799</c:v>
                </c:pt>
                <c:pt idx="5">
                  <c:v>569228.94161965896</c:v>
                </c:pt>
                <c:pt idx="6">
                  <c:v>2422.7898378381401</c:v>
                </c:pt>
                <c:pt idx="7">
                  <c:v>3000.8304573946298</c:v>
                </c:pt>
                <c:pt idx="8">
                  <c:v>7124.7566202500902</c:v>
                </c:pt>
                <c:pt idx="9">
                  <c:v>7958.5173493168204</c:v>
                </c:pt>
                <c:pt idx="10">
                  <c:v>14320.192035824201</c:v>
                </c:pt>
                <c:pt idx="11">
                  <c:v>14323.9524613006</c:v>
                </c:pt>
                <c:pt idx="12">
                  <c:v>112541.98379256501</c:v>
                </c:pt>
                <c:pt idx="13">
                  <c:v>423130.485588971</c:v>
                </c:pt>
                <c:pt idx="14">
                  <c:v>629155.17297901702</c:v>
                </c:pt>
                <c:pt idx="15">
                  <c:v>659841.46810794901</c:v>
                </c:pt>
                <c:pt idx="16">
                  <c:v>42965.4273003532</c:v>
                </c:pt>
                <c:pt idx="17">
                  <c:v>53224.3063861345</c:v>
                </c:pt>
                <c:pt idx="18">
                  <c:v>74235.914721927402</c:v>
                </c:pt>
                <c:pt idx="19">
                  <c:v>84965.203220913594</c:v>
                </c:pt>
                <c:pt idx="20">
                  <c:v>85644.660116190003</c:v>
                </c:pt>
                <c:pt idx="21">
                  <c:v>105236.60189674101</c:v>
                </c:pt>
                <c:pt idx="22">
                  <c:v>68593.4749905809</c:v>
                </c:pt>
                <c:pt idx="23">
                  <c:v>69123.857420208195</c:v>
                </c:pt>
                <c:pt idx="24">
                  <c:v>113049.056923065</c:v>
                </c:pt>
                <c:pt idx="25">
                  <c:v>421641.22786915302</c:v>
                </c:pt>
                <c:pt idx="26" formatCode="0.00">
                  <c:v>11031.3528048772</c:v>
                </c:pt>
                <c:pt idx="27" formatCode="0.00">
                  <c:v>40006.581089423104</c:v>
                </c:pt>
                <c:pt idx="28" formatCode="0.00">
                  <c:v>57103.239405355103</c:v>
                </c:pt>
                <c:pt idx="29" formatCode="0.00">
                  <c:v>138140.084016818</c:v>
                </c:pt>
                <c:pt idx="30" formatCode="0.00">
                  <c:v>158100.87759316701</c:v>
                </c:pt>
                <c:pt idx="31" formatCode="0.00">
                  <c:v>314293.71874558198</c:v>
                </c:pt>
                <c:pt idx="32" formatCode="0.00">
                  <c:v>382466.36690465</c:v>
                </c:pt>
                <c:pt idx="33" formatCode="0.00">
                  <c:v>602214.67193229997</c:v>
                </c:pt>
                <c:pt idx="34" formatCode="0.00">
                  <c:v>808421.12834591803</c:v>
                </c:pt>
                <c:pt idx="35">
                  <c:v>10927.591542570101</c:v>
                </c:pt>
                <c:pt idx="36">
                  <c:v>13971.5482038106</c:v>
                </c:pt>
                <c:pt idx="37">
                  <c:v>131752.735043461</c:v>
                </c:pt>
                <c:pt idx="38">
                  <c:v>161706.10743453199</c:v>
                </c:pt>
                <c:pt idx="39">
                  <c:v>411409.90689811303</c:v>
                </c:pt>
                <c:pt idx="40">
                  <c:v>513238.00899761001</c:v>
                </c:pt>
                <c:pt idx="41">
                  <c:v>18904.920800785902</c:v>
                </c:pt>
                <c:pt idx="42">
                  <c:v>81166.608468437204</c:v>
                </c:pt>
                <c:pt idx="43">
                  <c:v>110822.244159229</c:v>
                </c:pt>
                <c:pt idx="44">
                  <c:v>188738.48182717201</c:v>
                </c:pt>
                <c:pt idx="45">
                  <c:v>995429.13727224199</c:v>
                </c:pt>
                <c:pt idx="46">
                  <c:v>12500.8268982468</c:v>
                </c:pt>
                <c:pt idx="47">
                  <c:v>58294.615572508897</c:v>
                </c:pt>
                <c:pt idx="48">
                  <c:v>75771.507113144995</c:v>
                </c:pt>
                <c:pt idx="49">
                  <c:v>223321.25601113099</c:v>
                </c:pt>
                <c:pt idx="50">
                  <c:v>302427.25765884802</c:v>
                </c:pt>
                <c:pt idx="51">
                  <c:v>1226968.03853277</c:v>
                </c:pt>
                <c:pt idx="52">
                  <c:v>11380.226162565599</c:v>
                </c:pt>
                <c:pt idx="53">
                  <c:v>13078.808642472501</c:v>
                </c:pt>
                <c:pt idx="54">
                  <c:v>48503.751439244297</c:v>
                </c:pt>
                <c:pt idx="55">
                  <c:v>123379.649445894</c:v>
                </c:pt>
                <c:pt idx="56">
                  <c:v>200080.673694881</c:v>
                </c:pt>
                <c:pt idx="57">
                  <c:v>249476.06004055601</c:v>
                </c:pt>
                <c:pt idx="58">
                  <c:v>381820.68799460598</c:v>
                </c:pt>
                <c:pt idx="59">
                  <c:v>492241.547490831</c:v>
                </c:pt>
                <c:pt idx="60" formatCode="0">
                  <c:v>11669.047497183201</c:v>
                </c:pt>
                <c:pt idx="61" formatCode="0">
                  <c:v>13467.3319698207</c:v>
                </c:pt>
                <c:pt idx="62" formatCode="0">
                  <c:v>78734.883960782594</c:v>
                </c:pt>
                <c:pt idx="63" formatCode="0">
                  <c:v>89941.922208904798</c:v>
                </c:pt>
                <c:pt idx="64" formatCode="0">
                  <c:v>145753.37057922801</c:v>
                </c:pt>
                <c:pt idx="65" formatCode="0">
                  <c:v>447780.94446418202</c:v>
                </c:pt>
                <c:pt idx="66" formatCode="0">
                  <c:v>537611.49770624202</c:v>
                </c:pt>
                <c:pt idx="67" formatCode="0">
                  <c:v>471769.681367882</c:v>
                </c:pt>
                <c:pt idx="68" formatCode="0">
                  <c:v>10798.308093961599</c:v>
                </c:pt>
                <c:pt idx="69" formatCode="0">
                  <c:v>11163.6954245863</c:v>
                </c:pt>
                <c:pt idx="70" formatCode="0">
                  <c:v>38760.331119493298</c:v>
                </c:pt>
                <c:pt idx="71" formatCode="0">
                  <c:v>53170.3976128586</c:v>
                </c:pt>
                <c:pt idx="72" formatCode="0">
                  <c:v>97055.929419642402</c:v>
                </c:pt>
                <c:pt idx="73" formatCode="0">
                  <c:v>515230.73904002301</c:v>
                </c:pt>
              </c:numCache>
            </c:numRef>
          </c:xVal>
          <c:yVal>
            <c:numRef>
              <c:f>Dataset!$AH$2:$AH$200</c:f>
              <c:numCache>
                <c:formatCode>General</c:formatCode>
                <c:ptCount val="199"/>
                <c:pt idx="0">
                  <c:v>159.12121327644451</c:v>
                </c:pt>
                <c:pt idx="1">
                  <c:v>148.51941950817201</c:v>
                </c:pt>
                <c:pt idx="2">
                  <c:v>139.12797011035599</c:v>
                </c:pt>
                <c:pt idx="3">
                  <c:v>134.65734632083499</c:v>
                </c:pt>
                <c:pt idx="4">
                  <c:v>119.026743362489</c:v>
                </c:pt>
                <c:pt idx="5">
                  <c:v>127.061314961492</c:v>
                </c:pt>
                <c:pt idx="6">
                  <c:v>601.36506722516867</c:v>
                </c:pt>
                <c:pt idx="7">
                  <c:v>610.15808905812219</c:v>
                </c:pt>
                <c:pt idx="8">
                  <c:v>545.23660535944964</c:v>
                </c:pt>
                <c:pt idx="9">
                  <c:v>579.93291086673548</c:v>
                </c:pt>
                <c:pt idx="10">
                  <c:v>497.94789636591599</c:v>
                </c:pt>
                <c:pt idx="11">
                  <c:v>473.28123346725886</c:v>
                </c:pt>
                <c:pt idx="12">
                  <c:v>453.11324224118539</c:v>
                </c:pt>
                <c:pt idx="13">
                  <c:v>415.3189004212187</c:v>
                </c:pt>
                <c:pt idx="14">
                  <c:v>390.47114444470731</c:v>
                </c:pt>
                <c:pt idx="15">
                  <c:v>386.24317012379674</c:v>
                </c:pt>
                <c:pt idx="16">
                  <c:v>534.72048327796995</c:v>
                </c:pt>
                <c:pt idx="17">
                  <c:v>527.01459693751497</c:v>
                </c:pt>
                <c:pt idx="18">
                  <c:v>550.47192454612002</c:v>
                </c:pt>
                <c:pt idx="19">
                  <c:v>527.01459693751497</c:v>
                </c:pt>
                <c:pt idx="20">
                  <c:v>523.20339806564004</c:v>
                </c:pt>
                <c:pt idx="21">
                  <c:v>534.72048327796995</c:v>
                </c:pt>
                <c:pt idx="22">
                  <c:v>912.81605822620918</c:v>
                </c:pt>
                <c:pt idx="23">
                  <c:v>953.44534145410125</c:v>
                </c:pt>
                <c:pt idx="24">
                  <c:v>880.28404472455611</c:v>
                </c:pt>
                <c:pt idx="25">
                  <c:v>821.63322308045326</c:v>
                </c:pt>
                <c:pt idx="26">
                  <c:v>822.46866977259401</c:v>
                </c:pt>
                <c:pt idx="27">
                  <c:v>701.70382867038199</c:v>
                </c:pt>
                <c:pt idx="28">
                  <c:v>701.70382867038199</c:v>
                </c:pt>
                <c:pt idx="29">
                  <c:v>613.477174240674</c:v>
                </c:pt>
                <c:pt idx="30">
                  <c:v>606.02894692048301</c:v>
                </c:pt>
                <c:pt idx="31">
                  <c:v>563.200627451012</c:v>
                </c:pt>
                <c:pt idx="32">
                  <c:v>577.12941454086604</c:v>
                </c:pt>
                <c:pt idx="33">
                  <c:v>510.76697810379699</c:v>
                </c:pt>
                <c:pt idx="34">
                  <c:v>517.04441514685504</c:v>
                </c:pt>
                <c:pt idx="35">
                  <c:v>901.07086666360203</c:v>
                </c:pt>
                <c:pt idx="36">
                  <c:v>893.04454006237199</c:v>
                </c:pt>
                <c:pt idx="37">
                  <c:v>789.08062680535966</c:v>
                </c:pt>
                <c:pt idx="38">
                  <c:v>788.87846884223302</c:v>
                </c:pt>
                <c:pt idx="39">
                  <c:v>764.48618582253175</c:v>
                </c:pt>
                <c:pt idx="40">
                  <c:v>757.69978983501017</c:v>
                </c:pt>
                <c:pt idx="41">
                  <c:v>829.49528105709487</c:v>
                </c:pt>
                <c:pt idx="42">
                  <c:v>721.08240472708803</c:v>
                </c:pt>
                <c:pt idx="43">
                  <c:v>723.9222138503909</c:v>
                </c:pt>
                <c:pt idx="44">
                  <c:v>711.04647907429012</c:v>
                </c:pt>
                <c:pt idx="45">
                  <c:v>670.81767095145972</c:v>
                </c:pt>
                <c:pt idx="46">
                  <c:v>574.86243959154933</c:v>
                </c:pt>
                <c:pt idx="47">
                  <c:v>533.12937738512767</c:v>
                </c:pt>
                <c:pt idx="48">
                  <c:v>532.95455522662121</c:v>
                </c:pt>
                <c:pt idx="49">
                  <c:v>496.68868861696166</c:v>
                </c:pt>
                <c:pt idx="50">
                  <c:v>498.64988789290948</c:v>
                </c:pt>
                <c:pt idx="51">
                  <c:v>464.53262760063717</c:v>
                </c:pt>
                <c:pt idx="52">
                  <c:v>403.43056313945903</c:v>
                </c:pt>
                <c:pt idx="53">
                  <c:v>396.45010496948578</c:v>
                </c:pt>
                <c:pt idx="54">
                  <c:v>380.70714693084716</c:v>
                </c:pt>
                <c:pt idx="55">
                  <c:v>362.61517839357555</c:v>
                </c:pt>
                <c:pt idx="56">
                  <c:v>362.39597272004454</c:v>
                </c:pt>
                <c:pt idx="57">
                  <c:v>342.51000669847832</c:v>
                </c:pt>
                <c:pt idx="58">
                  <c:v>326.44061161088752</c:v>
                </c:pt>
                <c:pt idx="59">
                  <c:v>326.33691083936105</c:v>
                </c:pt>
                <c:pt idx="60">
                  <c:v>864.22640873245075</c:v>
                </c:pt>
                <c:pt idx="61">
                  <c:v>808.99765259956121</c:v>
                </c:pt>
                <c:pt idx="62">
                  <c:v>796.44671790386258</c:v>
                </c:pt>
                <c:pt idx="63">
                  <c:v>796.55361836965199</c:v>
                </c:pt>
                <c:pt idx="64">
                  <c:v>764.31600633940639</c:v>
                </c:pt>
                <c:pt idx="65">
                  <c:v>694.07496773575849</c:v>
                </c:pt>
                <c:pt idx="66">
                  <c:v>728.89597192109136</c:v>
                </c:pt>
                <c:pt idx="67">
                  <c:v>795.11167193993356</c:v>
                </c:pt>
                <c:pt idx="68">
                  <c:v>723.50439280413821</c:v>
                </c:pt>
                <c:pt idx="69">
                  <c:v>649.47014875342461</c:v>
                </c:pt>
                <c:pt idx="70">
                  <c:v>619.33453225766357</c:v>
                </c:pt>
                <c:pt idx="71">
                  <c:v>655.0409056840889</c:v>
                </c:pt>
                <c:pt idx="72">
                  <c:v>586.30373009627147</c:v>
                </c:pt>
                <c:pt idx="73">
                  <c:v>583.21439591948911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3</xdr:col>
      <xdr:colOff>7620</xdr:colOff>
      <xdr:row>39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K3" totalsRowShown="0" headerRowDxfId="56" dataDxfId="55">
  <autoFilter ref="A1:K3" xr:uid="{7EB9CA7B-F9F7-4B65-BAF9-0554C4DD3A3C}"/>
  <tableColumns count="11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Tabella1[[#This Row],[Tensile fatigue limit* (MPa)]]/Tabella1[[#This Row],[Torsional fatigue limit* (MPa)]]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75" totalsRowShown="0" headerRowDxfId="41" dataDxfId="40">
  <autoFilter ref="A1:AI75" xr:uid="{86243907-AA5D-4F4D-8699-490D77B21127}"/>
  <tableColumns count="35">
    <tableColumn id="31" xr3:uid="{05937513-BC98-44D1-A5DC-F19589B15DDF}" name="Authors" dataDxfId="39"/>
    <tableColumn id="32" xr3:uid="{DCBCBA66-A67E-429B-A752-67A81643133E}" name="Article year" dataDxfId="38"/>
    <tableColumn id="1" xr3:uid="{3EF58343-2BF6-4DB2-9106-D379EEF2D80C}" name="Article DOI" dataDxfId="37">
      <calculatedColumnFormula>Summary!#REF!</calculatedColumnFormula>
    </tableColumn>
    <tableColumn id="30" xr3:uid="{FA5CACDD-A594-4207-9BA7-C7F165153D5B}" name="Specimen name" dataDxfId="36"/>
    <tableColumn id="2" xr3:uid="{19DD8629-B305-4804-A689-1057FBADF71C}" name="Number of cycles to failure" dataDxfId="35"/>
    <tableColumn id="4" xr3:uid="{27575528-FAA3-4B4C-8860-7A7CFCB79DBE}" name="Run out (Yes/No)" dataDxfId="34"/>
    <tableColumn id="3" xr3:uid="{0CF78E1F-0EC3-474A-B3FD-519C01702157}" name="Failure type (complete rupture/stiffness decrease)" dataDxfId="33"/>
    <tableColumn id="26" xr3:uid="{05D9D755-9B11-40C9-8DCB-B9E39E20FA04}" name="Geometry picture" dataDxfId="32"/>
    <tableColumn id="33" xr3:uid="{936299CD-E030-4427-B1AB-D5CB204A04BE}" name="Geometry type (flat/cylindrical)" dataDxfId="31"/>
    <tableColumn id="34" xr3:uid="{09266E8F-9B14-40D4-88AB-80CC92F93BA2}" name="Notched" dataDxfId="30"/>
    <tableColumn id="27" xr3:uid="{D5A8CCC0-542A-450B-8F88-B47472F29E40}" name="Diameter (mm)" dataDxfId="29"/>
    <tableColumn id="28" xr3:uid="{36725B61-E4CB-4B7E-AF40-7F3BC6BE6CB3}" name="Area (mm^2)" dataDxfId="28">
      <calculatedColumnFormula>PI()*(Tabella2[[#This Row],[Diameter (mm)]]/2)^2</calculatedColumnFormula>
    </tableColumn>
    <tableColumn id="29" xr3:uid="{ADA51E38-565E-4B07-AA7F-4531D7FB559A}" name="Polar momento of inertia (mm^4)" dataDxfId="27">
      <calculatedColumnFormula>(PI()*Tabella2[[#This Row],[Diameter (mm)]]^4)/32</calculatedColumnFormula>
    </tableColumn>
    <tableColumn id="21" xr3:uid="{C8363B8B-B0C3-4670-AE9B-A3DF1F1D9748}" name="Phase radial load (°)" dataDxfId="26"/>
    <tableColumn id="22" xr3:uid="{9A8358C3-645B-4F7B-A800-BF2013564F31}" name="Phase torsional load (°)" dataDxfId="25"/>
    <tableColumn id="23" xr3:uid="{9724DA05-688A-43E5-9AAC-5035994CD3C7}" name="Load ratio (RADIAL)" dataDxfId="24"/>
    <tableColumn id="24" xr3:uid="{5794A9BC-D825-4DEA-82F2-22B1FB825367}" name="Load ratio (AXIAL)" dataDxfId="23"/>
    <tableColumn id="25" xr3:uid="{A209A6A1-8B94-4DAE-9AD9-68A32BB08635}" name="Load ratio (TORSIONAL)" dataDxfId="22"/>
    <tableColumn id="5" xr3:uid="{A0FF1031-7EB5-4BFE-B59F-07965E377818}" name="Mean RADIAL stress  (MPa)" dataDxfId="21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20"/>
    <tableColumn id="7" xr3:uid="{5CAC5608-D280-45C3-AE90-509A4A6A1487}" name="Mean AXIAL stress  (MPa)" dataDxfId="19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8"/>
    <tableColumn id="9" xr3:uid="{A6A7850B-F861-49F2-8B93-D445639EFEC2}" name="Mean SHEAR stress  (MPa)" dataDxfId="17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6"/>
    <tableColumn id="11" xr3:uid="{55A815C1-60F5-4742-964D-FCD9116BB3D3}" name="Mean internal pressure  (MPa)" dataDxfId="15">
      <calculatedColumnFormula>Tabella2[[#This Row],[Mean RADIAL stress  (MPa)]]</calculatedColumnFormula>
    </tableColumn>
    <tableColumn id="12" xr3:uid="{A3A206A7-7207-472E-A9D8-013B3CFCAFCB}" name="Amplitute internal pressure  (MPa)" dataDxfId="14">
      <calculatedColumnFormula>Tabella2[[#This Row],[Amplitute RADIAL stress  (MPa)]]</calculatedColumnFormula>
    </tableColumn>
    <tableColumn id="13" xr3:uid="{59F23F77-C462-42EF-A7B8-BCE0399B2282}" name="Maximum internal pressure  (MPa)" dataDxfId="13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12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11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10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9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8">
      <calculatedColumnFormula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7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46687D9F-9A6D-40A0-A3AB-7B3B3BA4DF61}" name="Amplitude von Mises (MPa)" dataDxfId="6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5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F1" workbookViewId="0">
      <selection activeCell="R3" sqref="R3"/>
    </sheetView>
  </sheetViews>
  <sheetFormatPr defaultRowHeight="15" x14ac:dyDescent="0.25"/>
  <cols>
    <col min="1" max="1" width="29.140625" bestFit="1" customWidth="1"/>
    <col min="2" max="2" width="46.71093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12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</row>
    <row r="2" spans="1:18" x14ac:dyDescent="0.25">
      <c r="A2" s="1" t="s">
        <v>61</v>
      </c>
      <c r="B2" s="1" t="s">
        <v>54</v>
      </c>
      <c r="C2" s="1">
        <v>2018</v>
      </c>
      <c r="D2" s="1" t="s">
        <v>55</v>
      </c>
      <c r="E2" s="1">
        <v>110000</v>
      </c>
      <c r="F2" s="1">
        <v>0.3</v>
      </c>
      <c r="G2" s="1">
        <v>980</v>
      </c>
      <c r="H2" s="1">
        <v>915</v>
      </c>
      <c r="I2" s="1">
        <v>500</v>
      </c>
      <c r="J2" s="1">
        <v>422</v>
      </c>
      <c r="K2" s="1">
        <f>Tabella1[[#This Row],[Tensile fatigue limit* (MPa)]]/Tabella1[[#This Row],[Torsional fatigue limit* (MPa)]]</f>
        <v>1.1848341232227488</v>
      </c>
    </row>
    <row r="3" spans="1:18" ht="15.75" thickBot="1" x14ac:dyDescent="0.3">
      <c r="A3" s="1" t="s">
        <v>64</v>
      </c>
      <c r="B3" s="1" t="s">
        <v>65</v>
      </c>
      <c r="C3" s="1">
        <v>2014</v>
      </c>
      <c r="D3" s="1" t="s">
        <v>55</v>
      </c>
      <c r="E3" s="1" t="s">
        <v>35</v>
      </c>
      <c r="F3" s="1" t="s">
        <v>35</v>
      </c>
      <c r="G3" s="1">
        <v>978</v>
      </c>
      <c r="H3" s="1">
        <v>894</v>
      </c>
      <c r="I3" s="1" t="s">
        <v>35</v>
      </c>
      <c r="J3" s="1" t="s">
        <v>35</v>
      </c>
      <c r="K3" s="1" t="s">
        <v>35</v>
      </c>
    </row>
    <row r="4" spans="1:18" x14ac:dyDescent="0.25">
      <c r="A4" s="15" t="s">
        <v>39</v>
      </c>
      <c r="B4" s="16"/>
      <c r="C4" s="16"/>
      <c r="D4" s="17"/>
      <c r="E4" s="3">
        <f>IF(COUNT(Tabella1[Young''s modulus (MPa)])=0, "Null", AVERAGE(Tabella1[Young''s modulus (MPa)]))</f>
        <v>110000</v>
      </c>
      <c r="F4" s="3">
        <f>IF(COUNT(Tabella1[Poisson''s ratio (-)])=0, "Null", AVERAGE(Tabella1[Poisson''s ratio (-)]))</f>
        <v>0.3</v>
      </c>
      <c r="G4" s="3">
        <f>IF(COUNT(Tabella1[Tensile strength (MPa)])=0, "Null", AVERAGE(Tabella1[Tensile strength (MPa)]))</f>
        <v>979</v>
      </c>
      <c r="H4" s="3">
        <f>IF(COUNT(Tabella1[Yield strength (MPa)])=0, "Null", AVERAGE(Tabella1[Yield strength (MPa)]))</f>
        <v>904.5</v>
      </c>
      <c r="I4" s="3">
        <f>IF(COUNT(Tabella1[Tensile fatigue limit* (MPa)])=0, "Null", AVERAGE(Tabella1[Tensile fatigue limit* (MPa)]))</f>
        <v>500</v>
      </c>
      <c r="J4" s="3">
        <f>IF(COUNT(Tabella1[Torsional fatigue limit* (MPa)])=0, "Null", AVERAGE(Tabella1[Torsional fatigue limit* (MPa)]))</f>
        <v>422</v>
      </c>
      <c r="K4" s="4">
        <f>IF(COUNT(Tabella1[K])=0, "Null", AVERAGE(Tabella1[K]))</f>
        <v>1.1848341232227488</v>
      </c>
    </row>
    <row r="5" spans="1:18" ht="15.75" thickBot="1" x14ac:dyDescent="0.3">
      <c r="A5" s="18" t="s">
        <v>38</v>
      </c>
      <c r="B5" s="19"/>
      <c r="C5" s="19"/>
      <c r="D5" s="20"/>
      <c r="E5" s="5">
        <v>0</v>
      </c>
      <c r="F5" s="5">
        <f>IF(COUNT(Tabella1[Poisson''s ratio (-)])=0, "Null", _xlfn.STDEV.P(Tabella1[Poisson''s ratio (-)]))</f>
        <v>0</v>
      </c>
      <c r="G5" s="5">
        <f>IF(COUNT(Tabella1[Tensile strength (MPa)])=0, "Null", _xlfn.STDEV.P(Tabella1[Tensile strength (MPa)]))</f>
        <v>1</v>
      </c>
      <c r="H5" s="5">
        <f>IF(COUNT(Tabella1[Yield strength (MPa)])=0, "Null", _xlfn.STDEV.P(Tabella1[Yield strength (MPa)]))</f>
        <v>10.5</v>
      </c>
      <c r="I5" s="5">
        <f>IF(COUNT(Tabella1[Tensile fatigue limit* (MPa)])=0, "Null", _xlfn.STDEV.P(Tabella1[Tensile fatigue limit* (MPa)]))</f>
        <v>0</v>
      </c>
      <c r="J5" s="5">
        <f>IF(COUNT(Tabella1[Torsional fatigue limit* (MPa)])=0, "Null", _xlfn.STDEV.P(Tabella1[Torsional fatigue limit* (MPa)]))</f>
        <v>0</v>
      </c>
      <c r="K5" s="6">
        <f>IF(COUNT(Tabella1[K])=0, "Null", _xlfn.STDEV.P(Tabella1[K]))</f>
        <v>0</v>
      </c>
    </row>
    <row r="10" spans="1:18" ht="15.75" thickBot="1" x14ac:dyDescent="0.3"/>
    <row r="11" spans="1:18" x14ac:dyDescent="0.25">
      <c r="A11" s="21" t="s">
        <v>46</v>
      </c>
      <c r="B11" s="9" t="s">
        <v>47</v>
      </c>
    </row>
    <row r="12" spans="1:18" ht="15.75" thickBot="1" x14ac:dyDescent="0.3">
      <c r="A12" s="22"/>
      <c r="B12" s="10" t="s">
        <v>48</v>
      </c>
    </row>
    <row r="25" spans="4:4" x14ac:dyDescent="0.25">
      <c r="D25" s="12" t="s">
        <v>52</v>
      </c>
    </row>
    <row r="26" spans="4:4" x14ac:dyDescent="0.25">
      <c r="D26" s="13">
        <f>COUNTA(Tabella2[Authors])</f>
        <v>74</v>
      </c>
    </row>
  </sheetData>
  <mergeCells count="3">
    <mergeCell ref="A4:D4"/>
    <mergeCell ref="A5:D5"/>
    <mergeCell ref="A11:A12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190"/>
  <sheetViews>
    <sheetView topLeftCell="Q40" zoomScale="85" zoomScaleNormal="85" workbookViewId="0">
      <selection activeCell="U55" sqref="U55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29.5703125" bestFit="1" customWidth="1"/>
    <col min="4" max="4" width="23.5703125" bestFit="1" customWidth="1"/>
    <col min="5" max="5" width="28.28515625" bestFit="1" customWidth="1"/>
    <col min="6" max="6" width="48.28515625" bestFit="1" customWidth="1"/>
    <col min="7" max="7" width="51.8554687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5.8554687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27.7109375" bestFit="1" customWidth="1"/>
    <col min="20" max="20" width="32.140625" bestFit="1" customWidth="1"/>
    <col min="21" max="21" width="27.2851562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285156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43</v>
      </c>
      <c r="J1" s="2" t="s">
        <v>45</v>
      </c>
      <c r="K1" s="2" t="s">
        <v>30</v>
      </c>
      <c r="L1" s="2" t="s">
        <v>50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51</v>
      </c>
      <c r="AI1" s="1" t="s">
        <v>23</v>
      </c>
    </row>
    <row r="2" spans="1:36" ht="15" customHeight="1" x14ac:dyDescent="0.25">
      <c r="A2" s="1" t="s">
        <v>54</v>
      </c>
      <c r="B2" s="1">
        <v>2018</v>
      </c>
      <c r="C2" s="1" t="s">
        <v>53</v>
      </c>
      <c r="D2" s="1" t="s">
        <v>57</v>
      </c>
      <c r="E2" s="1">
        <v>5248.4152309562496</v>
      </c>
      <c r="F2" s="1" t="s">
        <v>34</v>
      </c>
      <c r="G2" s="1" t="s">
        <v>56</v>
      </c>
      <c r="H2" s="1" t="e" vm="1">
        <v>#VALUE!</v>
      </c>
      <c r="I2" s="1" t="s">
        <v>44</v>
      </c>
      <c r="J2" s="1" t="s">
        <v>49</v>
      </c>
      <c r="K2" s="1">
        <v>13</v>
      </c>
      <c r="L2" s="8">
        <f>PI()*(Tabella2[[#This Row],[Diameter (mm)]]/2)^2</f>
        <v>132.73228961416876</v>
      </c>
      <c r="M2" s="8">
        <f>(PI()*Tabella2[[#This Row],[Diameter (mm)]]^4)/32</f>
        <v>2803.9696180993151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159.12121327644451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21120.522964366948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21120.522964366948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159.12121327644451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54</v>
      </c>
      <c r="B3" s="1">
        <v>2018</v>
      </c>
      <c r="C3" s="1" t="s">
        <v>53</v>
      </c>
      <c r="D3" s="1" t="s">
        <v>57</v>
      </c>
      <c r="E3" s="1">
        <v>15189.0817027989</v>
      </c>
      <c r="F3" s="1" t="s">
        <v>34</v>
      </c>
      <c r="G3" s="1" t="s">
        <v>56</v>
      </c>
      <c r="H3" s="1" t="e" vm="1">
        <v>#VALUE!</v>
      </c>
      <c r="I3" s="1" t="s">
        <v>44</v>
      </c>
      <c r="J3" s="1" t="s">
        <v>49</v>
      </c>
      <c r="K3" s="1">
        <v>13</v>
      </c>
      <c r="L3" s="8">
        <f>PI()*(Tabella2[[#This Row],[Diameter (mm)]]/2)^2</f>
        <v>132.73228961416876</v>
      </c>
      <c r="M3" s="8">
        <f>(PI()*Tabella2[[#This Row],[Diameter (mm)]]^4)/32</f>
        <v>2803.9696180993151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148.51941950817201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19713.322603486911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19713.322603486911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148.51941950817201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54</v>
      </c>
      <c r="B4" s="1">
        <v>2018</v>
      </c>
      <c r="C4" s="1" t="s">
        <v>53</v>
      </c>
      <c r="D4" s="1" t="s">
        <v>57</v>
      </c>
      <c r="E4" s="1">
        <v>22946.101915388201</v>
      </c>
      <c r="F4" s="1" t="s">
        <v>34</v>
      </c>
      <c r="G4" s="1" t="s">
        <v>56</v>
      </c>
      <c r="H4" s="1" t="e" vm="1">
        <v>#VALUE!</v>
      </c>
      <c r="I4" s="1" t="s">
        <v>44</v>
      </c>
      <c r="J4" s="1" t="s">
        <v>49</v>
      </c>
      <c r="K4" s="1">
        <v>13</v>
      </c>
      <c r="L4" s="8">
        <f>PI()*(Tabella2[[#This Row],[Diameter (mm)]]/2)^2</f>
        <v>132.73228961416876</v>
      </c>
      <c r="M4" s="8">
        <f>(PI()*Tabella2[[#This Row],[Diameter (mm)]]^4)/32</f>
        <v>2803.9696180993151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139.12797011035599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18466.774022119185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18466.774022119185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139.12797011035599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54</v>
      </c>
      <c r="B5" s="1">
        <v>2018</v>
      </c>
      <c r="C5" s="1" t="s">
        <v>53</v>
      </c>
      <c r="D5" s="1" t="s">
        <v>57</v>
      </c>
      <c r="E5" s="1">
        <v>140995.83501291199</v>
      </c>
      <c r="F5" s="1" t="s">
        <v>34</v>
      </c>
      <c r="G5" s="1" t="s">
        <v>56</v>
      </c>
      <c r="H5" s="1" t="e" vm="1">
        <v>#VALUE!</v>
      </c>
      <c r="I5" s="1" t="s">
        <v>44</v>
      </c>
      <c r="J5" s="1" t="s">
        <v>49</v>
      </c>
      <c r="K5" s="1">
        <v>13</v>
      </c>
      <c r="L5" s="8">
        <f>PI()*(Tabella2[[#This Row],[Diameter (mm)]]/2)^2</f>
        <v>132.73228961416876</v>
      </c>
      <c r="M5" s="8">
        <f>(PI()*Tabella2[[#This Row],[Diameter (mm)]]^4)/32</f>
        <v>2803.9696180993151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134.65734632083499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17873.377890532491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17873.377890532491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134.65734632083499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54</v>
      </c>
      <c r="B6" s="1">
        <v>2018</v>
      </c>
      <c r="C6" s="1" t="s">
        <v>53</v>
      </c>
      <c r="D6" s="1" t="s">
        <v>57</v>
      </c>
      <c r="E6" s="1">
        <v>261836.02448193799</v>
      </c>
      <c r="F6" s="1" t="s">
        <v>34</v>
      </c>
      <c r="G6" s="1" t="s">
        <v>56</v>
      </c>
      <c r="H6" s="1" t="e" vm="1">
        <v>#VALUE!</v>
      </c>
      <c r="I6" s="1" t="s">
        <v>44</v>
      </c>
      <c r="J6" s="1" t="s">
        <v>49</v>
      </c>
      <c r="K6" s="1">
        <v>13</v>
      </c>
      <c r="L6" s="8">
        <f>PI()*(Tabella2[[#This Row],[Diameter (mm)]]/2)^2</f>
        <v>132.73228961416876</v>
      </c>
      <c r="M6" s="8">
        <f>(PI()*Tabella2[[#This Row],[Diameter (mm)]]^4)/32</f>
        <v>2803.9696180993151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119.026743362489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15798.692171821229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15798.692171821229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119.026743362489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54</v>
      </c>
      <c r="B7" s="1">
        <v>2018</v>
      </c>
      <c r="C7" s="1" t="s">
        <v>53</v>
      </c>
      <c r="D7" s="1" t="s">
        <v>57</v>
      </c>
      <c r="E7" s="1">
        <v>569228.94161965896</v>
      </c>
      <c r="F7" s="1" t="s">
        <v>34</v>
      </c>
      <c r="G7" s="1" t="s">
        <v>56</v>
      </c>
      <c r="H7" s="1" t="e" vm="1">
        <v>#VALUE!</v>
      </c>
      <c r="I7" s="1" t="s">
        <v>44</v>
      </c>
      <c r="J7" s="1" t="s">
        <v>49</v>
      </c>
      <c r="K7" s="1">
        <v>13</v>
      </c>
      <c r="L7" s="8">
        <f>PI()*(Tabella2[[#This Row],[Diameter (mm)]]/2)^2</f>
        <v>132.73228961416876</v>
      </c>
      <c r="M7" s="8">
        <f>(PI()*Tabella2[[#This Row],[Diameter (mm)]]^4)/32</f>
        <v>2803.9696180993151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127.061314961492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16865.13925622587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16865.13925622587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127.061314961492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54</v>
      </c>
      <c r="B8" s="1">
        <v>2018</v>
      </c>
      <c r="C8" s="1" t="s">
        <v>53</v>
      </c>
      <c r="D8" s="1" t="s">
        <v>58</v>
      </c>
      <c r="E8" s="1">
        <v>2422.7898378381401</v>
      </c>
      <c r="F8" s="1" t="s">
        <v>34</v>
      </c>
      <c r="G8" s="1" t="s">
        <v>56</v>
      </c>
      <c r="H8" s="1" t="e" vm="1">
        <v>#VALUE!</v>
      </c>
      <c r="I8" s="1" t="s">
        <v>44</v>
      </c>
      <c r="J8" s="1" t="s">
        <v>49</v>
      </c>
      <c r="K8" s="1">
        <v>13</v>
      </c>
      <c r="L8" s="8">
        <f>PI()*(Tabella2[[#This Row],[Diameter (mm)]]/2)^2</f>
        <v>132.73228961416876</v>
      </c>
      <c r="M8" s="8">
        <f>(PI()*Tabella2[[#This Row],[Diameter (mm)]]^4)/32</f>
        <v>2803.9696180993151</v>
      </c>
      <c r="N8" s="1" t="s">
        <v>35</v>
      </c>
      <c r="O8" s="1" t="s">
        <v>35</v>
      </c>
      <c r="P8" s="1" t="s">
        <v>35</v>
      </c>
      <c r="Q8" s="1" t="s">
        <v>35</v>
      </c>
      <c r="R8" s="1">
        <v>-1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" s="1" t="s">
        <v>35</v>
      </c>
      <c r="W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" s="7">
        <v>347.19828344368852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149774.37511266724</v>
      </c>
      <c r="AG8" s="1">
        <f>IF(
   AND(ISNUMBER(Tabella2[[#This Row],[Mean TORQUE (Nmm)]]), ISNUMBER(Tabella2[[#This Row],[Amplitude TORQUE (Nmm)]])),
   Tabella2[[#This Row],[Mean TORQUE (Nmm)]]+Tabella2[[#This Row],[Amplitude TORQUE (Nmm)]],
   "Null"
)</f>
        <v>149774.37511266724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601.36506722516867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54</v>
      </c>
      <c r="B9" s="1">
        <v>2018</v>
      </c>
      <c r="C9" s="1" t="s">
        <v>53</v>
      </c>
      <c r="D9" s="1" t="s">
        <v>58</v>
      </c>
      <c r="E9" s="1">
        <v>3000.8304573946298</v>
      </c>
      <c r="F9" s="1" t="s">
        <v>34</v>
      </c>
      <c r="G9" s="1" t="s">
        <v>56</v>
      </c>
      <c r="H9" s="1" t="e" vm="1">
        <v>#VALUE!</v>
      </c>
      <c r="I9" s="1" t="s">
        <v>44</v>
      </c>
      <c r="J9" s="1" t="s">
        <v>49</v>
      </c>
      <c r="K9" s="1">
        <v>13</v>
      </c>
      <c r="L9" s="8">
        <f>PI()*(Tabella2[[#This Row],[Diameter (mm)]]/2)^2</f>
        <v>132.73228961416876</v>
      </c>
      <c r="M9" s="8">
        <f>(PI()*Tabella2[[#This Row],[Diameter (mm)]]^4)/32</f>
        <v>2803.9696180993151</v>
      </c>
      <c r="N9" s="1" t="s">
        <v>35</v>
      </c>
      <c r="O9" s="1" t="s">
        <v>35</v>
      </c>
      <c r="P9" s="1" t="s">
        <v>35</v>
      </c>
      <c r="Q9" s="1" t="s">
        <v>35</v>
      </c>
      <c r="R9" s="1">
        <v>-1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" s="1" t="s">
        <v>35</v>
      </c>
      <c r="W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" s="7">
        <v>352.2749369659345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151964.34161082024</v>
      </c>
      <c r="AG9" s="1">
        <f>IF(
   AND(ISNUMBER(Tabella2[[#This Row],[Mean TORQUE (Nmm)]]), ISNUMBER(Tabella2[[#This Row],[Amplitude TORQUE (Nmm)]])),
   Tabella2[[#This Row],[Mean TORQUE (Nmm)]]+Tabella2[[#This Row],[Amplitude TORQUE (Nmm)]],
   "Null"
)</f>
        <v>151964.34161082024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610.15808905812219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54</v>
      </c>
      <c r="B10" s="1">
        <v>2018</v>
      </c>
      <c r="C10" s="1" t="s">
        <v>53</v>
      </c>
      <c r="D10" s="1" t="s">
        <v>58</v>
      </c>
      <c r="E10" s="1">
        <v>7124.7566202500902</v>
      </c>
      <c r="F10" s="1" t="s">
        <v>34</v>
      </c>
      <c r="G10" s="1" t="s">
        <v>56</v>
      </c>
      <c r="H10" s="1" t="e" vm="1">
        <v>#VALUE!</v>
      </c>
      <c r="I10" s="1" t="s">
        <v>44</v>
      </c>
      <c r="J10" s="1" t="s">
        <v>49</v>
      </c>
      <c r="K10" s="1">
        <v>13</v>
      </c>
      <c r="L10" s="8">
        <f>PI()*(Tabella2[[#This Row],[Diameter (mm)]]/2)^2</f>
        <v>132.73228961416876</v>
      </c>
      <c r="M10" s="8">
        <f>(PI()*Tabella2[[#This Row],[Diameter (mm)]]^4)/32</f>
        <v>2803.9696180993151</v>
      </c>
      <c r="N10" s="1" t="s">
        <v>35</v>
      </c>
      <c r="O10" s="1" t="s">
        <v>35</v>
      </c>
      <c r="P10" s="1" t="s">
        <v>35</v>
      </c>
      <c r="Q10" s="1" t="s">
        <v>35</v>
      </c>
      <c r="R10" s="1">
        <v>-1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" s="1" t="s">
        <v>35</v>
      </c>
      <c r="W1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" s="7">
        <v>314.79250087631601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135795.17053272185</v>
      </c>
      <c r="AG10" s="1">
        <f>IF(
   AND(ISNUMBER(Tabella2[[#This Row],[Mean TORQUE (Nmm)]]), ISNUMBER(Tabella2[[#This Row],[Amplitude TORQUE (Nmm)]])),
   Tabella2[[#This Row],[Mean TORQUE (Nmm)]]+Tabella2[[#This Row],[Amplitude TORQUE (Nmm)]],
   "Null"
)</f>
        <v>135795.17053272185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545.23660535944964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54</v>
      </c>
      <c r="B11" s="1">
        <v>2018</v>
      </c>
      <c r="C11" s="1" t="s">
        <v>53</v>
      </c>
      <c r="D11" s="1" t="s">
        <v>58</v>
      </c>
      <c r="E11" s="1">
        <v>7958.5173493168204</v>
      </c>
      <c r="F11" s="1" t="s">
        <v>34</v>
      </c>
      <c r="G11" s="1" t="s">
        <v>56</v>
      </c>
      <c r="H11" s="1" t="e" vm="1">
        <v>#VALUE!</v>
      </c>
      <c r="I11" s="1" t="s">
        <v>44</v>
      </c>
      <c r="J11" s="1" t="s">
        <v>49</v>
      </c>
      <c r="K11" s="1">
        <v>13</v>
      </c>
      <c r="L11" s="8">
        <f>PI()*(Tabella2[[#This Row],[Diameter (mm)]]/2)^2</f>
        <v>132.73228961416876</v>
      </c>
      <c r="M11" s="8">
        <f>(PI()*Tabella2[[#This Row],[Diameter (mm)]]^4)/32</f>
        <v>2803.9696180993151</v>
      </c>
      <c r="N11" s="1" t="s">
        <v>35</v>
      </c>
      <c r="O11" s="1" t="s">
        <v>35</v>
      </c>
      <c r="P11" s="1" t="s">
        <v>35</v>
      </c>
      <c r="Q11" s="1" t="s">
        <v>35</v>
      </c>
      <c r="R11" s="1">
        <v>-1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" s="1" t="s">
        <v>35</v>
      </c>
      <c r="W1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" s="7">
        <v>334.824422200833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144436.53957673747</v>
      </c>
      <c r="AG11" s="1">
        <f>IF(
   AND(ISNUMBER(Tabella2[[#This Row],[Mean TORQUE (Nmm)]]), ISNUMBER(Tabella2[[#This Row],[Amplitude TORQUE (Nmm)]])),
   Tabella2[[#This Row],[Mean TORQUE (Nmm)]]+Tabella2[[#This Row],[Amplitude TORQUE (Nmm)]],
   "Null"
)</f>
        <v>144436.53957673747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579.93291086673548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54</v>
      </c>
      <c r="B12" s="1">
        <v>2018</v>
      </c>
      <c r="C12" s="1" t="s">
        <v>53</v>
      </c>
      <c r="D12" s="1" t="s">
        <v>58</v>
      </c>
      <c r="E12" s="1">
        <v>14320.192035824201</v>
      </c>
      <c r="F12" s="1" t="s">
        <v>34</v>
      </c>
      <c r="G12" s="1" t="s">
        <v>56</v>
      </c>
      <c r="H12" s="1" t="e" vm="1">
        <v>#VALUE!</v>
      </c>
      <c r="I12" s="1" t="s">
        <v>44</v>
      </c>
      <c r="J12" s="1" t="s">
        <v>49</v>
      </c>
      <c r="K12" s="1">
        <v>13</v>
      </c>
      <c r="L12" s="8">
        <f>PI()*(Tabella2[[#This Row],[Diameter (mm)]]/2)^2</f>
        <v>132.73228961416876</v>
      </c>
      <c r="M12" s="8">
        <f>(PI()*Tabella2[[#This Row],[Diameter (mm)]]^4)/32</f>
        <v>2803.9696180993151</v>
      </c>
      <c r="N12" s="1" t="s">
        <v>35</v>
      </c>
      <c r="O12" s="1" t="s">
        <v>35</v>
      </c>
      <c r="P12" s="1" t="s">
        <v>35</v>
      </c>
      <c r="Q12" s="1" t="s">
        <v>35</v>
      </c>
      <c r="R12" s="1">
        <v>-1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" s="1" t="s">
        <v>35</v>
      </c>
      <c r="W1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" s="7">
        <v>287.49035200926949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124017.57115856447</v>
      </c>
      <c r="AG12" s="1">
        <f>IF(
   AND(ISNUMBER(Tabella2[[#This Row],[Mean TORQUE (Nmm)]]), ISNUMBER(Tabella2[[#This Row],[Amplitude TORQUE (Nmm)]])),
   Tabella2[[#This Row],[Mean TORQUE (Nmm)]]+Tabella2[[#This Row],[Amplitude TORQUE (Nmm)]],
   "Null"
)</f>
        <v>124017.57115856447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497.94789636591599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54</v>
      </c>
      <c r="B13" s="1">
        <v>2018</v>
      </c>
      <c r="C13" s="1" t="s">
        <v>53</v>
      </c>
      <c r="D13" s="1" t="s">
        <v>58</v>
      </c>
      <c r="E13" s="1">
        <v>14323.9524613006</v>
      </c>
      <c r="F13" s="1" t="s">
        <v>34</v>
      </c>
      <c r="G13" s="1" t="s">
        <v>56</v>
      </c>
      <c r="H13" s="1" t="e" vm="1">
        <v>#VALUE!</v>
      </c>
      <c r="I13" s="1" t="s">
        <v>44</v>
      </c>
      <c r="J13" s="1" t="s">
        <v>49</v>
      </c>
      <c r="K13" s="1">
        <v>13</v>
      </c>
      <c r="L13" s="8">
        <f>PI()*(Tabella2[[#This Row],[Diameter (mm)]]/2)^2</f>
        <v>132.73228961416876</v>
      </c>
      <c r="M13" s="8">
        <f>(PI()*Tabella2[[#This Row],[Diameter (mm)]]^4)/32</f>
        <v>2803.9696180993151</v>
      </c>
      <c r="N13" s="1" t="s">
        <v>35</v>
      </c>
      <c r="O13" s="1" t="s">
        <v>35</v>
      </c>
      <c r="P13" s="1" t="s">
        <v>35</v>
      </c>
      <c r="Q13" s="1" t="s">
        <v>35</v>
      </c>
      <c r="R13" s="1">
        <v>-1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3" s="1" t="s">
        <v>35</v>
      </c>
      <c r="W1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" s="7">
        <v>273.24904754471999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117874.15807538001</v>
      </c>
      <c r="AG13" s="1">
        <f>IF(
   AND(ISNUMBER(Tabella2[[#This Row],[Mean TORQUE (Nmm)]]), ISNUMBER(Tabella2[[#This Row],[Amplitude TORQUE (Nmm)]])),
   Tabella2[[#This Row],[Mean TORQUE (Nmm)]]+Tabella2[[#This Row],[Amplitude TORQUE (Nmm)]],
   "Null"
)</f>
        <v>117874.15807538001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473.28123346725886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54</v>
      </c>
      <c r="B14" s="1">
        <v>2018</v>
      </c>
      <c r="C14" s="1" t="s">
        <v>53</v>
      </c>
      <c r="D14" s="1" t="s">
        <v>58</v>
      </c>
      <c r="E14" s="1">
        <v>112541.98379256501</v>
      </c>
      <c r="F14" s="1" t="s">
        <v>34</v>
      </c>
      <c r="G14" s="1" t="s">
        <v>56</v>
      </c>
      <c r="H14" s="1" t="e" vm="1">
        <v>#VALUE!</v>
      </c>
      <c r="I14" s="1" t="s">
        <v>44</v>
      </c>
      <c r="J14" s="1" t="s">
        <v>49</v>
      </c>
      <c r="K14" s="1">
        <v>13</v>
      </c>
      <c r="L14" s="8">
        <f>PI()*(Tabella2[[#This Row],[Diameter (mm)]]/2)^2</f>
        <v>132.73228961416876</v>
      </c>
      <c r="M14" s="8">
        <f>(PI()*Tabella2[[#This Row],[Diameter (mm)]]^4)/32</f>
        <v>2803.9696180993151</v>
      </c>
      <c r="N14" s="1" t="s">
        <v>35</v>
      </c>
      <c r="O14" s="1" t="s">
        <v>35</v>
      </c>
      <c r="P14" s="1" t="s">
        <v>35</v>
      </c>
      <c r="Q14" s="1" t="s">
        <v>35</v>
      </c>
      <c r="R14" s="1">
        <v>-1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4" s="1" t="s">
        <v>35</v>
      </c>
      <c r="W1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" s="7">
        <v>261.60505238133248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112851.17212592864</v>
      </c>
      <c r="AG14" s="1">
        <f>IF(
   AND(ISNUMBER(Tabella2[[#This Row],[Mean TORQUE (Nmm)]]), ISNUMBER(Tabella2[[#This Row],[Amplitude TORQUE (Nmm)]])),
   Tabella2[[#This Row],[Mean TORQUE (Nmm)]]+Tabella2[[#This Row],[Amplitude TORQUE (Nmm)]],
   "Null"
)</f>
        <v>112851.17212592864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453.11324224118539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54</v>
      </c>
      <c r="B15" s="1">
        <v>2018</v>
      </c>
      <c r="C15" s="1" t="s">
        <v>53</v>
      </c>
      <c r="D15" s="1" t="s">
        <v>58</v>
      </c>
      <c r="E15" s="1">
        <v>423130.485588971</v>
      </c>
      <c r="F15" s="1" t="s">
        <v>34</v>
      </c>
      <c r="G15" s="1" t="s">
        <v>56</v>
      </c>
      <c r="H15" s="1" t="e" vm="1">
        <v>#VALUE!</v>
      </c>
      <c r="I15" s="1" t="s">
        <v>44</v>
      </c>
      <c r="J15" s="1" t="s">
        <v>49</v>
      </c>
      <c r="K15" s="1">
        <v>13</v>
      </c>
      <c r="L15" s="8">
        <f>PI()*(Tabella2[[#This Row],[Diameter (mm)]]/2)^2</f>
        <v>132.73228961416876</v>
      </c>
      <c r="M15" s="8">
        <f>(PI()*Tabella2[[#This Row],[Diameter (mm)]]^4)/32</f>
        <v>2803.9696180993151</v>
      </c>
      <c r="N15" s="1" t="s">
        <v>35</v>
      </c>
      <c r="O15" s="1" t="s">
        <v>35</v>
      </c>
      <c r="P15" s="1" t="s">
        <v>35</v>
      </c>
      <c r="Q15" s="1" t="s">
        <v>35</v>
      </c>
      <c r="R15" s="1">
        <v>-1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5" s="1" t="s">
        <v>35</v>
      </c>
      <c r="W1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" s="7">
        <v>239.78447895772999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103438.21444449991</v>
      </c>
      <c r="AG15" s="1">
        <f>IF(
   AND(ISNUMBER(Tabella2[[#This Row],[Mean TORQUE (Nmm)]]), ISNUMBER(Tabella2[[#This Row],[Amplitude TORQUE (Nmm)]])),
   Tabella2[[#This Row],[Mean TORQUE (Nmm)]]+Tabella2[[#This Row],[Amplitude TORQUE (Nmm)]],
   "Null"
)</f>
        <v>103438.21444449991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415.3189004212187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54</v>
      </c>
      <c r="B16" s="1">
        <v>2018</v>
      </c>
      <c r="C16" s="1" t="s">
        <v>53</v>
      </c>
      <c r="D16" s="1" t="s">
        <v>58</v>
      </c>
      <c r="E16" s="1">
        <v>629155.17297901702</v>
      </c>
      <c r="F16" s="1" t="s">
        <v>34</v>
      </c>
      <c r="G16" s="1" t="s">
        <v>56</v>
      </c>
      <c r="H16" s="1" t="e" vm="1">
        <v>#VALUE!</v>
      </c>
      <c r="I16" s="1" t="s">
        <v>44</v>
      </c>
      <c r="J16" s="1" t="s">
        <v>49</v>
      </c>
      <c r="K16" s="1">
        <v>13</v>
      </c>
      <c r="L16" s="8">
        <f>PI()*(Tabella2[[#This Row],[Diameter (mm)]]/2)^2</f>
        <v>132.73228961416876</v>
      </c>
      <c r="M16" s="8">
        <f>(PI()*Tabella2[[#This Row],[Diameter (mm)]]^4)/32</f>
        <v>2803.9696180993151</v>
      </c>
      <c r="N16" s="1" t="s">
        <v>35</v>
      </c>
      <c r="O16" s="1" t="s">
        <v>35</v>
      </c>
      <c r="P16" s="1" t="s">
        <v>35</v>
      </c>
      <c r="Q16" s="1" t="s">
        <v>35</v>
      </c>
      <c r="R16" s="1">
        <v>-1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6" s="1" t="s">
        <v>35</v>
      </c>
      <c r="W1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" s="7">
        <v>225.43862035593301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97249.698803732608</v>
      </c>
      <c r="AG16" s="1">
        <f>IF(
   AND(ISNUMBER(Tabella2[[#This Row],[Mean TORQUE (Nmm)]]), ISNUMBER(Tabella2[[#This Row],[Amplitude TORQUE (Nmm)]])),
   Tabella2[[#This Row],[Mean TORQUE (Nmm)]]+Tabella2[[#This Row],[Amplitude TORQUE (Nmm)]],
   "Null"
)</f>
        <v>97249.698803732608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390.47114444470731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54</v>
      </c>
      <c r="B17" s="1">
        <v>2018</v>
      </c>
      <c r="C17" s="1" t="s">
        <v>53</v>
      </c>
      <c r="D17" s="1" t="s">
        <v>58</v>
      </c>
      <c r="E17" s="1">
        <v>659841.46810794901</v>
      </c>
      <c r="F17" s="1" t="s">
        <v>34</v>
      </c>
      <c r="G17" s="1" t="s">
        <v>56</v>
      </c>
      <c r="H17" s="1" t="e" vm="1">
        <v>#VALUE!</v>
      </c>
      <c r="I17" s="1" t="s">
        <v>44</v>
      </c>
      <c r="J17" s="1" t="s">
        <v>49</v>
      </c>
      <c r="K17" s="1">
        <v>13</v>
      </c>
      <c r="L17" s="8">
        <f>PI()*(Tabella2[[#This Row],[Diameter (mm)]]/2)^2</f>
        <v>132.73228961416876</v>
      </c>
      <c r="M17" s="8">
        <f>(PI()*Tabella2[[#This Row],[Diameter (mm)]]^4)/32</f>
        <v>2803.9696180993151</v>
      </c>
      <c r="N17" s="1" t="s">
        <v>35</v>
      </c>
      <c r="O17" s="1" t="s">
        <v>35</v>
      </c>
      <c r="P17" s="1" t="s">
        <v>35</v>
      </c>
      <c r="Q17" s="1" t="s">
        <v>35</v>
      </c>
      <c r="R17" s="1">
        <v>-1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7" s="1" t="s">
        <v>35</v>
      </c>
      <c r="W1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" s="7">
        <v>222.99759824362849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96196.690828346385</v>
      </c>
      <c r="AG17" s="1">
        <f>IF(
   AND(ISNUMBER(Tabella2[[#This Row],[Mean TORQUE (Nmm)]]), ISNUMBER(Tabella2[[#This Row],[Amplitude TORQUE (Nmm)]])),
   Tabella2[[#This Row],[Mean TORQUE (Nmm)]]+Tabella2[[#This Row],[Amplitude TORQUE (Nmm)]],
   "Null"
)</f>
        <v>96196.690828346385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386.24317012379674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54</v>
      </c>
      <c r="B18" s="1">
        <v>2018</v>
      </c>
      <c r="C18" s="1" t="s">
        <v>53</v>
      </c>
      <c r="D18" s="1" t="s">
        <v>59</v>
      </c>
      <c r="E18" s="1">
        <v>42965.4273003532</v>
      </c>
      <c r="F18" s="1" t="s">
        <v>34</v>
      </c>
      <c r="G18" s="1" t="s">
        <v>56</v>
      </c>
      <c r="H18" s="1" t="e" vm="2">
        <v>#VALUE!</v>
      </c>
      <c r="I18" s="1" t="s">
        <v>44</v>
      </c>
      <c r="J18" s="1" t="s">
        <v>34</v>
      </c>
      <c r="K18" s="1">
        <v>12</v>
      </c>
      <c r="L18" s="8">
        <f>PI()*(Tabella2[[#This Row],[Diameter (mm)]]/2)^2</f>
        <v>113.09733552923255</v>
      </c>
      <c r="M18" s="8">
        <f>(PI()*Tabella2[[#This Row],[Diameter (mm)]]^4)/32</f>
        <v>2035.7520395261859</v>
      </c>
      <c r="N18" s="1" t="s">
        <v>35</v>
      </c>
      <c r="O18" s="1" t="s">
        <v>35</v>
      </c>
      <c r="P18" s="1" t="s">
        <v>35</v>
      </c>
      <c r="Q18" s="1">
        <v>-1</v>
      </c>
      <c r="R18" s="1" t="s">
        <v>35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8" s="1">
        <v>534.72048327796995</v>
      </c>
      <c r="W1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8" s="1" t="s">
        <v>35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0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60475.461911641949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60475.461911641949</v>
      </c>
      <c r="AE1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534.72048327796995</v>
      </c>
      <c r="AI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9" spans="1:36" x14ac:dyDescent="0.25">
      <c r="A19" s="1" t="s">
        <v>54</v>
      </c>
      <c r="B19" s="1">
        <v>2018</v>
      </c>
      <c r="C19" s="1" t="s">
        <v>53</v>
      </c>
      <c r="D19" s="1" t="s">
        <v>59</v>
      </c>
      <c r="E19" s="1">
        <v>53224.3063861345</v>
      </c>
      <c r="F19" s="1" t="s">
        <v>34</v>
      </c>
      <c r="G19" s="1" t="s">
        <v>56</v>
      </c>
      <c r="H19" s="1" t="e" vm="2">
        <v>#VALUE!</v>
      </c>
      <c r="I19" s="1" t="s">
        <v>44</v>
      </c>
      <c r="J19" s="1" t="s">
        <v>34</v>
      </c>
      <c r="K19" s="1">
        <v>12</v>
      </c>
      <c r="L19" s="8">
        <f>PI()*(Tabella2[[#This Row],[Diameter (mm)]]/2)^2</f>
        <v>113.09733552923255</v>
      </c>
      <c r="M19" s="8">
        <f>(PI()*Tabella2[[#This Row],[Diameter (mm)]]^4)/32</f>
        <v>2035.7520395261859</v>
      </c>
      <c r="N19" s="1" t="s">
        <v>35</v>
      </c>
      <c r="O19" s="1" t="s">
        <v>35</v>
      </c>
      <c r="P19" s="1" t="s">
        <v>35</v>
      </c>
      <c r="Q19" s="1">
        <v>-1</v>
      </c>
      <c r="R19" s="1" t="s">
        <v>35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9" s="1">
        <v>527.01459693751497</v>
      </c>
      <c r="W1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9" s="1" t="s">
        <v>35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0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59603.946698645384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59603.946698645384</v>
      </c>
      <c r="AE1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527.01459693751497</v>
      </c>
      <c r="AI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0" spans="1:36" x14ac:dyDescent="0.25">
      <c r="A20" s="1" t="s">
        <v>54</v>
      </c>
      <c r="B20" s="1">
        <v>2018</v>
      </c>
      <c r="C20" s="1" t="s">
        <v>53</v>
      </c>
      <c r="D20" s="1" t="s">
        <v>59</v>
      </c>
      <c r="E20" s="1">
        <v>74235.914721927402</v>
      </c>
      <c r="F20" s="1" t="s">
        <v>34</v>
      </c>
      <c r="G20" s="1" t="s">
        <v>56</v>
      </c>
      <c r="H20" s="1" t="e" vm="2">
        <v>#VALUE!</v>
      </c>
      <c r="I20" s="1" t="s">
        <v>44</v>
      </c>
      <c r="J20" s="1" t="s">
        <v>34</v>
      </c>
      <c r="K20" s="1">
        <v>12</v>
      </c>
      <c r="L20" s="8">
        <f>PI()*(Tabella2[[#This Row],[Diameter (mm)]]/2)^2</f>
        <v>113.09733552923255</v>
      </c>
      <c r="M20" s="8">
        <f>(PI()*Tabella2[[#This Row],[Diameter (mm)]]^4)/32</f>
        <v>2035.7520395261859</v>
      </c>
      <c r="N20" s="1" t="s">
        <v>35</v>
      </c>
      <c r="O20" s="1" t="s">
        <v>35</v>
      </c>
      <c r="P20" s="1" t="s">
        <v>35</v>
      </c>
      <c r="Q20" s="1">
        <v>-1</v>
      </c>
      <c r="R20" s="1" t="s">
        <v>35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0" s="1">
        <v>550.47192454612002</v>
      </c>
      <c r="W2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0" s="1" t="s">
        <v>35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0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62256.907949814922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62256.907949814922</v>
      </c>
      <c r="AE2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550.47192454612002</v>
      </c>
      <c r="AI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1" spans="1:36" x14ac:dyDescent="0.25">
      <c r="A21" s="1" t="s">
        <v>54</v>
      </c>
      <c r="B21" s="1">
        <v>2018</v>
      </c>
      <c r="C21" s="1" t="s">
        <v>53</v>
      </c>
      <c r="D21" s="1" t="s">
        <v>59</v>
      </c>
      <c r="E21" s="1">
        <v>84965.203220913594</v>
      </c>
      <c r="F21" s="1" t="s">
        <v>34</v>
      </c>
      <c r="G21" s="1" t="s">
        <v>56</v>
      </c>
      <c r="H21" s="1" t="e" vm="2">
        <v>#VALUE!</v>
      </c>
      <c r="I21" s="1" t="s">
        <v>44</v>
      </c>
      <c r="J21" s="1" t="s">
        <v>34</v>
      </c>
      <c r="K21" s="1">
        <v>12</v>
      </c>
      <c r="L21" s="8">
        <f>PI()*(Tabella2[[#This Row],[Diameter (mm)]]/2)^2</f>
        <v>113.09733552923255</v>
      </c>
      <c r="M21" s="8">
        <f>(PI()*Tabella2[[#This Row],[Diameter (mm)]]^4)/32</f>
        <v>2035.7520395261859</v>
      </c>
      <c r="N21" s="1" t="s">
        <v>35</v>
      </c>
      <c r="O21" s="1" t="s">
        <v>35</v>
      </c>
      <c r="P21" s="1" t="s">
        <v>35</v>
      </c>
      <c r="Q21" s="1">
        <v>-1</v>
      </c>
      <c r="R21" s="1" t="s">
        <v>35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1" s="1">
        <v>527.01459693751497</v>
      </c>
      <c r="W2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1" s="1" t="s">
        <v>35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0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59603.946698645384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59603.946698645384</v>
      </c>
      <c r="AE2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527.01459693751497</v>
      </c>
      <c r="AI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2" spans="1:36" x14ac:dyDescent="0.25">
      <c r="A22" s="1" t="s">
        <v>54</v>
      </c>
      <c r="B22" s="1">
        <v>2018</v>
      </c>
      <c r="C22" s="1" t="s">
        <v>53</v>
      </c>
      <c r="D22" s="1" t="s">
        <v>59</v>
      </c>
      <c r="E22" s="1">
        <v>85644.660116190003</v>
      </c>
      <c r="F22" s="1" t="s">
        <v>34</v>
      </c>
      <c r="G22" s="1" t="s">
        <v>56</v>
      </c>
      <c r="H22" s="1" t="e" vm="2">
        <v>#VALUE!</v>
      </c>
      <c r="I22" s="1" t="s">
        <v>44</v>
      </c>
      <c r="J22" s="1" t="s">
        <v>34</v>
      </c>
      <c r="K22" s="1">
        <v>12</v>
      </c>
      <c r="L22" s="8">
        <f>PI()*(Tabella2[[#This Row],[Diameter (mm)]]/2)^2</f>
        <v>113.09733552923255</v>
      </c>
      <c r="M22" s="8">
        <f>(PI()*Tabella2[[#This Row],[Diameter (mm)]]^4)/32</f>
        <v>2035.7520395261859</v>
      </c>
      <c r="N22" s="1" t="s">
        <v>35</v>
      </c>
      <c r="O22" s="1" t="s">
        <v>35</v>
      </c>
      <c r="P22" s="1" t="s">
        <v>35</v>
      </c>
      <c r="Q22" s="1">
        <v>-1</v>
      </c>
      <c r="R22" s="1" t="s">
        <v>35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2" s="1">
        <v>523.20339806564004</v>
      </c>
      <c r="W2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2" s="1" t="s">
        <v>35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0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59172.910261064317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59172.910261064317</v>
      </c>
      <c r="AE2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523.20339806564004</v>
      </c>
      <c r="AI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3" spans="1:36" x14ac:dyDescent="0.25">
      <c r="A23" s="1" t="s">
        <v>54</v>
      </c>
      <c r="B23" s="1">
        <v>2018</v>
      </c>
      <c r="C23" s="1" t="s">
        <v>53</v>
      </c>
      <c r="D23" s="1" t="s">
        <v>59</v>
      </c>
      <c r="E23" s="1">
        <v>105236.60189674101</v>
      </c>
      <c r="F23" s="1" t="s">
        <v>34</v>
      </c>
      <c r="G23" s="1" t="s">
        <v>56</v>
      </c>
      <c r="H23" s="1" t="e" vm="2">
        <v>#VALUE!</v>
      </c>
      <c r="I23" s="1" t="s">
        <v>44</v>
      </c>
      <c r="J23" s="1" t="s">
        <v>34</v>
      </c>
      <c r="K23" s="1">
        <v>12</v>
      </c>
      <c r="L23" s="8">
        <f>PI()*(Tabella2[[#This Row],[Diameter (mm)]]/2)^2</f>
        <v>113.09733552923255</v>
      </c>
      <c r="M23" s="8">
        <f>(PI()*Tabella2[[#This Row],[Diameter (mm)]]^4)/32</f>
        <v>2035.7520395261859</v>
      </c>
      <c r="N23" s="1" t="s">
        <v>35</v>
      </c>
      <c r="O23" s="1" t="s">
        <v>35</v>
      </c>
      <c r="P23" s="1" t="s">
        <v>35</v>
      </c>
      <c r="Q23" s="1">
        <v>-1</v>
      </c>
      <c r="R23" s="1" t="s">
        <v>35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3" s="1">
        <v>534.72048327796995</v>
      </c>
      <c r="W2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3" s="1" t="s">
        <v>35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0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60475.461911641949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60475.461911641949</v>
      </c>
      <c r="AE2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534.72048327796995</v>
      </c>
      <c r="AI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4" spans="1:36" ht="15" customHeight="1" x14ac:dyDescent="0.25">
      <c r="A24" s="1" t="s">
        <v>54</v>
      </c>
      <c r="B24" s="1">
        <v>2018</v>
      </c>
      <c r="C24" s="1" t="s">
        <v>53</v>
      </c>
      <c r="D24" s="1" t="s">
        <v>60</v>
      </c>
      <c r="E24" s="1">
        <v>68593.4749905809</v>
      </c>
      <c r="F24" s="1" t="s">
        <v>34</v>
      </c>
      <c r="G24" s="1" t="s">
        <v>56</v>
      </c>
      <c r="H24" s="1" t="e" vm="3">
        <v>#VALUE!</v>
      </c>
      <c r="I24" s="1" t="s">
        <v>44</v>
      </c>
      <c r="J24" s="1" t="s">
        <v>34</v>
      </c>
      <c r="K24" s="1">
        <v>14</v>
      </c>
      <c r="L24" s="8">
        <f>PI()*(Tabella2[[#This Row],[Diameter (mm)]]/2)^2</f>
        <v>153.93804002589985</v>
      </c>
      <c r="M24" s="8">
        <f>(PI()*Tabella2[[#This Row],[Diameter (mm)]]^4)/32</f>
        <v>3771.4819806345467</v>
      </c>
      <c r="N24" s="1" t="s">
        <v>35</v>
      </c>
      <c r="O24" s="1" t="s">
        <v>35</v>
      </c>
      <c r="P24" s="1" t="s">
        <v>35</v>
      </c>
      <c r="Q24" s="1" t="s">
        <v>35</v>
      </c>
      <c r="R24" s="1">
        <v>-1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4" s="1" t="s">
        <v>35</v>
      </c>
      <c r="W2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4" s="7">
        <v>527.01459693751497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283946.57941160229</v>
      </c>
      <c r="AG24" s="1">
        <f>IF(
   AND(ISNUMBER(Tabella2[[#This Row],[Mean TORQUE (Nmm)]]), ISNUMBER(Tabella2[[#This Row],[Amplitude TORQUE (Nmm)]])),
   Tabella2[[#This Row],[Mean TORQUE (Nmm)]]+Tabella2[[#This Row],[Amplitude TORQUE (Nmm)]],
   "Null"
)</f>
        <v>283946.57941160229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912.81605822620918</v>
      </c>
      <c r="AI2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5" spans="1:36" x14ac:dyDescent="0.25">
      <c r="A25" s="1" t="s">
        <v>54</v>
      </c>
      <c r="B25" s="1">
        <v>2018</v>
      </c>
      <c r="C25" s="1" t="s">
        <v>53</v>
      </c>
      <c r="D25" s="1" t="s">
        <v>60</v>
      </c>
      <c r="E25" s="1">
        <v>69123.857420208195</v>
      </c>
      <c r="F25" s="1" t="s">
        <v>34</v>
      </c>
      <c r="G25" s="1" t="s">
        <v>56</v>
      </c>
      <c r="H25" s="1" t="e" vm="3">
        <v>#VALUE!</v>
      </c>
      <c r="I25" s="1" t="s">
        <v>44</v>
      </c>
      <c r="J25" s="1" t="s">
        <v>34</v>
      </c>
      <c r="K25" s="1">
        <v>14</v>
      </c>
      <c r="L25" s="8">
        <f>PI()*(Tabella2[[#This Row],[Diameter (mm)]]/2)^2</f>
        <v>153.93804002589985</v>
      </c>
      <c r="M25" s="8">
        <f>(PI()*Tabella2[[#This Row],[Diameter (mm)]]^4)/32</f>
        <v>3771.4819806345467</v>
      </c>
      <c r="N25" s="1" t="s">
        <v>35</v>
      </c>
      <c r="O25" s="1" t="s">
        <v>35</v>
      </c>
      <c r="P25" s="1" t="s">
        <v>35</v>
      </c>
      <c r="Q25" s="1" t="s">
        <v>35</v>
      </c>
      <c r="R25" s="1">
        <v>-1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5" s="1" t="s">
        <v>35</v>
      </c>
      <c r="W2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5" s="7">
        <v>550.47192454612002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296584.9920387016</v>
      </c>
      <c r="AG25" s="1">
        <f>IF(
   AND(ISNUMBER(Tabella2[[#This Row],[Mean TORQUE (Nmm)]]), ISNUMBER(Tabella2[[#This Row],[Amplitude TORQUE (Nmm)]])),
   Tabella2[[#This Row],[Mean TORQUE (Nmm)]]+Tabella2[[#This Row],[Amplitude TORQUE (Nmm)]],
   "Null"
)</f>
        <v>296584.9920387016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953.44534145410125</v>
      </c>
      <c r="AI2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6" spans="1:36" x14ac:dyDescent="0.25">
      <c r="A26" s="1" t="s">
        <v>54</v>
      </c>
      <c r="B26" s="1">
        <v>2018</v>
      </c>
      <c r="C26" s="1" t="s">
        <v>53</v>
      </c>
      <c r="D26" s="1" t="s">
        <v>60</v>
      </c>
      <c r="E26" s="1">
        <v>113049.056923065</v>
      </c>
      <c r="F26" s="1" t="s">
        <v>34</v>
      </c>
      <c r="G26" s="1" t="s">
        <v>56</v>
      </c>
      <c r="H26" s="1" t="e" vm="3">
        <v>#VALUE!</v>
      </c>
      <c r="I26" s="1" t="s">
        <v>44</v>
      </c>
      <c r="J26" s="1" t="s">
        <v>34</v>
      </c>
      <c r="K26" s="1">
        <v>14</v>
      </c>
      <c r="L26" s="8">
        <f>PI()*(Tabella2[[#This Row],[Diameter (mm)]]/2)^2</f>
        <v>153.93804002589985</v>
      </c>
      <c r="M26" s="8">
        <f>(PI()*Tabella2[[#This Row],[Diameter (mm)]]^4)/32</f>
        <v>3771.4819806345467</v>
      </c>
      <c r="N26" s="1" t="s">
        <v>35</v>
      </c>
      <c r="O26" s="1" t="s">
        <v>35</v>
      </c>
      <c r="P26" s="1" t="s">
        <v>35</v>
      </c>
      <c r="Q26" s="1" t="s">
        <v>35</v>
      </c>
      <c r="R26" s="1">
        <v>-1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6" s="1" t="s">
        <v>35</v>
      </c>
      <c r="W2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6" s="7">
        <v>508.23223018505502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273826.95687437773</v>
      </c>
      <c r="AG26" s="1">
        <f>IF(
   AND(ISNUMBER(Tabella2[[#This Row],[Mean TORQUE (Nmm)]]), ISNUMBER(Tabella2[[#This Row],[Amplitude TORQUE (Nmm)]])),
   Tabella2[[#This Row],[Mean TORQUE (Nmm)]]+Tabella2[[#This Row],[Amplitude TORQUE (Nmm)]],
   "Null"
)</f>
        <v>273826.95687437773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880.28404472455611</v>
      </c>
      <c r="AI2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7" spans="1:36" x14ac:dyDescent="0.25">
      <c r="A27" s="1" t="s">
        <v>54</v>
      </c>
      <c r="B27" s="1">
        <v>2018</v>
      </c>
      <c r="C27" s="1" t="s">
        <v>53</v>
      </c>
      <c r="D27" s="1" t="s">
        <v>60</v>
      </c>
      <c r="E27" s="1">
        <v>421641.22786915302</v>
      </c>
      <c r="F27" s="1" t="s">
        <v>34</v>
      </c>
      <c r="G27" s="1" t="s">
        <v>56</v>
      </c>
      <c r="H27" s="1" t="e" vm="3">
        <v>#VALUE!</v>
      </c>
      <c r="I27" s="1" t="s">
        <v>44</v>
      </c>
      <c r="J27" s="1" t="s">
        <v>34</v>
      </c>
      <c r="K27" s="1">
        <v>14</v>
      </c>
      <c r="L27" s="8">
        <f>PI()*(Tabella2[[#This Row],[Diameter (mm)]]/2)^2</f>
        <v>153.93804002589985</v>
      </c>
      <c r="M27" s="8">
        <f>(PI()*Tabella2[[#This Row],[Diameter (mm)]]^4)/32</f>
        <v>3771.4819806345467</v>
      </c>
      <c r="N27" s="1" t="s">
        <v>35</v>
      </c>
      <c r="O27" s="1" t="s">
        <v>35</v>
      </c>
      <c r="P27" s="1" t="s">
        <v>35</v>
      </c>
      <c r="Q27" s="1" t="s">
        <v>35</v>
      </c>
      <c r="R27" s="1">
        <v>-1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7" s="1" t="s">
        <v>35</v>
      </c>
      <c r="W2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7" s="7">
        <v>474.3701625206395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255582.64572818187</v>
      </c>
      <c r="AG27" s="1">
        <f>IF(
   AND(ISNUMBER(Tabella2[[#This Row],[Mean TORQUE (Nmm)]]), ISNUMBER(Tabella2[[#This Row],[Amplitude TORQUE (Nmm)]])),
   Tabella2[[#This Row],[Mean TORQUE (Nmm)]]+Tabella2[[#This Row],[Amplitude TORQUE (Nmm)]],
   "Null"
)</f>
        <v>255582.64572818187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821.63322308045326</v>
      </c>
      <c r="AI2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8" spans="1:36" x14ac:dyDescent="0.25">
      <c r="A28" s="1" t="s">
        <v>65</v>
      </c>
      <c r="B28" s="1">
        <v>2014</v>
      </c>
      <c r="C28" s="1" t="s">
        <v>64</v>
      </c>
      <c r="D28" s="1" t="s">
        <v>66</v>
      </c>
      <c r="E28" s="14">
        <v>11031.3528048772</v>
      </c>
      <c r="F28" s="1" t="s">
        <v>34</v>
      </c>
      <c r="G28" s="1" t="s">
        <v>67</v>
      </c>
      <c r="H28" s="1" t="e" vm="4">
        <v>#VALUE!</v>
      </c>
      <c r="I28" s="1" t="s">
        <v>44</v>
      </c>
      <c r="J28" s="1" t="s">
        <v>34</v>
      </c>
      <c r="K28" s="1">
        <v>12</v>
      </c>
      <c r="L28" s="8">
        <f>PI()*(Tabella2[[#This Row],[Diameter (mm)]]/2)^2</f>
        <v>113.09733552923255</v>
      </c>
      <c r="M28" s="8">
        <f>(PI()*Tabella2[[#This Row],[Diameter (mm)]]^4)/32</f>
        <v>2035.7520395261859</v>
      </c>
      <c r="N28" s="1" t="s">
        <v>35</v>
      </c>
      <c r="O28" s="1" t="s">
        <v>35</v>
      </c>
      <c r="P28" s="1" t="s">
        <v>35</v>
      </c>
      <c r="Q28" s="1">
        <v>-1</v>
      </c>
      <c r="R28" s="1" t="s">
        <v>35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8" s="1">
        <v>822.46866977259401</v>
      </c>
      <c r="W2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8" s="1" t="s">
        <v>35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0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93019.015107552637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93019.015107552637</v>
      </c>
      <c r="AE2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822.46866977259401</v>
      </c>
      <c r="AI2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9" spans="1:36" x14ac:dyDescent="0.25">
      <c r="A29" s="1" t="s">
        <v>65</v>
      </c>
      <c r="B29" s="1">
        <v>2014</v>
      </c>
      <c r="C29" s="1" t="s">
        <v>64</v>
      </c>
      <c r="D29" s="1" t="s">
        <v>68</v>
      </c>
      <c r="E29" s="14">
        <v>40006.581089423104</v>
      </c>
      <c r="F29" s="1" t="s">
        <v>34</v>
      </c>
      <c r="G29" s="1" t="s">
        <v>67</v>
      </c>
      <c r="H29" s="1" t="e" vm="4">
        <v>#VALUE!</v>
      </c>
      <c r="I29" s="1" t="s">
        <v>44</v>
      </c>
      <c r="J29" s="1" t="s">
        <v>34</v>
      </c>
      <c r="K29" s="1">
        <v>12</v>
      </c>
      <c r="L29" s="8">
        <f>PI()*(Tabella2[[#This Row],[Diameter (mm)]]/2)^2</f>
        <v>113.09733552923255</v>
      </c>
      <c r="M29" s="8">
        <f>(PI()*Tabella2[[#This Row],[Diameter (mm)]]^4)/32</f>
        <v>2035.7520395261859</v>
      </c>
      <c r="N29" s="1" t="s">
        <v>35</v>
      </c>
      <c r="O29" s="1" t="s">
        <v>35</v>
      </c>
      <c r="P29" s="1" t="s">
        <v>35</v>
      </c>
      <c r="Q29" s="1">
        <v>-1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9" s="1">
        <v>701.70382867038199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1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0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79360.833353281312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79360.833353281312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701.70382867038199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65</v>
      </c>
      <c r="B30" s="1">
        <v>2014</v>
      </c>
      <c r="C30" s="1" t="s">
        <v>64</v>
      </c>
      <c r="D30" s="1" t="s">
        <v>69</v>
      </c>
      <c r="E30" s="14">
        <v>57103.239405355103</v>
      </c>
      <c r="F30" s="1" t="s">
        <v>34</v>
      </c>
      <c r="G30" s="1" t="s">
        <v>67</v>
      </c>
      <c r="H30" s="1" t="e" vm="4">
        <v>#VALUE!</v>
      </c>
      <c r="I30" s="1" t="s">
        <v>44</v>
      </c>
      <c r="J30" s="1" t="s">
        <v>34</v>
      </c>
      <c r="K30" s="1">
        <v>12</v>
      </c>
      <c r="L30" s="8">
        <f>PI()*(Tabella2[[#This Row],[Diameter (mm)]]/2)^2</f>
        <v>113.09733552923255</v>
      </c>
      <c r="M30" s="8">
        <f>(PI()*Tabella2[[#This Row],[Diameter (mm)]]^4)/32</f>
        <v>2035.7520395261859</v>
      </c>
      <c r="N30" s="1" t="s">
        <v>35</v>
      </c>
      <c r="O30" s="1" t="s">
        <v>35</v>
      </c>
      <c r="P30" s="1" t="s">
        <v>35</v>
      </c>
      <c r="Q30" s="1">
        <v>-1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0" s="1">
        <v>701.70382867038199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1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79360.833353281312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79360.833353281312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701.70382867038199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65</v>
      </c>
      <c r="B31" s="1">
        <v>2014</v>
      </c>
      <c r="C31" s="1" t="s">
        <v>64</v>
      </c>
      <c r="D31" s="1" t="s">
        <v>70</v>
      </c>
      <c r="E31" s="14">
        <v>138140.084016818</v>
      </c>
      <c r="F31" s="1" t="s">
        <v>34</v>
      </c>
      <c r="G31" s="1" t="s">
        <v>67</v>
      </c>
      <c r="H31" s="1" t="e" vm="4">
        <v>#VALUE!</v>
      </c>
      <c r="I31" s="1" t="s">
        <v>44</v>
      </c>
      <c r="J31" s="1" t="s">
        <v>34</v>
      </c>
      <c r="K31" s="1">
        <v>12</v>
      </c>
      <c r="L31" s="8">
        <f>PI()*(Tabella2[[#This Row],[Diameter (mm)]]/2)^2</f>
        <v>113.09733552923255</v>
      </c>
      <c r="M31" s="8">
        <f>(PI()*Tabella2[[#This Row],[Diameter (mm)]]^4)/32</f>
        <v>2035.7520395261859</v>
      </c>
      <c r="N31" s="1" t="s">
        <v>35</v>
      </c>
      <c r="O31" s="1" t="s">
        <v>35</v>
      </c>
      <c r="P31" s="1" t="s">
        <v>35</v>
      </c>
      <c r="Q31" s="1">
        <v>-1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1" s="1">
        <v>613.477174240674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1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0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69382.633814622968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69382.633814622968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613.477174240674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65</v>
      </c>
      <c r="B32" s="1">
        <v>2014</v>
      </c>
      <c r="C32" s="1" t="s">
        <v>64</v>
      </c>
      <c r="D32" s="1" t="s">
        <v>71</v>
      </c>
      <c r="E32" s="14">
        <v>158100.87759316701</v>
      </c>
      <c r="F32" s="1" t="s">
        <v>34</v>
      </c>
      <c r="G32" s="1" t="s">
        <v>67</v>
      </c>
      <c r="H32" s="1" t="e" vm="4">
        <v>#VALUE!</v>
      </c>
      <c r="I32" s="1" t="s">
        <v>44</v>
      </c>
      <c r="J32" s="1" t="s">
        <v>34</v>
      </c>
      <c r="K32" s="1">
        <v>12</v>
      </c>
      <c r="L32" s="8">
        <f>PI()*(Tabella2[[#This Row],[Diameter (mm)]]/2)^2</f>
        <v>113.09733552923255</v>
      </c>
      <c r="M32" s="8">
        <f>(PI()*Tabella2[[#This Row],[Diameter (mm)]]^4)/32</f>
        <v>2035.7520395261859</v>
      </c>
      <c r="N32" s="1" t="s">
        <v>35</v>
      </c>
      <c r="O32" s="1" t="s">
        <v>35</v>
      </c>
      <c r="P32" s="1" t="s">
        <v>35</v>
      </c>
      <c r="Q32" s="1">
        <v>-1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2" s="1">
        <v>606.02894692048301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1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68540.259150293336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68540.259150293336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606.02894692048301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65</v>
      </c>
      <c r="B33" s="1">
        <v>2014</v>
      </c>
      <c r="C33" s="1" t="s">
        <v>64</v>
      </c>
      <c r="D33" s="1" t="s">
        <v>72</v>
      </c>
      <c r="E33" s="14">
        <v>314293.71874558198</v>
      </c>
      <c r="F33" s="1" t="s">
        <v>34</v>
      </c>
      <c r="G33" s="1" t="s">
        <v>67</v>
      </c>
      <c r="H33" s="1" t="e" vm="4">
        <v>#VALUE!</v>
      </c>
      <c r="I33" s="1" t="s">
        <v>44</v>
      </c>
      <c r="J33" s="1" t="s">
        <v>34</v>
      </c>
      <c r="K33" s="1">
        <v>12</v>
      </c>
      <c r="L33" s="8">
        <f>PI()*(Tabella2[[#This Row],[Diameter (mm)]]/2)^2</f>
        <v>113.09733552923255</v>
      </c>
      <c r="M33" s="8">
        <f>(PI()*Tabella2[[#This Row],[Diameter (mm)]]^4)/32</f>
        <v>2035.7520395261859</v>
      </c>
      <c r="N33" s="1" t="s">
        <v>35</v>
      </c>
      <c r="O33" s="1" t="s">
        <v>35</v>
      </c>
      <c r="P33" s="1" t="s">
        <v>35</v>
      </c>
      <c r="Q33" s="1">
        <v>-1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3" s="1">
        <v>563.200627451012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1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0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63696.490333101407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63696.490333101407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563.200627451012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65</v>
      </c>
      <c r="B34" s="1">
        <v>2014</v>
      </c>
      <c r="C34" s="1" t="s">
        <v>64</v>
      </c>
      <c r="D34" s="1" t="s">
        <v>73</v>
      </c>
      <c r="E34" s="14">
        <v>382466.36690465</v>
      </c>
      <c r="F34" s="1" t="s">
        <v>34</v>
      </c>
      <c r="G34" s="1" t="s">
        <v>67</v>
      </c>
      <c r="H34" s="1" t="e" vm="4">
        <v>#VALUE!</v>
      </c>
      <c r="I34" s="1" t="s">
        <v>44</v>
      </c>
      <c r="J34" s="1" t="s">
        <v>34</v>
      </c>
      <c r="K34" s="1">
        <v>12</v>
      </c>
      <c r="L34" s="8">
        <f>PI()*(Tabella2[[#This Row],[Diameter (mm)]]/2)^2</f>
        <v>113.09733552923255</v>
      </c>
      <c r="M34" s="8">
        <f>(PI()*Tabella2[[#This Row],[Diameter (mm)]]^4)/32</f>
        <v>2035.7520395261859</v>
      </c>
      <c r="N34" s="1" t="s">
        <v>35</v>
      </c>
      <c r="O34" s="1" t="s">
        <v>35</v>
      </c>
      <c r="P34" s="1" t="s">
        <v>35</v>
      </c>
      <c r="Q34" s="1">
        <v>-1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4" s="1">
        <v>577.12941454086604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1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65271.799040117869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65271.799040117869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577.12941454086604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65</v>
      </c>
      <c r="B35" s="1">
        <v>2014</v>
      </c>
      <c r="C35" s="1" t="s">
        <v>64</v>
      </c>
      <c r="D35" s="1" t="s">
        <v>74</v>
      </c>
      <c r="E35" s="14">
        <v>602214.67193229997</v>
      </c>
      <c r="F35" s="1" t="s">
        <v>34</v>
      </c>
      <c r="G35" s="1" t="s">
        <v>67</v>
      </c>
      <c r="H35" s="1" t="e" vm="4">
        <v>#VALUE!</v>
      </c>
      <c r="I35" s="1" t="s">
        <v>44</v>
      </c>
      <c r="J35" s="1" t="s">
        <v>34</v>
      </c>
      <c r="K35" s="1">
        <v>12</v>
      </c>
      <c r="L35" s="8">
        <f>PI()*(Tabella2[[#This Row],[Diameter (mm)]]/2)^2</f>
        <v>113.09733552923255</v>
      </c>
      <c r="M35" s="8">
        <f>(PI()*Tabella2[[#This Row],[Diameter (mm)]]^4)/32</f>
        <v>2035.7520395261859</v>
      </c>
      <c r="N35" s="1" t="s">
        <v>35</v>
      </c>
      <c r="O35" s="1" t="s">
        <v>35</v>
      </c>
      <c r="P35" s="1" t="s">
        <v>35</v>
      </c>
      <c r="Q35" s="1">
        <v>-1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5" s="1">
        <v>510.76697810379699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1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0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57766.384299857302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57766.384299857302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510.76697810379699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65</v>
      </c>
      <c r="B36" s="1">
        <v>2014</v>
      </c>
      <c r="C36" s="1" t="s">
        <v>64</v>
      </c>
      <c r="D36" s="1" t="s">
        <v>75</v>
      </c>
      <c r="E36" s="14">
        <v>808421.12834591803</v>
      </c>
      <c r="F36" s="1" t="s">
        <v>34</v>
      </c>
      <c r="G36" s="1" t="s">
        <v>67</v>
      </c>
      <c r="H36" s="1" t="e" vm="4">
        <v>#VALUE!</v>
      </c>
      <c r="I36" s="1" t="s">
        <v>44</v>
      </c>
      <c r="J36" s="1" t="s">
        <v>34</v>
      </c>
      <c r="K36" s="1">
        <v>12</v>
      </c>
      <c r="L36" s="8">
        <f>PI()*(Tabella2[[#This Row],[Diameter (mm)]]/2)^2</f>
        <v>113.09733552923255</v>
      </c>
      <c r="M36" s="8">
        <f>(PI()*Tabella2[[#This Row],[Diameter (mm)]]^4)/32</f>
        <v>2035.7520395261859</v>
      </c>
      <c r="N36" s="1" t="s">
        <v>35</v>
      </c>
      <c r="O36" s="1" t="s">
        <v>35</v>
      </c>
      <c r="P36" s="1" t="s">
        <v>35</v>
      </c>
      <c r="Q36" s="1">
        <v>-1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6" s="1">
        <v>517.04441514685504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1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58476.345703379673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58476.345703379673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517.04441514685504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65</v>
      </c>
      <c r="B37" s="1">
        <v>2014</v>
      </c>
      <c r="C37" s="1" t="s">
        <v>64</v>
      </c>
      <c r="D37" s="1" t="s">
        <v>76</v>
      </c>
      <c r="E37" s="1">
        <v>10927.591542570101</v>
      </c>
      <c r="F37" s="1" t="s">
        <v>34</v>
      </c>
      <c r="G37" s="1" t="s">
        <v>67</v>
      </c>
      <c r="H37" s="1" t="e" vm="4">
        <v>#VALUE!</v>
      </c>
      <c r="I37" s="1" t="s">
        <v>44</v>
      </c>
      <c r="J37" s="1" t="s">
        <v>34</v>
      </c>
      <c r="K37" s="1">
        <v>12</v>
      </c>
      <c r="L37" s="8">
        <f>PI()*(Tabella2[[#This Row],[Diameter (mm)]]/2)^2</f>
        <v>113.09733552923255</v>
      </c>
      <c r="M37" s="8">
        <f>(PI()*Tabella2[[#This Row],[Diameter (mm)]]^4)/32</f>
        <v>2035.7520395261859</v>
      </c>
      <c r="N37" s="1" t="s">
        <v>35</v>
      </c>
      <c r="O37" s="1" t="s">
        <v>35</v>
      </c>
      <c r="P37" s="1" t="s">
        <v>35</v>
      </c>
      <c r="Q37" s="1" t="s">
        <v>35</v>
      </c>
      <c r="R37" s="1">
        <v>-2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37" s="1" t="s">
        <v>35</v>
      </c>
      <c r="W37" s="7">
        <f>IF(ISNUMBER(Tabella2[[#This Row],[Amplitute SHEAR stress  (MPa)]]), (1+Tabella2[[#This Row],[Load ratio (TORSIONAL)]])*Tabella2[[#This Row],[Amplitute SHEAR stress  (MPa)]]/(1-Tabella2[[#This Row],[Load ratio (TORSIONAL)]]), "Null")</f>
        <v>-173.41116914238668</v>
      </c>
      <c r="X37" s="1">
        <v>520.23350742716002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3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3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3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-58837.023543039017</v>
      </c>
      <c r="AF3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176511.07062911705</v>
      </c>
      <c r="AG37" s="1">
        <f>IF(
   AND(ISNUMBER(Tabella2[[#This Row],[Mean TORQUE (Nmm)]]), ISNUMBER(Tabella2[[#This Row],[Amplitude TORQUE (Nmm)]])),
   Tabella2[[#This Row],[Mean TORQUE (Nmm)]]+Tabella2[[#This Row],[Amplitude TORQUE (Nmm)]],
   "Null"
)</f>
        <v>117674.04708607803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901.07086666360203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65</v>
      </c>
      <c r="B38" s="1">
        <v>2014</v>
      </c>
      <c r="C38" s="1" t="s">
        <v>64</v>
      </c>
      <c r="D38" s="1" t="s">
        <v>77</v>
      </c>
      <c r="E38" s="1">
        <v>13971.5482038106</v>
      </c>
      <c r="F38" s="1" t="s">
        <v>34</v>
      </c>
      <c r="G38" s="1" t="s">
        <v>67</v>
      </c>
      <c r="H38" s="1" t="e" vm="4">
        <v>#VALUE!</v>
      </c>
      <c r="I38" s="1" t="s">
        <v>44</v>
      </c>
      <c r="J38" s="1" t="s">
        <v>34</v>
      </c>
      <c r="K38" s="1">
        <v>12</v>
      </c>
      <c r="L38" s="8">
        <f>PI()*(Tabella2[[#This Row],[Diameter (mm)]]/2)^2</f>
        <v>113.09733552923255</v>
      </c>
      <c r="M38" s="8">
        <f>(PI()*Tabella2[[#This Row],[Diameter (mm)]]^4)/32</f>
        <v>2035.7520395261859</v>
      </c>
      <c r="N38" s="1" t="s">
        <v>35</v>
      </c>
      <c r="O38" s="1" t="s">
        <v>35</v>
      </c>
      <c r="P38" s="1" t="s">
        <v>35</v>
      </c>
      <c r="Q38" s="1" t="s">
        <v>35</v>
      </c>
      <c r="R38" s="1">
        <v>-2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38" s="1" t="s">
        <v>35</v>
      </c>
      <c r="W38" s="7">
        <f>IF(ISNUMBER(Tabella2[[#This Row],[Amplitute SHEAR stress  (MPa)]]), (1+Tabella2[[#This Row],[Load ratio (TORSIONAL)]])*Tabella2[[#This Row],[Amplitute SHEAR stress  (MPa)]]/(1-Tabella2[[#This Row],[Load ratio (TORSIONAL)]]), "Null")</f>
        <v>-171.86650186777865</v>
      </c>
      <c r="X38" s="1">
        <v>515.59950560333596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3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3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3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-58312.9302839269</v>
      </c>
      <c r="AF3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174938.79085178071</v>
      </c>
      <c r="AG38" s="1">
        <f>IF(
   AND(ISNUMBER(Tabella2[[#This Row],[Mean TORQUE (Nmm)]]), ISNUMBER(Tabella2[[#This Row],[Amplitude TORQUE (Nmm)]])),
   Tabella2[[#This Row],[Mean TORQUE (Nmm)]]+Tabella2[[#This Row],[Amplitude TORQUE (Nmm)]],
   "Null"
)</f>
        <v>116625.86056785382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893.04454006237199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65</v>
      </c>
      <c r="B39" s="1">
        <v>2014</v>
      </c>
      <c r="C39" s="1" t="s">
        <v>64</v>
      </c>
      <c r="D39" s="1" t="s">
        <v>78</v>
      </c>
      <c r="E39" s="1">
        <v>131752.735043461</v>
      </c>
      <c r="F39" s="1" t="s">
        <v>34</v>
      </c>
      <c r="G39" s="1" t="s">
        <v>67</v>
      </c>
      <c r="H39" s="1" t="e" vm="4">
        <v>#VALUE!</v>
      </c>
      <c r="I39" s="1" t="s">
        <v>44</v>
      </c>
      <c r="J39" s="1" t="s">
        <v>34</v>
      </c>
      <c r="K39" s="1">
        <v>12</v>
      </c>
      <c r="L39" s="8">
        <f>PI()*(Tabella2[[#This Row],[Diameter (mm)]]/2)^2</f>
        <v>113.09733552923255</v>
      </c>
      <c r="M39" s="8">
        <f>(PI()*Tabella2[[#This Row],[Diameter (mm)]]^4)/32</f>
        <v>2035.7520395261859</v>
      </c>
      <c r="N39" s="1" t="s">
        <v>35</v>
      </c>
      <c r="O39" s="1" t="s">
        <v>35</v>
      </c>
      <c r="P39" s="1" t="s">
        <v>35</v>
      </c>
      <c r="Q39" s="1" t="s">
        <v>35</v>
      </c>
      <c r="R39" s="1">
        <v>-2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39" s="1" t="s">
        <v>35</v>
      </c>
      <c r="W39" s="7">
        <f>IF(ISNUMBER(Tabella2[[#This Row],[Amplitute SHEAR stress  (MPa)]]), (1+Tabella2[[#This Row],[Load ratio (TORSIONAL)]])*Tabella2[[#This Row],[Amplitute SHEAR stress  (MPa)]]/(1-Tabella2[[#This Row],[Load ratio (TORSIONAL)]]), "Null")</f>
        <v>-151.85863743279768</v>
      </c>
      <c r="X39" s="1">
        <v>455.57591229839301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3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3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3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-51524.42181224758</v>
      </c>
      <c r="AF3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154573.26543674272</v>
      </c>
      <c r="AG39" s="1">
        <f>IF(
   AND(ISNUMBER(Tabella2[[#This Row],[Mean TORQUE (Nmm)]]), ISNUMBER(Tabella2[[#This Row],[Amplitude TORQUE (Nmm)]])),
   Tabella2[[#This Row],[Mean TORQUE (Nmm)]]+Tabella2[[#This Row],[Amplitude TORQUE (Nmm)]],
   "Null"
)</f>
        <v>103048.84362449514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789.08062680535966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65</v>
      </c>
      <c r="B40" s="1">
        <v>2014</v>
      </c>
      <c r="C40" s="1" t="s">
        <v>64</v>
      </c>
      <c r="D40" s="1" t="s">
        <v>79</v>
      </c>
      <c r="E40" s="1">
        <v>161706.10743453199</v>
      </c>
      <c r="F40" s="1" t="s">
        <v>34</v>
      </c>
      <c r="G40" s="1" t="s">
        <v>67</v>
      </c>
      <c r="H40" s="1" t="e" vm="4">
        <v>#VALUE!</v>
      </c>
      <c r="I40" s="1" t="s">
        <v>44</v>
      </c>
      <c r="J40" s="1" t="s">
        <v>34</v>
      </c>
      <c r="K40" s="1">
        <v>12</v>
      </c>
      <c r="L40" s="8">
        <f>PI()*(Tabella2[[#This Row],[Diameter (mm)]]/2)^2</f>
        <v>113.09733552923255</v>
      </c>
      <c r="M40" s="8">
        <f>(PI()*Tabella2[[#This Row],[Diameter (mm)]]^4)/32</f>
        <v>2035.7520395261859</v>
      </c>
      <c r="N40" s="1" t="s">
        <v>35</v>
      </c>
      <c r="O40" s="1" t="s">
        <v>35</v>
      </c>
      <c r="P40" s="1" t="s">
        <v>35</v>
      </c>
      <c r="Q40" s="1" t="s">
        <v>35</v>
      </c>
      <c r="R40" s="1">
        <v>-2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0" s="1" t="s">
        <v>35</v>
      </c>
      <c r="W40" s="7">
        <f>IF(ISNUMBER(Tabella2[[#This Row],[Amplitute SHEAR stress  (MPa)]]), (1+Tabella2[[#This Row],[Load ratio (TORSIONAL)]])*Tabella2[[#This Row],[Amplitute SHEAR stress  (MPa)]]/(1-Tabella2[[#This Row],[Load ratio (TORSIONAL)]]), "Null")</f>
        <v>-151.81973211465433</v>
      </c>
      <c r="X40" s="1">
        <v>455.45919634396301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-51511.221548787784</v>
      </c>
      <c r="AF4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154533.66464636338</v>
      </c>
      <c r="AG40" s="1">
        <f>IF(
   AND(ISNUMBER(Tabella2[[#This Row],[Mean TORQUE (Nmm)]]), ISNUMBER(Tabella2[[#This Row],[Amplitude TORQUE (Nmm)]])),
   Tabella2[[#This Row],[Mean TORQUE (Nmm)]]+Tabella2[[#This Row],[Amplitude TORQUE (Nmm)]],
   "Null"
)</f>
        <v>103022.4430975756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788.87846884223302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65</v>
      </c>
      <c r="B41" s="1">
        <v>2014</v>
      </c>
      <c r="C41" s="1" t="s">
        <v>64</v>
      </c>
      <c r="D41" s="1" t="s">
        <v>80</v>
      </c>
      <c r="E41" s="1">
        <v>411409.90689811303</v>
      </c>
      <c r="F41" s="1" t="s">
        <v>34</v>
      </c>
      <c r="G41" s="1" t="s">
        <v>67</v>
      </c>
      <c r="H41" s="1" t="e" vm="4">
        <v>#VALUE!</v>
      </c>
      <c r="I41" s="1" t="s">
        <v>44</v>
      </c>
      <c r="J41" s="1" t="s">
        <v>34</v>
      </c>
      <c r="K41" s="1">
        <v>12</v>
      </c>
      <c r="L41" s="8">
        <f>PI()*(Tabella2[[#This Row],[Diameter (mm)]]/2)^2</f>
        <v>113.09733552923255</v>
      </c>
      <c r="M41" s="8">
        <f>(PI()*Tabella2[[#This Row],[Diameter (mm)]]^4)/32</f>
        <v>2035.7520395261859</v>
      </c>
      <c r="N41" s="1" t="s">
        <v>35</v>
      </c>
      <c r="O41" s="1" t="s">
        <v>35</v>
      </c>
      <c r="P41" s="1" t="s">
        <v>35</v>
      </c>
      <c r="Q41" s="1" t="s">
        <v>35</v>
      </c>
      <c r="R41" s="1">
        <v>-2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1" s="1" t="s">
        <v>35</v>
      </c>
      <c r="W41" s="7">
        <f>IF(ISNUMBER(Tabella2[[#This Row],[Amplitute SHEAR stress  (MPa)]]), (1+Tabella2[[#This Row],[Load ratio (TORSIONAL)]])*Tabella2[[#This Row],[Amplitute SHEAR stress  (MPa)]]/(1-Tabella2[[#This Row],[Load ratio (TORSIONAL)]]), "Null")</f>
        <v>-147.12543505879634</v>
      </c>
      <c r="X41" s="1">
        <v>441.376305176389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-49918.484081187016</v>
      </c>
      <c r="AF4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149755.45224356101</v>
      </c>
      <c r="AG41" s="1">
        <f>IF(
   AND(ISNUMBER(Tabella2[[#This Row],[Mean TORQUE (Nmm)]]), ISNUMBER(Tabella2[[#This Row],[Amplitude TORQUE (Nmm)]])),
   Tabella2[[#This Row],[Mean TORQUE (Nmm)]]+Tabella2[[#This Row],[Amplitude TORQUE (Nmm)]],
   "Null"
)</f>
        <v>99836.968162373989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764.48618582253175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65</v>
      </c>
      <c r="B42" s="1">
        <v>2014</v>
      </c>
      <c r="C42" s="1" t="s">
        <v>64</v>
      </c>
      <c r="D42" s="1" t="s">
        <v>81</v>
      </c>
      <c r="E42" s="1">
        <v>513238.00899761001</v>
      </c>
      <c r="F42" s="1" t="s">
        <v>34</v>
      </c>
      <c r="G42" s="1" t="s">
        <v>67</v>
      </c>
      <c r="H42" s="1" t="e" vm="4">
        <v>#VALUE!</v>
      </c>
      <c r="I42" s="1" t="s">
        <v>44</v>
      </c>
      <c r="J42" s="1" t="s">
        <v>34</v>
      </c>
      <c r="K42" s="1">
        <v>12</v>
      </c>
      <c r="L42" s="8">
        <f>PI()*(Tabella2[[#This Row],[Diameter (mm)]]/2)^2</f>
        <v>113.09733552923255</v>
      </c>
      <c r="M42" s="8">
        <f>(PI()*Tabella2[[#This Row],[Diameter (mm)]]^4)/32</f>
        <v>2035.7520395261859</v>
      </c>
      <c r="N42" s="1" t="s">
        <v>35</v>
      </c>
      <c r="O42" s="1" t="s">
        <v>35</v>
      </c>
      <c r="P42" s="1" t="s">
        <v>35</v>
      </c>
      <c r="Q42" s="1" t="s">
        <v>35</v>
      </c>
      <c r="R42" s="1">
        <v>-2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2" s="1" t="s">
        <v>35</v>
      </c>
      <c r="W42" s="7">
        <f>IF(ISNUMBER(Tabella2[[#This Row],[Amplitute SHEAR stress  (MPa)]]), (1+Tabella2[[#This Row],[Load ratio (TORSIONAL)]])*Tabella2[[#This Row],[Amplitute SHEAR stress  (MPa)]]/(1-Tabella2[[#This Row],[Load ratio (TORSIONAL)]]), "Null")</f>
        <v>-145.81939254205534</v>
      </c>
      <c r="X42" s="1">
        <v>437.45817762616599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-49475.354294993107</v>
      </c>
      <c r="AF4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148426.06288497933</v>
      </c>
      <c r="AG42" s="1">
        <f>IF(
   AND(ISNUMBER(Tabella2[[#This Row],[Mean TORQUE (Nmm)]]), ISNUMBER(Tabella2[[#This Row],[Amplitude TORQUE (Nmm)]])),
   Tabella2[[#This Row],[Mean TORQUE (Nmm)]]+Tabella2[[#This Row],[Amplitude TORQUE (Nmm)]],
   "Null"
)</f>
        <v>98950.708589986229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757.69978983501017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65</v>
      </c>
      <c r="B43" s="1">
        <v>2014</v>
      </c>
      <c r="C43" s="1" t="s">
        <v>64</v>
      </c>
      <c r="D43" s="1" t="s">
        <v>82</v>
      </c>
      <c r="E43" s="1">
        <v>18904.920800785902</v>
      </c>
      <c r="F43" s="1" t="s">
        <v>34</v>
      </c>
      <c r="G43" s="1" t="s">
        <v>67</v>
      </c>
      <c r="H43" s="1" t="e" vm="4">
        <v>#VALUE!</v>
      </c>
      <c r="I43" s="1" t="s">
        <v>44</v>
      </c>
      <c r="J43" s="1" t="s">
        <v>34</v>
      </c>
      <c r="K43" s="1">
        <v>12</v>
      </c>
      <c r="L43" s="8">
        <f>PI()*(Tabella2[[#This Row],[Diameter (mm)]]/2)^2</f>
        <v>113.09733552923255</v>
      </c>
      <c r="M43" s="8">
        <f>(PI()*Tabella2[[#This Row],[Diameter (mm)]]^4)/32</f>
        <v>2035.7520395261859</v>
      </c>
      <c r="N43" s="1" t="s">
        <v>35</v>
      </c>
      <c r="O43" s="1" t="s">
        <v>35</v>
      </c>
      <c r="P43" s="1" t="s">
        <v>35</v>
      </c>
      <c r="Q43" s="1" t="s">
        <v>35</v>
      </c>
      <c r="R43" s="1">
        <v>-3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3" s="1" t="s">
        <v>35</v>
      </c>
      <c r="W43" s="7">
        <f>IF(ISNUMBER(Tabella2[[#This Row],[Amplitute SHEAR stress  (MPa)]]), (1+Tabella2[[#This Row],[Load ratio (TORSIONAL)]])*Tabella2[[#This Row],[Amplitute SHEAR stress  (MPa)]]/(1-Tabella2[[#This Row],[Load ratio (TORSIONAL)]]), "Null")</f>
        <v>-239.45466190491899</v>
      </c>
      <c r="X43" s="1">
        <v>478.90932380983799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-81245.052724498688</v>
      </c>
      <c r="AF4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162490.10544899738</v>
      </c>
      <c r="AG43" s="1">
        <f>IF(
   AND(ISNUMBER(Tabella2[[#This Row],[Mean TORQUE (Nmm)]]), ISNUMBER(Tabella2[[#This Row],[Amplitude TORQUE (Nmm)]])),
   Tabella2[[#This Row],[Mean TORQUE (Nmm)]]+Tabella2[[#This Row],[Amplitude TORQUE (Nmm)]],
   "Null"
)</f>
        <v>81245.052724498688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829.49528105709487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ht="15" customHeight="1" x14ac:dyDescent="0.25">
      <c r="A44" s="1" t="s">
        <v>65</v>
      </c>
      <c r="B44" s="1">
        <v>2014</v>
      </c>
      <c r="C44" s="1" t="s">
        <v>64</v>
      </c>
      <c r="D44" s="1" t="s">
        <v>83</v>
      </c>
      <c r="E44" s="1">
        <v>81166.608468437204</v>
      </c>
      <c r="F44" s="1" t="s">
        <v>34</v>
      </c>
      <c r="G44" s="1" t="s">
        <v>67</v>
      </c>
      <c r="H44" s="1" t="e" vm="4">
        <v>#VALUE!</v>
      </c>
      <c r="I44" s="1" t="s">
        <v>44</v>
      </c>
      <c r="J44" s="1" t="s">
        <v>34</v>
      </c>
      <c r="K44" s="1">
        <v>12</v>
      </c>
      <c r="L44" s="8">
        <f>PI()*(Tabella2[[#This Row],[Diameter (mm)]]/2)^2</f>
        <v>113.09733552923255</v>
      </c>
      <c r="M44" s="8">
        <f>(PI()*Tabella2[[#This Row],[Diameter (mm)]]^4)/32</f>
        <v>2035.7520395261859</v>
      </c>
      <c r="N44" s="1" t="s">
        <v>35</v>
      </c>
      <c r="O44" s="1" t="s">
        <v>35</v>
      </c>
      <c r="P44" s="1" t="s">
        <v>35</v>
      </c>
      <c r="Q44" s="1" t="s">
        <v>35</v>
      </c>
      <c r="R44" s="1">
        <v>-3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4" s="1" t="s">
        <v>35</v>
      </c>
      <c r="W44" s="7">
        <f>IF(ISNUMBER(Tabella2[[#This Row],[Amplitute SHEAR stress  (MPa)]]), (1+Tabella2[[#This Row],[Load ratio (TORSIONAL)]])*Tabella2[[#This Row],[Amplitute SHEAR stress  (MPa)]]/(1-Tabella2[[#This Row],[Load ratio (TORSIONAL)]]), "Null")</f>
        <v>-208.15856023854349</v>
      </c>
      <c r="X44" s="1">
        <v>416.31712047708697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-70626.535591741544</v>
      </c>
      <c r="AF4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141253.07118348309</v>
      </c>
      <c r="AG44" s="1">
        <f>IF(
   AND(ISNUMBER(Tabella2[[#This Row],[Mean TORQUE (Nmm)]]), ISNUMBER(Tabella2[[#This Row],[Amplitude TORQUE (Nmm)]])),
   Tabella2[[#This Row],[Mean TORQUE (Nmm)]]+Tabella2[[#This Row],[Amplitude TORQUE (Nmm)]],
   "Null"
)</f>
        <v>70626.535591741544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721.08240472708803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65</v>
      </c>
      <c r="B45" s="1">
        <v>2014</v>
      </c>
      <c r="C45" s="1" t="s">
        <v>64</v>
      </c>
      <c r="D45" s="1" t="s">
        <v>84</v>
      </c>
      <c r="E45" s="1">
        <v>110822.244159229</v>
      </c>
      <c r="F45" s="1" t="s">
        <v>34</v>
      </c>
      <c r="G45" s="1" t="s">
        <v>67</v>
      </c>
      <c r="H45" s="1" t="e" vm="4">
        <v>#VALUE!</v>
      </c>
      <c r="I45" s="1" t="s">
        <v>44</v>
      </c>
      <c r="J45" s="1" t="s">
        <v>34</v>
      </c>
      <c r="K45" s="1">
        <v>12</v>
      </c>
      <c r="L45" s="8">
        <f>PI()*(Tabella2[[#This Row],[Diameter (mm)]]/2)^2</f>
        <v>113.09733552923255</v>
      </c>
      <c r="M45" s="8">
        <f>(PI()*Tabella2[[#This Row],[Diameter (mm)]]^4)/32</f>
        <v>2035.7520395261859</v>
      </c>
      <c r="N45" s="1" t="s">
        <v>35</v>
      </c>
      <c r="O45" s="1" t="s">
        <v>35</v>
      </c>
      <c r="P45" s="1" t="s">
        <v>35</v>
      </c>
      <c r="Q45" s="1" t="s">
        <v>35</v>
      </c>
      <c r="R45" s="1">
        <v>-3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5" s="1" t="s">
        <v>35</v>
      </c>
      <c r="W45" s="7">
        <f>IF(ISNUMBER(Tabella2[[#This Row],[Amplitute SHEAR stress  (MPa)]]), (1+Tabella2[[#This Row],[Load ratio (TORSIONAL)]])*Tabella2[[#This Row],[Amplitute SHEAR stress  (MPa)]]/(1-Tabella2[[#This Row],[Load ratio (TORSIONAL)]]), "Null")</f>
        <v>-208.9783425194365</v>
      </c>
      <c r="X45" s="1">
        <v>417.95668503887299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-70904.68116679079</v>
      </c>
      <c r="AF4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141809.36233358158</v>
      </c>
      <c r="AG45" s="1">
        <f>IF(
   AND(ISNUMBER(Tabella2[[#This Row],[Mean TORQUE (Nmm)]]), ISNUMBER(Tabella2[[#This Row],[Amplitude TORQUE (Nmm)]])),
   Tabella2[[#This Row],[Mean TORQUE (Nmm)]]+Tabella2[[#This Row],[Amplitude TORQUE (Nmm)]],
   "Null"
)</f>
        <v>70904.68116679079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723.9222138503909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65</v>
      </c>
      <c r="B46" s="1">
        <v>2014</v>
      </c>
      <c r="C46" s="1" t="s">
        <v>64</v>
      </c>
      <c r="D46" s="1" t="s">
        <v>85</v>
      </c>
      <c r="E46" s="1">
        <v>188738.48182717201</v>
      </c>
      <c r="F46" s="1" t="s">
        <v>34</v>
      </c>
      <c r="G46" s="1" t="s">
        <v>67</v>
      </c>
      <c r="H46" s="1" t="e" vm="4">
        <v>#VALUE!</v>
      </c>
      <c r="I46" s="1" t="s">
        <v>44</v>
      </c>
      <c r="J46" s="1" t="s">
        <v>34</v>
      </c>
      <c r="K46" s="1">
        <v>12</v>
      </c>
      <c r="L46" s="8">
        <f>PI()*(Tabella2[[#This Row],[Diameter (mm)]]/2)^2</f>
        <v>113.09733552923255</v>
      </c>
      <c r="M46" s="8">
        <f>(PI()*Tabella2[[#This Row],[Diameter (mm)]]^4)/32</f>
        <v>2035.7520395261859</v>
      </c>
      <c r="N46" s="1" t="s">
        <v>35</v>
      </c>
      <c r="O46" s="1" t="s">
        <v>35</v>
      </c>
      <c r="P46" s="1" t="s">
        <v>35</v>
      </c>
      <c r="Q46" s="1" t="s">
        <v>35</v>
      </c>
      <c r="R46" s="1">
        <v>-3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6" s="1" t="s">
        <v>35</v>
      </c>
      <c r="W46" s="7">
        <f>IF(ISNUMBER(Tabella2[[#This Row],[Amplitute SHEAR stress  (MPa)]]), (1+Tabella2[[#This Row],[Load ratio (TORSIONAL)]])*Tabella2[[#This Row],[Amplitute SHEAR stress  (MPa)]]/(1-Tabella2[[#This Row],[Load ratio (TORSIONAL)]]), "Null")</f>
        <v>-205.2614380499385</v>
      </c>
      <c r="X46" s="1">
        <v>410.52287609987701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-69643.565191040034</v>
      </c>
      <c r="AF4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139287.13038208007</v>
      </c>
      <c r="AG46" s="1">
        <f>IF(
   AND(ISNUMBER(Tabella2[[#This Row],[Mean TORQUE (Nmm)]]), ISNUMBER(Tabella2[[#This Row],[Amplitude TORQUE (Nmm)]])),
   Tabella2[[#This Row],[Mean TORQUE (Nmm)]]+Tabella2[[#This Row],[Amplitude TORQUE (Nmm)]],
   "Null"
)</f>
        <v>69643.565191040034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711.04647907429012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65</v>
      </c>
      <c r="B47" s="1">
        <v>2014</v>
      </c>
      <c r="C47" s="1" t="s">
        <v>64</v>
      </c>
      <c r="D47" s="1" t="s">
        <v>86</v>
      </c>
      <c r="E47" s="1">
        <v>995429.13727224199</v>
      </c>
      <c r="F47" s="1" t="s">
        <v>34</v>
      </c>
      <c r="G47" s="1" t="s">
        <v>67</v>
      </c>
      <c r="H47" s="1" t="e" vm="4">
        <v>#VALUE!</v>
      </c>
      <c r="I47" s="1" t="s">
        <v>44</v>
      </c>
      <c r="J47" s="1" t="s">
        <v>34</v>
      </c>
      <c r="K47" s="1">
        <v>12</v>
      </c>
      <c r="L47" s="8">
        <f>PI()*(Tabella2[[#This Row],[Diameter (mm)]]/2)^2</f>
        <v>113.09733552923255</v>
      </c>
      <c r="M47" s="8">
        <f>(PI()*Tabella2[[#This Row],[Diameter (mm)]]^4)/32</f>
        <v>2035.7520395261859</v>
      </c>
      <c r="N47" s="1" t="s">
        <v>35</v>
      </c>
      <c r="O47" s="1" t="s">
        <v>35</v>
      </c>
      <c r="P47" s="1" t="s">
        <v>35</v>
      </c>
      <c r="Q47" s="1" t="s">
        <v>35</v>
      </c>
      <c r="R47" s="1">
        <v>-3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7" s="1" t="s">
        <v>35</v>
      </c>
      <c r="W47" s="7">
        <f>IF(ISNUMBER(Tabella2[[#This Row],[Amplitute SHEAR stress  (MPa)]]), (1+Tabella2[[#This Row],[Load ratio (TORSIONAL)]])*Tabella2[[#This Row],[Amplitute SHEAR stress  (MPa)]]/(1-Tabella2[[#This Row],[Load ratio (TORSIONAL)]]), "Null")</f>
        <v>-193.64838145049151</v>
      </c>
      <c r="X47" s="1">
        <v>387.29676290098303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-65703.347914797152</v>
      </c>
      <c r="AF4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131406.6958295943</v>
      </c>
      <c r="AG47" s="1">
        <f>IF(
   AND(ISNUMBER(Tabella2[[#This Row],[Mean TORQUE (Nmm)]]), ISNUMBER(Tabella2[[#This Row],[Amplitude TORQUE (Nmm)]])),
   Tabella2[[#This Row],[Mean TORQUE (Nmm)]]+Tabella2[[#This Row],[Amplitude TORQUE (Nmm)]],
   "Null"
)</f>
        <v>65703.347914797152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670.81767095145972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65</v>
      </c>
      <c r="B48" s="1">
        <v>2014</v>
      </c>
      <c r="C48" s="1" t="s">
        <v>64</v>
      </c>
      <c r="D48" s="1" t="s">
        <v>87</v>
      </c>
      <c r="E48" s="1">
        <v>12500.8268982468</v>
      </c>
      <c r="F48" s="1" t="s">
        <v>34</v>
      </c>
      <c r="G48" s="1" t="s">
        <v>67</v>
      </c>
      <c r="H48" s="1" t="e" vm="4">
        <v>#VALUE!</v>
      </c>
      <c r="I48" s="1" t="s">
        <v>44</v>
      </c>
      <c r="J48" s="1" t="s">
        <v>34</v>
      </c>
      <c r="K48" s="1">
        <v>12</v>
      </c>
      <c r="L48" s="8">
        <f>PI()*(Tabella2[[#This Row],[Diameter (mm)]]/2)^2</f>
        <v>113.09733552923255</v>
      </c>
      <c r="M48" s="8">
        <f>(PI()*Tabella2[[#This Row],[Diameter (mm)]]^4)/32</f>
        <v>2035.7520395261859</v>
      </c>
      <c r="N48" s="1" t="s">
        <v>35</v>
      </c>
      <c r="O48" s="1" t="s">
        <v>35</v>
      </c>
      <c r="P48" s="1" t="s">
        <v>35</v>
      </c>
      <c r="Q48" s="1" t="s">
        <v>35</v>
      </c>
      <c r="R48" s="1">
        <v>0.25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8" s="1" t="s">
        <v>35</v>
      </c>
      <c r="W48" s="7">
        <f>IF(ISNUMBER(Tabella2[[#This Row],[Amplitute SHEAR stress  (MPa)]]), (1+Tabella2[[#This Row],[Load ratio (TORSIONAL)]])*Tabella2[[#This Row],[Amplitute SHEAR stress  (MPa)]]/(1-Tabella2[[#This Row],[Load ratio (TORSIONAL)]]), "Null")</f>
        <v>553.16164040864339</v>
      </c>
      <c r="X48" s="1">
        <v>331.89698424518599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187683.32294159106</v>
      </c>
      <c r="AF4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112609.99376495462</v>
      </c>
      <c r="AG48" s="1">
        <f>IF(
   AND(ISNUMBER(Tabella2[[#This Row],[Mean TORQUE (Nmm)]]), ISNUMBER(Tabella2[[#This Row],[Amplitude TORQUE (Nmm)]])),
   Tabella2[[#This Row],[Mean TORQUE (Nmm)]]+Tabella2[[#This Row],[Amplitude TORQUE (Nmm)]],
   "Null"
)</f>
        <v>300293.31670654565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574.86243959154933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65</v>
      </c>
      <c r="B49" s="1">
        <v>2014</v>
      </c>
      <c r="C49" s="1" t="s">
        <v>64</v>
      </c>
      <c r="D49" s="1" t="s">
        <v>88</v>
      </c>
      <c r="E49" s="1">
        <v>58294.615572508897</v>
      </c>
      <c r="F49" s="1" t="s">
        <v>34</v>
      </c>
      <c r="G49" s="1" t="s">
        <v>67</v>
      </c>
      <c r="H49" s="1" t="e" vm="4">
        <v>#VALUE!</v>
      </c>
      <c r="I49" s="1" t="s">
        <v>44</v>
      </c>
      <c r="J49" s="1" t="s">
        <v>34</v>
      </c>
      <c r="K49" s="1">
        <v>12</v>
      </c>
      <c r="L49" s="8">
        <f>PI()*(Tabella2[[#This Row],[Diameter (mm)]]/2)^2</f>
        <v>113.09733552923255</v>
      </c>
      <c r="M49" s="8">
        <f>(PI()*Tabella2[[#This Row],[Diameter (mm)]]^4)/32</f>
        <v>2035.7520395261859</v>
      </c>
      <c r="N49" s="1" t="s">
        <v>35</v>
      </c>
      <c r="O49" s="1" t="s">
        <v>35</v>
      </c>
      <c r="P49" s="1" t="s">
        <v>35</v>
      </c>
      <c r="Q49" s="1" t="s">
        <v>35</v>
      </c>
      <c r="R49" s="1">
        <v>0.25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9" s="1" t="s">
        <v>35</v>
      </c>
      <c r="W49" s="7">
        <f>IF(ISNUMBER(Tabella2[[#This Row],[Amplitute SHEAR stress  (MPa)]]), (1+Tabella2[[#This Row],[Load ratio (TORSIONAL)]])*Tabella2[[#This Row],[Amplitute SHEAR stress  (MPa)]]/(1-Tabella2[[#This Row],[Load ratio (TORSIONAL)]]), "Null")</f>
        <v>513.00398257700169</v>
      </c>
      <c r="X49" s="1">
        <v>307.80238954620103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174058.15063603118</v>
      </c>
      <c r="AF4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104434.89038161871</v>
      </c>
      <c r="AG49" s="1">
        <f>IF(
   AND(ISNUMBER(Tabella2[[#This Row],[Mean TORQUE (Nmm)]]), ISNUMBER(Tabella2[[#This Row],[Amplitude TORQUE (Nmm)]])),
   Tabella2[[#This Row],[Mean TORQUE (Nmm)]]+Tabella2[[#This Row],[Amplitude TORQUE (Nmm)]],
   "Null"
)</f>
        <v>278493.04101764987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533.12937738512767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65</v>
      </c>
      <c r="B50" s="1">
        <v>2014</v>
      </c>
      <c r="C50" s="1" t="s">
        <v>64</v>
      </c>
      <c r="D50" s="1" t="s">
        <v>89</v>
      </c>
      <c r="E50" s="1">
        <v>75771.507113144995</v>
      </c>
      <c r="F50" s="1" t="s">
        <v>34</v>
      </c>
      <c r="G50" s="1" t="s">
        <v>67</v>
      </c>
      <c r="H50" s="1" t="e" vm="4">
        <v>#VALUE!</v>
      </c>
      <c r="I50" s="1" t="s">
        <v>44</v>
      </c>
      <c r="J50" s="1" t="s">
        <v>34</v>
      </c>
      <c r="K50" s="1">
        <v>12</v>
      </c>
      <c r="L50" s="8">
        <f>PI()*(Tabella2[[#This Row],[Diameter (mm)]]/2)^2</f>
        <v>113.09733552923255</v>
      </c>
      <c r="M50" s="8">
        <f>(PI()*Tabella2[[#This Row],[Diameter (mm)]]^4)/32</f>
        <v>2035.7520395261859</v>
      </c>
      <c r="N50" s="1" t="s">
        <v>35</v>
      </c>
      <c r="O50" s="1" t="s">
        <v>35</v>
      </c>
      <c r="P50" s="1" t="s">
        <v>35</v>
      </c>
      <c r="Q50" s="1" t="s">
        <v>35</v>
      </c>
      <c r="R50" s="1">
        <v>0.25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0" s="1" t="s">
        <v>35</v>
      </c>
      <c r="W50" s="7">
        <f>IF(ISNUMBER(Tabella2[[#This Row],[Amplitute SHEAR stress  (MPa)]]), (1+Tabella2[[#This Row],[Load ratio (TORSIONAL)]])*Tabella2[[#This Row],[Amplitute SHEAR stress  (MPa)]]/(1-Tabella2[[#This Row],[Load ratio (TORSIONAL)]]), "Null")</f>
        <v>512.83575987654501</v>
      </c>
      <c r="X50" s="1">
        <v>307.70145592592701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174001.07401843963</v>
      </c>
      <c r="AF5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104400.64441106377</v>
      </c>
      <c r="AG50" s="1">
        <f>IF(
   AND(ISNUMBER(Tabella2[[#This Row],[Mean TORQUE (Nmm)]]), ISNUMBER(Tabella2[[#This Row],[Amplitude TORQUE (Nmm)]])),
   Tabella2[[#This Row],[Mean TORQUE (Nmm)]]+Tabella2[[#This Row],[Amplitude TORQUE (Nmm)]],
   "Null"
)</f>
        <v>278401.71842950338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532.95455522662121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65</v>
      </c>
      <c r="B51" s="1">
        <v>2014</v>
      </c>
      <c r="C51" s="1" t="s">
        <v>64</v>
      </c>
      <c r="D51" s="1" t="s">
        <v>90</v>
      </c>
      <c r="E51" s="1">
        <v>223321.25601113099</v>
      </c>
      <c r="F51" s="1" t="s">
        <v>34</v>
      </c>
      <c r="G51" s="1" t="s">
        <v>67</v>
      </c>
      <c r="H51" s="1" t="e" vm="4">
        <v>#VALUE!</v>
      </c>
      <c r="I51" s="1" t="s">
        <v>44</v>
      </c>
      <c r="J51" s="1" t="s">
        <v>34</v>
      </c>
      <c r="K51" s="1">
        <v>12</v>
      </c>
      <c r="L51" s="8">
        <f>PI()*(Tabella2[[#This Row],[Diameter (mm)]]/2)^2</f>
        <v>113.09733552923255</v>
      </c>
      <c r="M51" s="8">
        <f>(PI()*Tabella2[[#This Row],[Diameter (mm)]]^4)/32</f>
        <v>2035.7520395261859</v>
      </c>
      <c r="N51" s="1" t="s">
        <v>35</v>
      </c>
      <c r="O51" s="1" t="s">
        <v>35</v>
      </c>
      <c r="P51" s="1" t="s">
        <v>35</v>
      </c>
      <c r="Q51" s="1" t="s">
        <v>35</v>
      </c>
      <c r="R51" s="1">
        <v>0.25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1" s="1" t="s">
        <v>35</v>
      </c>
      <c r="W51" s="7">
        <f>IF(ISNUMBER(Tabella2[[#This Row],[Amplitute SHEAR stress  (MPa)]]), (1+Tabella2[[#This Row],[Load ratio (TORSIONAL)]])*Tabella2[[#This Row],[Amplitute SHEAR stress  (MPa)]]/(1-Tabella2[[#This Row],[Load ratio (TORSIONAL)]]), "Null")</f>
        <v>477.93891346074173</v>
      </c>
      <c r="X51" s="1">
        <v>286.76334807644503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162160.85297443904</v>
      </c>
      <c r="AF5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97296.511784663424</v>
      </c>
      <c r="AG51" s="1">
        <f>IF(
   AND(ISNUMBER(Tabella2[[#This Row],[Mean TORQUE (Nmm)]]), ISNUMBER(Tabella2[[#This Row],[Amplitude TORQUE (Nmm)]])),
   Tabella2[[#This Row],[Mean TORQUE (Nmm)]]+Tabella2[[#This Row],[Amplitude TORQUE (Nmm)]],
   "Null"
)</f>
        <v>259457.36475910246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496.68868861696166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65</v>
      </c>
      <c r="B52" s="1">
        <v>2014</v>
      </c>
      <c r="C52" s="1" t="s">
        <v>64</v>
      </c>
      <c r="D52" s="1" t="s">
        <v>91</v>
      </c>
      <c r="E52" s="1">
        <v>302427.25765884802</v>
      </c>
      <c r="F52" s="1" t="s">
        <v>34</v>
      </c>
      <c r="G52" s="1" t="s">
        <v>67</v>
      </c>
      <c r="H52" s="1" t="e" vm="4">
        <v>#VALUE!</v>
      </c>
      <c r="I52" s="1" t="s">
        <v>44</v>
      </c>
      <c r="J52" s="1" t="s">
        <v>34</v>
      </c>
      <c r="K52" s="1">
        <v>12</v>
      </c>
      <c r="L52" s="8">
        <f>PI()*(Tabella2[[#This Row],[Diameter (mm)]]/2)^2</f>
        <v>113.09733552923255</v>
      </c>
      <c r="M52" s="8">
        <f>(PI()*Tabella2[[#This Row],[Diameter (mm)]]^4)/32</f>
        <v>2035.7520395261859</v>
      </c>
      <c r="N52" s="1" t="s">
        <v>35</v>
      </c>
      <c r="O52" s="1" t="s">
        <v>35</v>
      </c>
      <c r="P52" s="1" t="s">
        <v>35</v>
      </c>
      <c r="Q52" s="1" t="s">
        <v>35</v>
      </c>
      <c r="R52" s="1">
        <v>0.25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2" s="1" t="s">
        <v>35</v>
      </c>
      <c r="W52" s="7">
        <f>IF(ISNUMBER(Tabella2[[#This Row],[Amplitute SHEAR stress  (MPa)]]), (1+Tabella2[[#This Row],[Load ratio (TORSIONAL)]])*Tabella2[[#This Row],[Amplitute SHEAR stress  (MPa)]]/(1-Tabella2[[#This Row],[Load ratio (TORSIONAL)]]), "Null")</f>
        <v>479.82607834391337</v>
      </c>
      <c r="X52" s="1">
        <v>287.89564700634799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162801.15293441218</v>
      </c>
      <c r="AF5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97680.6917606473</v>
      </c>
      <c r="AG52" s="1">
        <f>IF(
   AND(ISNUMBER(Tabella2[[#This Row],[Mean TORQUE (Nmm)]]), ISNUMBER(Tabella2[[#This Row],[Amplitude TORQUE (Nmm)]])),
   Tabella2[[#This Row],[Mean TORQUE (Nmm)]]+Tabella2[[#This Row],[Amplitude TORQUE (Nmm)]],
   "Null"
)</f>
        <v>260481.84469505947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498.64988789290948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65</v>
      </c>
      <c r="B53" s="1">
        <v>2014</v>
      </c>
      <c r="C53" s="1" t="s">
        <v>64</v>
      </c>
      <c r="D53" s="1" t="s">
        <v>92</v>
      </c>
      <c r="E53" s="1">
        <v>1226968.03853277</v>
      </c>
      <c r="F53" s="1" t="s">
        <v>34</v>
      </c>
      <c r="G53" s="1" t="s">
        <v>67</v>
      </c>
      <c r="H53" s="1" t="e" vm="4">
        <v>#VALUE!</v>
      </c>
      <c r="I53" s="1" t="s">
        <v>44</v>
      </c>
      <c r="J53" s="1" t="s">
        <v>34</v>
      </c>
      <c r="K53" s="1">
        <v>12</v>
      </c>
      <c r="L53" s="8">
        <f>PI()*(Tabella2[[#This Row],[Diameter (mm)]]/2)^2</f>
        <v>113.09733552923255</v>
      </c>
      <c r="M53" s="8">
        <f>(PI()*Tabella2[[#This Row],[Diameter (mm)]]^4)/32</f>
        <v>2035.7520395261859</v>
      </c>
      <c r="N53" s="1" t="s">
        <v>35</v>
      </c>
      <c r="O53" s="1" t="s">
        <v>35</v>
      </c>
      <c r="P53" s="1" t="s">
        <v>35</v>
      </c>
      <c r="Q53" s="1" t="s">
        <v>35</v>
      </c>
      <c r="R53" s="1">
        <v>0.25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3" s="1" t="s">
        <v>35</v>
      </c>
      <c r="W53" s="7">
        <f>IF(ISNUMBER(Tabella2[[#This Row],[Amplitute SHEAR stress  (MPa)]]), (1+Tabella2[[#This Row],[Load ratio (TORSIONAL)]])*Tabella2[[#This Row],[Amplitute SHEAR stress  (MPa)]]/(1-Tabella2[[#This Row],[Load ratio (TORSIONAL)]]), "Null")</f>
        <v>446.99672932098673</v>
      </c>
      <c r="X53" s="1">
        <v>268.19803759259202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151662.41722945552</v>
      </c>
      <c r="AF5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90997.450337673305</v>
      </c>
      <c r="AG53" s="1">
        <f>IF(
   AND(ISNUMBER(Tabella2[[#This Row],[Mean TORQUE (Nmm)]]), ISNUMBER(Tabella2[[#This Row],[Amplitude TORQUE (Nmm)]])),
   Tabella2[[#This Row],[Mean TORQUE (Nmm)]]+Tabella2[[#This Row],[Amplitude TORQUE (Nmm)]],
   "Null"
)</f>
        <v>242659.86756712882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464.53262760063717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65</v>
      </c>
      <c r="B54" s="1">
        <v>2014</v>
      </c>
      <c r="C54" s="1" t="s">
        <v>64</v>
      </c>
      <c r="D54" s="1" t="s">
        <v>93</v>
      </c>
      <c r="E54" s="1">
        <v>11380.226162565599</v>
      </c>
      <c r="F54" s="1" t="s">
        <v>34</v>
      </c>
      <c r="G54" s="1" t="s">
        <v>67</v>
      </c>
      <c r="H54" s="1" t="e" vm="4">
        <v>#VALUE!</v>
      </c>
      <c r="I54" s="1" t="s">
        <v>44</v>
      </c>
      <c r="J54" s="1" t="s">
        <v>34</v>
      </c>
      <c r="K54" s="1">
        <v>12</v>
      </c>
      <c r="L54" s="8">
        <f>PI()*(Tabella2[[#This Row],[Diameter (mm)]]/2)^2</f>
        <v>113.09733552923255</v>
      </c>
      <c r="M54" s="8">
        <f>(PI()*Tabella2[[#This Row],[Diameter (mm)]]^4)/32</f>
        <v>2035.7520395261859</v>
      </c>
      <c r="N54" s="1" t="s">
        <v>35</v>
      </c>
      <c r="O54" s="1" t="s">
        <v>35</v>
      </c>
      <c r="P54" s="1" t="s">
        <v>35</v>
      </c>
      <c r="Q54" s="1" t="s">
        <v>35</v>
      </c>
      <c r="R54" s="1">
        <v>0.5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4" s="1" t="s">
        <v>35</v>
      </c>
      <c r="W54" s="7">
        <f>IF(ISNUMBER(Tabella2[[#This Row],[Amplitute SHEAR stress  (MPa)]]), (1+Tabella2[[#This Row],[Load ratio (TORSIONAL)]])*Tabella2[[#This Row],[Amplitute SHEAR stress  (MPa)]]/(1-Tabella2[[#This Row],[Load ratio (TORSIONAL)]]), "Null")</f>
        <v>698.76223268366698</v>
      </c>
      <c r="X54" s="1">
        <v>232.920744227889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237084.44005494108</v>
      </c>
      <c r="AF5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79028.146684980355</v>
      </c>
      <c r="AG54" s="1">
        <f>IF(
   AND(ISNUMBER(Tabella2[[#This Row],[Mean TORQUE (Nmm)]]), ISNUMBER(Tabella2[[#This Row],[Amplitude TORQUE (Nmm)]])),
   Tabella2[[#This Row],[Mean TORQUE (Nmm)]]+Tabella2[[#This Row],[Amplitude TORQUE (Nmm)]],
   "Null"
)</f>
        <v>316112.58673992142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403.43056313945903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65</v>
      </c>
      <c r="B55" s="1">
        <v>2014</v>
      </c>
      <c r="C55" s="1" t="s">
        <v>64</v>
      </c>
      <c r="D55" s="1" t="s">
        <v>94</v>
      </c>
      <c r="E55" s="1">
        <v>13078.808642472501</v>
      </c>
      <c r="F55" s="1" t="s">
        <v>34</v>
      </c>
      <c r="G55" s="1" t="s">
        <v>67</v>
      </c>
      <c r="H55" s="1" t="e" vm="4">
        <v>#VALUE!</v>
      </c>
      <c r="I55" s="1" t="s">
        <v>44</v>
      </c>
      <c r="J55" s="1" t="s">
        <v>34</v>
      </c>
      <c r="K55" s="1">
        <v>12</v>
      </c>
      <c r="L55" s="8">
        <f>PI()*(Tabella2[[#This Row],[Diameter (mm)]]/2)^2</f>
        <v>113.09733552923255</v>
      </c>
      <c r="M55" s="8">
        <f>(PI()*Tabella2[[#This Row],[Diameter (mm)]]^4)/32</f>
        <v>2035.7520395261859</v>
      </c>
      <c r="N55" s="1" t="s">
        <v>35</v>
      </c>
      <c r="O55" s="1" t="s">
        <v>35</v>
      </c>
      <c r="P55" s="1" t="s">
        <v>35</v>
      </c>
      <c r="Q55" s="1" t="s">
        <v>35</v>
      </c>
      <c r="R55" s="1">
        <v>0.5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5" s="1" t="s">
        <v>35</v>
      </c>
      <c r="W55" s="7">
        <f>IF(ISNUMBER(Tabella2[[#This Row],[Amplitute SHEAR stress  (MPa)]]), (1+Tabella2[[#This Row],[Load ratio (TORSIONAL)]])*Tabella2[[#This Row],[Amplitute SHEAR stress  (MPa)]]/(1-Tabella2[[#This Row],[Load ratio (TORSIONAL)]]), "Null")</f>
        <v>686.67172447316398</v>
      </c>
      <c r="X55" s="1">
        <v>228.89057482438801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232982.22726353444</v>
      </c>
      <c r="AF5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77660.742421178162</v>
      </c>
      <c r="AG55" s="1">
        <f>IF(
   AND(ISNUMBER(Tabella2[[#This Row],[Mean TORQUE (Nmm)]]), ISNUMBER(Tabella2[[#This Row],[Amplitude TORQUE (Nmm)]])),
   Tabella2[[#This Row],[Mean TORQUE (Nmm)]]+Tabella2[[#This Row],[Amplitude TORQUE (Nmm)]],
   "Null"
)</f>
        <v>310642.96968471259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396.45010496948578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65</v>
      </c>
      <c r="B56" s="1">
        <v>2014</v>
      </c>
      <c r="C56" s="1" t="s">
        <v>64</v>
      </c>
      <c r="D56" s="1" t="s">
        <v>95</v>
      </c>
      <c r="E56" s="1">
        <v>48503.751439244297</v>
      </c>
      <c r="F56" s="1" t="s">
        <v>34</v>
      </c>
      <c r="G56" s="1" t="s">
        <v>67</v>
      </c>
      <c r="H56" s="1" t="e" vm="4">
        <v>#VALUE!</v>
      </c>
      <c r="I56" s="1" t="s">
        <v>44</v>
      </c>
      <c r="J56" s="1" t="s">
        <v>34</v>
      </c>
      <c r="K56" s="1">
        <v>12</v>
      </c>
      <c r="L56" s="8">
        <f>PI()*(Tabella2[[#This Row],[Diameter (mm)]]/2)^2</f>
        <v>113.09733552923255</v>
      </c>
      <c r="M56" s="8">
        <f>(PI()*Tabella2[[#This Row],[Diameter (mm)]]^4)/32</f>
        <v>2035.7520395261859</v>
      </c>
      <c r="N56" s="1" t="s">
        <v>35</v>
      </c>
      <c r="O56" s="1" t="s">
        <v>35</v>
      </c>
      <c r="P56" s="1" t="s">
        <v>35</v>
      </c>
      <c r="Q56" s="1" t="s">
        <v>35</v>
      </c>
      <c r="R56" s="1">
        <v>0.5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6" s="1" t="s">
        <v>35</v>
      </c>
      <c r="W56" s="7">
        <f>IF(ISNUMBER(Tabella2[[#This Row],[Amplitute SHEAR stress  (MPa)]]), (1+Tabella2[[#This Row],[Load ratio (TORSIONAL)]])*Tabella2[[#This Row],[Amplitute SHEAR stress  (MPa)]]/(1-Tabella2[[#This Row],[Load ratio (TORSIONAL)]]), "Null")</f>
        <v>659.40412128881701</v>
      </c>
      <c r="X56" s="1">
        <v>219.80137376293899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223730.54746428027</v>
      </c>
      <c r="AF5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74576.849154760086</v>
      </c>
      <c r="AG56" s="1">
        <f>IF(
   AND(ISNUMBER(Tabella2[[#This Row],[Mean TORQUE (Nmm)]]), ISNUMBER(Tabella2[[#This Row],[Amplitude TORQUE (Nmm)]])),
   Tabella2[[#This Row],[Mean TORQUE (Nmm)]]+Tabella2[[#This Row],[Amplitude TORQUE (Nmm)]],
   "Null"
)</f>
        <v>298307.39661904034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380.70714693084716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65</v>
      </c>
      <c r="B57" s="1">
        <v>2014</v>
      </c>
      <c r="C57" s="1" t="s">
        <v>64</v>
      </c>
      <c r="D57" s="1" t="s">
        <v>96</v>
      </c>
      <c r="E57" s="1">
        <v>123379.649445894</v>
      </c>
      <c r="F57" s="1" t="s">
        <v>34</v>
      </c>
      <c r="G57" s="1" t="s">
        <v>67</v>
      </c>
      <c r="H57" s="1" t="e" vm="4">
        <v>#VALUE!</v>
      </c>
      <c r="I57" s="1" t="s">
        <v>44</v>
      </c>
      <c r="J57" s="1" t="s">
        <v>34</v>
      </c>
      <c r="K57" s="1">
        <v>12</v>
      </c>
      <c r="L57" s="8">
        <f>PI()*(Tabella2[[#This Row],[Diameter (mm)]]/2)^2</f>
        <v>113.09733552923255</v>
      </c>
      <c r="M57" s="8">
        <f>(PI()*Tabella2[[#This Row],[Diameter (mm)]]^4)/32</f>
        <v>2035.7520395261859</v>
      </c>
      <c r="N57" s="1" t="s">
        <v>35</v>
      </c>
      <c r="O57" s="1" t="s">
        <v>35</v>
      </c>
      <c r="P57" s="1" t="s">
        <v>35</v>
      </c>
      <c r="Q57" s="1" t="s">
        <v>35</v>
      </c>
      <c r="R57" s="1">
        <v>0.5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7" s="1" t="s">
        <v>35</v>
      </c>
      <c r="W57" s="7">
        <f>IF(ISNUMBER(Tabella2[[#This Row],[Amplitute SHEAR stress  (MPa)]]), (1+Tabella2[[#This Row],[Load ratio (TORSIONAL)]])*Tabella2[[#This Row],[Amplitute SHEAR stress  (MPa)]]/(1-Tabella2[[#This Row],[Load ratio (TORSIONAL)]]), "Null")</f>
        <v>628.06791257332497</v>
      </c>
      <c r="X57" s="1">
        <v>209.35597085777499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213098.42233035006</v>
      </c>
      <c r="AF5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71032.80744345003</v>
      </c>
      <c r="AG57" s="1">
        <f>IF(
   AND(ISNUMBER(Tabella2[[#This Row],[Mean TORQUE (Nmm)]]), ISNUMBER(Tabella2[[#This Row],[Amplitude TORQUE (Nmm)]])),
   Tabella2[[#This Row],[Mean TORQUE (Nmm)]]+Tabella2[[#This Row],[Amplitude TORQUE (Nmm)]],
   "Null"
)</f>
        <v>284131.22977380012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362.61517839357555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65</v>
      </c>
      <c r="B58" s="1">
        <v>2014</v>
      </c>
      <c r="C58" s="1" t="s">
        <v>64</v>
      </c>
      <c r="D58" s="1" t="s">
        <v>97</v>
      </c>
      <c r="E58" s="1">
        <v>200080.673694881</v>
      </c>
      <c r="F58" s="1" t="s">
        <v>34</v>
      </c>
      <c r="G58" s="1" t="s">
        <v>67</v>
      </c>
      <c r="H58" s="1" t="e" vm="4">
        <v>#VALUE!</v>
      </c>
      <c r="I58" s="1" t="s">
        <v>44</v>
      </c>
      <c r="J58" s="1" t="s">
        <v>34</v>
      </c>
      <c r="K58" s="1">
        <v>12</v>
      </c>
      <c r="L58" s="8">
        <f>PI()*(Tabella2[[#This Row],[Diameter (mm)]]/2)^2</f>
        <v>113.09733552923255</v>
      </c>
      <c r="M58" s="8">
        <f>(PI()*Tabella2[[#This Row],[Diameter (mm)]]^4)/32</f>
        <v>2035.7520395261859</v>
      </c>
      <c r="N58" s="1" t="s">
        <v>35</v>
      </c>
      <c r="O58" s="1" t="s">
        <v>35</v>
      </c>
      <c r="P58" s="1" t="s">
        <v>35</v>
      </c>
      <c r="Q58" s="1" t="s">
        <v>35</v>
      </c>
      <c r="R58" s="1">
        <v>0.5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8" s="1" t="s">
        <v>35</v>
      </c>
      <c r="W58" s="7">
        <f>IF(ISNUMBER(Tabella2[[#This Row],[Amplitute SHEAR stress  (MPa)]]), (1+Tabella2[[#This Row],[Load ratio (TORSIONAL)]])*Tabella2[[#This Row],[Amplitute SHEAR stress  (MPa)]]/(1-Tabella2[[#This Row],[Load ratio (TORSIONAL)]]), "Null")</f>
        <v>627.68823720946193</v>
      </c>
      <c r="X58" s="1">
        <v>209.22941240315399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212969.60151429308</v>
      </c>
      <c r="AF5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70989.867171431033</v>
      </c>
      <c r="AG58" s="1">
        <f>IF(
   AND(ISNUMBER(Tabella2[[#This Row],[Mean TORQUE (Nmm)]]), ISNUMBER(Tabella2[[#This Row],[Amplitude TORQUE (Nmm)]])),
   Tabella2[[#This Row],[Mean TORQUE (Nmm)]]+Tabella2[[#This Row],[Amplitude TORQUE (Nmm)]],
   "Null"
)</f>
        <v>283959.46868572413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362.39597272004454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65</v>
      </c>
      <c r="B59" s="1">
        <v>2014</v>
      </c>
      <c r="C59" s="1" t="s">
        <v>64</v>
      </c>
      <c r="D59" s="1" t="s">
        <v>98</v>
      </c>
      <c r="E59" s="1">
        <v>249476.06004055601</v>
      </c>
      <c r="F59" s="1" t="s">
        <v>34</v>
      </c>
      <c r="G59" s="1" t="s">
        <v>67</v>
      </c>
      <c r="H59" s="1" t="e" vm="4">
        <v>#VALUE!</v>
      </c>
      <c r="I59" s="1" t="s">
        <v>44</v>
      </c>
      <c r="J59" s="1" t="s">
        <v>34</v>
      </c>
      <c r="K59" s="1">
        <v>12</v>
      </c>
      <c r="L59" s="8">
        <f>PI()*(Tabella2[[#This Row],[Diameter (mm)]]/2)^2</f>
        <v>113.09733552923255</v>
      </c>
      <c r="M59" s="8">
        <f>(PI()*Tabella2[[#This Row],[Diameter (mm)]]^4)/32</f>
        <v>2035.7520395261859</v>
      </c>
      <c r="N59" s="1" t="s">
        <v>35</v>
      </c>
      <c r="O59" s="1" t="s">
        <v>35</v>
      </c>
      <c r="P59" s="1" t="s">
        <v>35</v>
      </c>
      <c r="Q59" s="1" t="s">
        <v>35</v>
      </c>
      <c r="R59" s="1">
        <v>0.5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9" s="1" t="s">
        <v>35</v>
      </c>
      <c r="W59" s="7">
        <f>IF(ISNUMBER(Tabella2[[#This Row],[Amplitute SHEAR stress  (MPa)]]), (1+Tabella2[[#This Row],[Load ratio (TORSIONAL)]])*Tabella2[[#This Row],[Amplitute SHEAR stress  (MPa)]]/(1-Tabella2[[#This Row],[Load ratio (TORSIONAL)]]), "Null")</f>
        <v>593.24473370252099</v>
      </c>
      <c r="X59" s="1">
        <v>197.74824456750699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201283.19609551269</v>
      </c>
      <c r="AF5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67094.398698504228</v>
      </c>
      <c r="AG59" s="1">
        <f>IF(
   AND(ISNUMBER(Tabella2[[#This Row],[Mean TORQUE (Nmm)]]), ISNUMBER(Tabella2[[#This Row],[Amplitude TORQUE (Nmm)]])),
   Tabella2[[#This Row],[Mean TORQUE (Nmm)]]+Tabella2[[#This Row],[Amplitude TORQUE (Nmm)]],
   "Null"
)</f>
        <v>268377.59479401691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342.51000669847832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65</v>
      </c>
      <c r="B60" s="1">
        <v>2014</v>
      </c>
      <c r="C60" s="1" t="s">
        <v>64</v>
      </c>
      <c r="D60" s="1" t="s">
        <v>99</v>
      </c>
      <c r="E60" s="1">
        <v>381820.68799460598</v>
      </c>
      <c r="F60" s="1" t="s">
        <v>34</v>
      </c>
      <c r="G60" s="1" t="s">
        <v>67</v>
      </c>
      <c r="H60" s="1" t="e" vm="4">
        <v>#VALUE!</v>
      </c>
      <c r="I60" s="1" t="s">
        <v>44</v>
      </c>
      <c r="J60" s="1" t="s">
        <v>34</v>
      </c>
      <c r="K60" s="1">
        <v>12</v>
      </c>
      <c r="L60" s="8">
        <f>PI()*(Tabella2[[#This Row],[Diameter (mm)]]/2)^2</f>
        <v>113.09733552923255</v>
      </c>
      <c r="M60" s="8">
        <f>(PI()*Tabella2[[#This Row],[Diameter (mm)]]^4)/32</f>
        <v>2035.7520395261859</v>
      </c>
      <c r="N60" s="1" t="s">
        <v>35</v>
      </c>
      <c r="O60" s="1" t="s">
        <v>35</v>
      </c>
      <c r="P60" s="1" t="s">
        <v>35</v>
      </c>
      <c r="Q60" s="1" t="s">
        <v>35</v>
      </c>
      <c r="R60" s="1">
        <v>0.5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0" s="1" t="s">
        <v>35</v>
      </c>
      <c r="W60" s="7">
        <f>IF(ISNUMBER(Tabella2[[#This Row],[Amplitute SHEAR stress  (MPa)]]), (1+Tabella2[[#This Row],[Load ratio (TORSIONAL)]])*Tabella2[[#This Row],[Amplitute SHEAR stress  (MPa)]]/(1-Tabella2[[#This Row],[Load ratio (TORSIONAL)]]), "Null")</f>
        <v>565.41172496391596</v>
      </c>
      <c r="X60" s="1">
        <v>188.47057498797199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191839.67871121844</v>
      </c>
      <c r="AF6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63946.559570406156</v>
      </c>
      <c r="AG60" s="1">
        <f>IF(
   AND(ISNUMBER(Tabella2[[#This Row],[Mean TORQUE (Nmm)]]), ISNUMBER(Tabella2[[#This Row],[Amplitude TORQUE (Nmm)]])),
   Tabella2[[#This Row],[Mean TORQUE (Nmm)]]+Tabella2[[#This Row],[Amplitude TORQUE (Nmm)]],
   "Null"
)</f>
        <v>255786.2382816246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326.44061161088752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65</v>
      </c>
      <c r="B61" s="1">
        <v>2014</v>
      </c>
      <c r="C61" s="1" t="s">
        <v>64</v>
      </c>
      <c r="D61" s="1" t="s">
        <v>100</v>
      </c>
      <c r="E61" s="1">
        <v>492241.547490831</v>
      </c>
      <c r="F61" s="1" t="s">
        <v>34</v>
      </c>
      <c r="G61" s="1" t="s">
        <v>67</v>
      </c>
      <c r="H61" s="1" t="e" vm="4">
        <v>#VALUE!</v>
      </c>
      <c r="I61" s="1" t="s">
        <v>44</v>
      </c>
      <c r="J61" s="1" t="s">
        <v>34</v>
      </c>
      <c r="K61" s="1">
        <v>12</v>
      </c>
      <c r="L61" s="8">
        <f>PI()*(Tabella2[[#This Row],[Diameter (mm)]]/2)^2</f>
        <v>113.09733552923255</v>
      </c>
      <c r="M61" s="8">
        <f>(PI()*Tabella2[[#This Row],[Diameter (mm)]]^4)/32</f>
        <v>2035.7520395261859</v>
      </c>
      <c r="N61" s="1" t="s">
        <v>35</v>
      </c>
      <c r="O61" s="1" t="s">
        <v>35</v>
      </c>
      <c r="P61" s="1" t="s">
        <v>35</v>
      </c>
      <c r="Q61" s="1" t="s">
        <v>35</v>
      </c>
      <c r="R61" s="1">
        <v>0.5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1" s="1" t="s">
        <v>35</v>
      </c>
      <c r="W61" s="7">
        <f>IF(ISNUMBER(Tabella2[[#This Row],[Amplitute SHEAR stress  (MPa)]]), (1+Tabella2[[#This Row],[Load ratio (TORSIONAL)]])*Tabella2[[#This Row],[Amplitute SHEAR stress  (MPa)]]/(1-Tabella2[[#This Row],[Load ratio (TORSIONAL)]]), "Null")</f>
        <v>565.23210995884801</v>
      </c>
      <c r="X61" s="1">
        <v>188.410703319616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191778.73677573571</v>
      </c>
      <c r="AF6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63926.245591911895</v>
      </c>
      <c r="AG61" s="1">
        <f>IF(
   AND(ISNUMBER(Tabella2[[#This Row],[Mean TORQUE (Nmm)]]), ISNUMBER(Tabella2[[#This Row],[Amplitude TORQUE (Nmm)]])),
   Tabella2[[#This Row],[Mean TORQUE (Nmm)]]+Tabella2[[#This Row],[Amplitude TORQUE (Nmm)]],
   "Null"
)</f>
        <v>255704.98236764761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326.33691083936105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65</v>
      </c>
      <c r="B62" s="1">
        <v>2014</v>
      </c>
      <c r="C62" s="1" t="s">
        <v>64</v>
      </c>
      <c r="D62" s="1" t="s">
        <v>101</v>
      </c>
      <c r="E62" s="8">
        <v>11669.047497183201</v>
      </c>
      <c r="F62" s="1" t="s">
        <v>34</v>
      </c>
      <c r="G62" s="1" t="s">
        <v>67</v>
      </c>
      <c r="H62" s="1" t="e" vm="4">
        <v>#VALUE!</v>
      </c>
      <c r="I62" s="1" t="s">
        <v>44</v>
      </c>
      <c r="J62" s="1" t="s">
        <v>34</v>
      </c>
      <c r="K62" s="1">
        <v>12</v>
      </c>
      <c r="L62" s="8">
        <f>PI()*(Tabella2[[#This Row],[Diameter (mm)]]/2)^2</f>
        <v>113.09733552923255</v>
      </c>
      <c r="M62" s="8">
        <f>(PI()*Tabella2[[#This Row],[Diameter (mm)]]^4)/32</f>
        <v>2035.7520395261859</v>
      </c>
      <c r="N62" s="1" t="s">
        <v>35</v>
      </c>
      <c r="O62" s="1" t="s">
        <v>35</v>
      </c>
      <c r="P62" s="1" t="s">
        <v>35</v>
      </c>
      <c r="Q62" s="1" t="s">
        <v>35</v>
      </c>
      <c r="R62" s="1">
        <v>-1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2" s="1" t="s">
        <v>35</v>
      </c>
      <c r="W6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2" s="1">
        <v>498.96134972246398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169293.59755704075</v>
      </c>
      <c r="AG62" s="1">
        <f>IF(
   AND(ISNUMBER(Tabella2[[#This Row],[Mean TORQUE (Nmm)]]), ISNUMBER(Tabella2[[#This Row],[Amplitude TORQUE (Nmm)]])),
   Tabella2[[#This Row],[Mean TORQUE (Nmm)]]+Tabella2[[#This Row],[Amplitude TORQUE (Nmm)]],
   "Null"
)</f>
        <v>169293.59755704075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864.22640873245075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65</v>
      </c>
      <c r="B63" s="1">
        <v>2014</v>
      </c>
      <c r="C63" s="1" t="s">
        <v>64</v>
      </c>
      <c r="D63" s="1" t="s">
        <v>102</v>
      </c>
      <c r="E63" s="8">
        <v>13467.3319698207</v>
      </c>
      <c r="F63" s="1" t="s">
        <v>34</v>
      </c>
      <c r="G63" s="1" t="s">
        <v>67</v>
      </c>
      <c r="H63" s="1" t="e" vm="4">
        <v>#VALUE!</v>
      </c>
      <c r="I63" s="1" t="s">
        <v>44</v>
      </c>
      <c r="J63" s="1" t="s">
        <v>34</v>
      </c>
      <c r="K63" s="1">
        <v>12</v>
      </c>
      <c r="L63" s="8">
        <f>PI()*(Tabella2[[#This Row],[Diameter (mm)]]/2)^2</f>
        <v>113.09733552923255</v>
      </c>
      <c r="M63" s="8">
        <f>(PI()*Tabella2[[#This Row],[Diameter (mm)]]^4)/32</f>
        <v>2035.7520395261859</v>
      </c>
      <c r="N63" s="1" t="s">
        <v>35</v>
      </c>
      <c r="O63" s="1" t="s">
        <v>35</v>
      </c>
      <c r="P63" s="1" t="s">
        <v>35</v>
      </c>
      <c r="Q63" s="1" t="s">
        <v>35</v>
      </c>
      <c r="R63" s="1">
        <v>-1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3" s="1" t="s">
        <v>35</v>
      </c>
      <c r="W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3" s="1">
        <v>467.07501250213198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158474.81821882233</v>
      </c>
      <c r="AG63" s="1">
        <f>IF(
   AND(ISNUMBER(Tabella2[[#This Row],[Mean TORQUE (Nmm)]]), ISNUMBER(Tabella2[[#This Row],[Amplitude TORQUE (Nmm)]])),
   Tabella2[[#This Row],[Mean TORQUE (Nmm)]]+Tabella2[[#This Row],[Amplitude TORQUE (Nmm)]],
   "Null"
)</f>
        <v>158474.81821882233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808.99765259956121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65</v>
      </c>
      <c r="B64" s="1">
        <v>2014</v>
      </c>
      <c r="C64" s="1" t="s">
        <v>64</v>
      </c>
      <c r="D64" s="1" t="s">
        <v>103</v>
      </c>
      <c r="E64" s="8">
        <v>78734.883960782594</v>
      </c>
      <c r="F64" s="1" t="s">
        <v>34</v>
      </c>
      <c r="G64" s="1" t="s">
        <v>67</v>
      </c>
      <c r="H64" s="1" t="e" vm="4">
        <v>#VALUE!</v>
      </c>
      <c r="I64" s="1" t="s">
        <v>44</v>
      </c>
      <c r="J64" s="1" t="s">
        <v>34</v>
      </c>
      <c r="K64" s="1">
        <v>12</v>
      </c>
      <c r="L64" s="8">
        <f>PI()*(Tabella2[[#This Row],[Diameter (mm)]]/2)^2</f>
        <v>113.09733552923255</v>
      </c>
      <c r="M64" s="8">
        <f>(PI()*Tabella2[[#This Row],[Diameter (mm)]]^4)/32</f>
        <v>2035.7520395261859</v>
      </c>
      <c r="N64" s="1" t="s">
        <v>35</v>
      </c>
      <c r="O64" s="1" t="s">
        <v>35</v>
      </c>
      <c r="P64" s="1" t="s">
        <v>35</v>
      </c>
      <c r="Q64" s="1" t="s">
        <v>35</v>
      </c>
      <c r="R64" s="1">
        <v>-1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4" s="1" t="s">
        <v>35</v>
      </c>
      <c r="W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4" s="1">
        <v>459.828726976989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156016.21146268919</v>
      </c>
      <c r="AG64" s="1">
        <f>IF(
   AND(ISNUMBER(Tabella2[[#This Row],[Mean TORQUE (Nmm)]]), ISNUMBER(Tabella2[[#This Row],[Amplitude TORQUE (Nmm)]])),
   Tabella2[[#This Row],[Mean TORQUE (Nmm)]]+Tabella2[[#This Row],[Amplitude TORQUE (Nmm)]],
   "Null"
)</f>
        <v>156016.21146268919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796.44671790386258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65</v>
      </c>
      <c r="B65" s="1">
        <v>2014</v>
      </c>
      <c r="C65" s="1" t="s">
        <v>64</v>
      </c>
      <c r="D65" s="1" t="s">
        <v>104</v>
      </c>
      <c r="E65" s="8">
        <v>89941.922208904798</v>
      </c>
      <c r="F65" s="1" t="s">
        <v>34</v>
      </c>
      <c r="G65" s="1" t="s">
        <v>67</v>
      </c>
      <c r="H65" s="1" t="e" vm="4">
        <v>#VALUE!</v>
      </c>
      <c r="I65" s="1" t="s">
        <v>44</v>
      </c>
      <c r="J65" s="1" t="s">
        <v>34</v>
      </c>
      <c r="K65" s="1">
        <v>12</v>
      </c>
      <c r="L65" s="8">
        <f>PI()*(Tabella2[[#This Row],[Diameter (mm)]]/2)^2</f>
        <v>113.09733552923255</v>
      </c>
      <c r="M65" s="8">
        <f>(PI()*Tabella2[[#This Row],[Diameter (mm)]]^4)/32</f>
        <v>2035.7520395261859</v>
      </c>
      <c r="N65" s="1" t="s">
        <v>35</v>
      </c>
      <c r="O65" s="1" t="s">
        <v>35</v>
      </c>
      <c r="P65" s="1" t="s">
        <v>35</v>
      </c>
      <c r="Q65" s="1" t="s">
        <v>35</v>
      </c>
      <c r="R65" s="1">
        <v>-1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5" s="1" t="s">
        <v>35</v>
      </c>
      <c r="W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5" s="1">
        <v>459.890445989689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156037.15223035277</v>
      </c>
      <c r="AG65" s="1">
        <f>IF(
   AND(ISNUMBER(Tabella2[[#This Row],[Mean TORQUE (Nmm)]]), ISNUMBER(Tabella2[[#This Row],[Amplitude TORQUE (Nmm)]])),
   Tabella2[[#This Row],[Mean TORQUE (Nmm)]]+Tabella2[[#This Row],[Amplitude TORQUE (Nmm)]],
   "Null"
)</f>
        <v>156037.15223035277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796.55361836965199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65</v>
      </c>
      <c r="B66" s="1">
        <v>2014</v>
      </c>
      <c r="C66" s="1" t="s">
        <v>64</v>
      </c>
      <c r="D66" s="1" t="s">
        <v>105</v>
      </c>
      <c r="E66" s="8">
        <v>145753.37057922801</v>
      </c>
      <c r="F66" s="1" t="s">
        <v>34</v>
      </c>
      <c r="G66" s="1" t="s">
        <v>67</v>
      </c>
      <c r="H66" s="1" t="e" vm="4">
        <v>#VALUE!</v>
      </c>
      <c r="I66" s="1" t="s">
        <v>44</v>
      </c>
      <c r="J66" s="1" t="s">
        <v>34</v>
      </c>
      <c r="K66" s="1">
        <v>12</v>
      </c>
      <c r="L66" s="8">
        <f>PI()*(Tabella2[[#This Row],[Diameter (mm)]]/2)^2</f>
        <v>113.09733552923255</v>
      </c>
      <c r="M66" s="8">
        <f>(PI()*Tabella2[[#This Row],[Diameter (mm)]]^4)/32</f>
        <v>2035.7520395261859</v>
      </c>
      <c r="N66" s="1" t="s">
        <v>35</v>
      </c>
      <c r="O66" s="1" t="s">
        <v>35</v>
      </c>
      <c r="P66" s="1" t="s">
        <v>35</v>
      </c>
      <c r="Q66" s="1" t="s">
        <v>35</v>
      </c>
      <c r="R66" s="1">
        <v>-1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6" s="1" t="s">
        <v>35</v>
      </c>
      <c r="W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6" s="1">
        <v>441.27805200599602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149722.11572822477</v>
      </c>
      <c r="AG66" s="1">
        <f>IF(
   AND(ISNUMBER(Tabella2[[#This Row],[Mean TORQUE (Nmm)]]), ISNUMBER(Tabella2[[#This Row],[Amplitude TORQUE (Nmm)]])),
   Tabella2[[#This Row],[Mean TORQUE (Nmm)]]+Tabella2[[#This Row],[Amplitude TORQUE (Nmm)]],
   "Null"
)</f>
        <v>149722.11572822477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764.31600633940639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65</v>
      </c>
      <c r="B67" s="1">
        <v>2014</v>
      </c>
      <c r="C67" s="1" t="s">
        <v>64</v>
      </c>
      <c r="D67" s="1" t="s">
        <v>106</v>
      </c>
      <c r="E67" s="8">
        <v>447780.94446418202</v>
      </c>
      <c r="F67" s="1" t="s">
        <v>34</v>
      </c>
      <c r="G67" s="1" t="s">
        <v>67</v>
      </c>
      <c r="H67" s="1" t="e" vm="4">
        <v>#VALUE!</v>
      </c>
      <c r="I67" s="1" t="s">
        <v>44</v>
      </c>
      <c r="J67" s="1" t="s">
        <v>34</v>
      </c>
      <c r="K67" s="1">
        <v>12</v>
      </c>
      <c r="L67" s="8">
        <f>PI()*(Tabella2[[#This Row],[Diameter (mm)]]/2)^2</f>
        <v>113.09733552923255</v>
      </c>
      <c r="M67" s="8">
        <f>(PI()*Tabella2[[#This Row],[Diameter (mm)]]^4)/32</f>
        <v>2035.7520395261859</v>
      </c>
      <c r="N67" s="1" t="s">
        <v>35</v>
      </c>
      <c r="O67" s="1" t="s">
        <v>35</v>
      </c>
      <c r="P67" s="1" t="s">
        <v>35</v>
      </c>
      <c r="Q67" s="1" t="s">
        <v>35</v>
      </c>
      <c r="R67" s="1">
        <v>-1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7" s="1" t="s">
        <v>35</v>
      </c>
      <c r="W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7" s="1">
        <v>400.72436946002102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135962.57540268044</v>
      </c>
      <c r="AG67" s="1">
        <f>IF(
   AND(ISNUMBER(Tabella2[[#This Row],[Mean TORQUE (Nmm)]]), ISNUMBER(Tabella2[[#This Row],[Amplitude TORQUE (Nmm)]])),
   Tabella2[[#This Row],[Mean TORQUE (Nmm)]]+Tabella2[[#This Row],[Amplitude TORQUE (Nmm)]],
   "Null"
)</f>
        <v>135962.57540268044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694.07496773575849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65</v>
      </c>
      <c r="B68" s="1">
        <v>2014</v>
      </c>
      <c r="C68" s="1" t="s">
        <v>64</v>
      </c>
      <c r="D68" s="1" t="s">
        <v>107</v>
      </c>
      <c r="E68" s="8">
        <v>537611.49770624202</v>
      </c>
      <c r="F68" s="1" t="s">
        <v>34</v>
      </c>
      <c r="G68" s="1" t="s">
        <v>67</v>
      </c>
      <c r="H68" s="1" t="e" vm="4">
        <v>#VALUE!</v>
      </c>
      <c r="I68" s="1" t="s">
        <v>44</v>
      </c>
      <c r="J68" s="1" t="s">
        <v>34</v>
      </c>
      <c r="K68" s="1">
        <v>12</v>
      </c>
      <c r="L68" s="8">
        <f>PI()*(Tabella2[[#This Row],[Diameter (mm)]]/2)^2</f>
        <v>113.09733552923255</v>
      </c>
      <c r="M68" s="8">
        <f>(PI()*Tabella2[[#This Row],[Diameter (mm)]]^4)/32</f>
        <v>2035.7520395261859</v>
      </c>
      <c r="N68" s="1" t="s">
        <v>35</v>
      </c>
      <c r="O68" s="1" t="s">
        <v>35</v>
      </c>
      <c r="P68" s="1" t="s">
        <v>35</v>
      </c>
      <c r="Q68" s="1" t="s">
        <v>35</v>
      </c>
      <c r="R68" s="1">
        <v>-1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8" s="1" t="s">
        <v>35</v>
      </c>
      <c r="W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8" s="1">
        <v>420.82828559987598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142783.67345004264</v>
      </c>
      <c r="AG68" s="1">
        <f>IF(
   AND(ISNUMBER(Tabella2[[#This Row],[Mean TORQUE (Nmm)]]), ISNUMBER(Tabella2[[#This Row],[Amplitude TORQUE (Nmm)]])),
   Tabella2[[#This Row],[Mean TORQUE (Nmm)]]+Tabella2[[#This Row],[Amplitude TORQUE (Nmm)]],
   "Null"
)</f>
        <v>142783.67345004264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728.89597192109136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ht="13.5" customHeight="1" x14ac:dyDescent="0.25">
      <c r="A69" s="1" t="s">
        <v>65</v>
      </c>
      <c r="B69" s="1">
        <v>2014</v>
      </c>
      <c r="C69" s="1" t="s">
        <v>64</v>
      </c>
      <c r="D69" s="1" t="s">
        <v>108</v>
      </c>
      <c r="E69" s="8">
        <v>471769.681367882</v>
      </c>
      <c r="F69" s="1" t="s">
        <v>34</v>
      </c>
      <c r="G69" s="1" t="s">
        <v>67</v>
      </c>
      <c r="H69" s="1" t="e" vm="4">
        <v>#VALUE!</v>
      </c>
      <c r="I69" s="1" t="s">
        <v>44</v>
      </c>
      <c r="J69" s="1" t="s">
        <v>34</v>
      </c>
      <c r="K69" s="1">
        <v>12</v>
      </c>
      <c r="L69" s="8">
        <f>PI()*(Tabella2[[#This Row],[Diameter (mm)]]/2)^2</f>
        <v>113.09733552923255</v>
      </c>
      <c r="M69" s="8">
        <f>(PI()*Tabella2[[#This Row],[Diameter (mm)]]^4)/32</f>
        <v>2035.7520395261859</v>
      </c>
      <c r="N69" s="1" t="s">
        <v>35</v>
      </c>
      <c r="O69" s="1" t="s">
        <v>35</v>
      </c>
      <c r="P69" s="1" t="s">
        <v>35</v>
      </c>
      <c r="Q69" s="1" t="s">
        <v>35</v>
      </c>
      <c r="R69" s="1">
        <v>-1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9" s="1" t="s">
        <v>35</v>
      </c>
      <c r="W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9" s="1">
        <v>459.05793783033403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155754.6888664646</v>
      </c>
      <c r="AG69" s="1">
        <f>IF(
   AND(ISNUMBER(Tabella2[[#This Row],[Mean TORQUE (Nmm)]]), ISNUMBER(Tabella2[[#This Row],[Amplitude TORQUE (Nmm)]])),
   Tabella2[[#This Row],[Mean TORQUE (Nmm)]]+Tabella2[[#This Row],[Amplitude TORQUE (Nmm)]],
   "Null"
)</f>
        <v>155754.6888664646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795.11167193993356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65</v>
      </c>
      <c r="B70" s="1">
        <v>2014</v>
      </c>
      <c r="C70" s="1" t="s">
        <v>64</v>
      </c>
      <c r="D70" s="1" t="s">
        <v>109</v>
      </c>
      <c r="E70" s="8">
        <v>10798.308093961599</v>
      </c>
      <c r="F70" s="1" t="s">
        <v>34</v>
      </c>
      <c r="G70" s="1" t="s">
        <v>67</v>
      </c>
      <c r="H70" s="1" t="e" vm="4">
        <v>#VALUE!</v>
      </c>
      <c r="I70" s="1" t="s">
        <v>44</v>
      </c>
      <c r="J70" s="1" t="s">
        <v>34</v>
      </c>
      <c r="K70" s="1">
        <v>12</v>
      </c>
      <c r="L70" s="8">
        <f>PI()*(Tabella2[[#This Row],[Diameter (mm)]]/2)^2</f>
        <v>113.09733552923255</v>
      </c>
      <c r="M70" s="8">
        <f>(PI()*Tabella2[[#This Row],[Diameter (mm)]]^4)/32</f>
        <v>2035.7520395261859</v>
      </c>
      <c r="N70" s="1" t="s">
        <v>35</v>
      </c>
      <c r="O70" s="1" t="s">
        <v>35</v>
      </c>
      <c r="P70" s="1" t="s">
        <v>35</v>
      </c>
      <c r="Q70" s="1" t="s">
        <v>35</v>
      </c>
      <c r="R70" s="1">
        <v>0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0" s="1" t="s">
        <v>35</v>
      </c>
      <c r="W70" s="7">
        <f>IF(ISNUMBER(Tabella2[[#This Row],[Amplitute SHEAR stress  (MPa)]]), (1+Tabella2[[#This Row],[Load ratio (TORSIONAL)]])*Tabella2[[#This Row],[Amplitute SHEAR stress  (MPa)]]/(1-Tabella2[[#This Row],[Load ratio (TORSIONAL)]]), "Null")</f>
        <v>417.71545594534598</v>
      </c>
      <c r="X70" s="1">
        <v>417.71545594534598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141727.51523039144</v>
      </c>
      <c r="AF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141727.51523039144</v>
      </c>
      <c r="AG70" s="1">
        <f>IF(
   AND(ISNUMBER(Tabella2[[#This Row],[Mean TORQUE (Nmm)]]), ISNUMBER(Tabella2[[#This Row],[Amplitude TORQUE (Nmm)]])),
   Tabella2[[#This Row],[Mean TORQUE (Nmm)]]+Tabella2[[#This Row],[Amplitude TORQUE (Nmm)]],
   "Null"
)</f>
        <v>283455.03046078287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723.50439280413821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65</v>
      </c>
      <c r="B71" s="1">
        <v>2014</v>
      </c>
      <c r="C71" s="1" t="s">
        <v>64</v>
      </c>
      <c r="D71" s="1" t="s">
        <v>110</v>
      </c>
      <c r="E71" s="8">
        <v>11163.6954245863</v>
      </c>
      <c r="F71" s="1" t="s">
        <v>34</v>
      </c>
      <c r="G71" s="1" t="s">
        <v>67</v>
      </c>
      <c r="H71" s="1" t="e" vm="4">
        <v>#VALUE!</v>
      </c>
      <c r="I71" s="1" t="s">
        <v>44</v>
      </c>
      <c r="J71" s="1" t="s">
        <v>34</v>
      </c>
      <c r="K71" s="1">
        <v>12</v>
      </c>
      <c r="L71" s="8">
        <f>PI()*(Tabella2[[#This Row],[Diameter (mm)]]/2)^2</f>
        <v>113.09733552923255</v>
      </c>
      <c r="M71" s="8">
        <f>(PI()*Tabella2[[#This Row],[Diameter (mm)]]^4)/32</f>
        <v>2035.7520395261859</v>
      </c>
      <c r="N71" s="1" t="s">
        <v>35</v>
      </c>
      <c r="O71" s="1" t="s">
        <v>35</v>
      </c>
      <c r="P71" s="1" t="s">
        <v>35</v>
      </c>
      <c r="Q71" s="1" t="s">
        <v>35</v>
      </c>
      <c r="R71" s="1">
        <v>0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1" s="1" t="s">
        <v>35</v>
      </c>
      <c r="W71" s="7">
        <f>IF(ISNUMBER(Tabella2[[#This Row],[Amplitute SHEAR stress  (MPa)]]), (1+Tabella2[[#This Row],[Load ratio (TORSIONAL)]])*Tabella2[[#This Row],[Amplitute SHEAR stress  (MPa)]]/(1-Tabella2[[#This Row],[Load ratio (TORSIONAL)]]), "Null")</f>
        <v>374.97176521341601</v>
      </c>
      <c r="X71" s="1">
        <v>374.97176521341601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127224.92263299094</v>
      </c>
      <c r="AF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127224.92263299094</v>
      </c>
      <c r="AG71" s="1">
        <f>IF(
   AND(ISNUMBER(Tabella2[[#This Row],[Mean TORQUE (Nmm)]]), ISNUMBER(Tabella2[[#This Row],[Amplitude TORQUE (Nmm)]])),
   Tabella2[[#This Row],[Mean TORQUE (Nmm)]]+Tabella2[[#This Row],[Amplitude TORQUE (Nmm)]],
   "Null"
)</f>
        <v>254449.84526598189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649.47014875342461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65</v>
      </c>
      <c r="B72" s="1">
        <v>2014</v>
      </c>
      <c r="C72" s="1" t="s">
        <v>64</v>
      </c>
      <c r="D72" s="1" t="s">
        <v>111</v>
      </c>
      <c r="E72" s="8">
        <v>38760.331119493298</v>
      </c>
      <c r="F72" s="1" t="s">
        <v>34</v>
      </c>
      <c r="G72" s="1" t="s">
        <v>67</v>
      </c>
      <c r="H72" s="1" t="e" vm="4">
        <v>#VALUE!</v>
      </c>
      <c r="I72" s="1" t="s">
        <v>44</v>
      </c>
      <c r="J72" s="1" t="s">
        <v>34</v>
      </c>
      <c r="K72" s="1">
        <v>12</v>
      </c>
      <c r="L72" s="8">
        <f>PI()*(Tabella2[[#This Row],[Diameter (mm)]]/2)^2</f>
        <v>113.09733552923255</v>
      </c>
      <c r="M72" s="8">
        <f>(PI()*Tabella2[[#This Row],[Diameter (mm)]]^4)/32</f>
        <v>2035.7520395261859</v>
      </c>
      <c r="N72" s="1" t="s">
        <v>35</v>
      </c>
      <c r="O72" s="1" t="s">
        <v>35</v>
      </c>
      <c r="P72" s="1" t="s">
        <v>35</v>
      </c>
      <c r="Q72" s="1" t="s">
        <v>35</v>
      </c>
      <c r="R72" s="1">
        <v>0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2" s="1" t="s">
        <v>35</v>
      </c>
      <c r="W72" s="7">
        <f>IF(ISNUMBER(Tabella2[[#This Row],[Amplitute SHEAR stress  (MPa)]]), (1+Tabella2[[#This Row],[Load ratio (TORSIONAL)]])*Tabella2[[#This Row],[Amplitute SHEAR stress  (MPa)]]/(1-Tabella2[[#This Row],[Load ratio (TORSIONAL)]]), "Null")</f>
        <v>357.57295891739301</v>
      </c>
      <c r="X72" s="1">
        <v>357.57295891739301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121321.64673258265</v>
      </c>
      <c r="AF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121321.64673258265</v>
      </c>
      <c r="AG72" s="1">
        <f>IF(
   AND(ISNUMBER(Tabella2[[#This Row],[Mean TORQUE (Nmm)]]), ISNUMBER(Tabella2[[#This Row],[Amplitude TORQUE (Nmm)]])),
   Tabella2[[#This Row],[Mean TORQUE (Nmm)]]+Tabella2[[#This Row],[Amplitude TORQUE (Nmm)]],
   "Null"
)</f>
        <v>242643.2934651653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619.33453225766357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65</v>
      </c>
      <c r="B73" s="1">
        <v>2014</v>
      </c>
      <c r="C73" s="1" t="s">
        <v>64</v>
      </c>
      <c r="D73" s="1" t="s">
        <v>112</v>
      </c>
      <c r="E73" s="8">
        <v>53170.3976128586</v>
      </c>
      <c r="F73" s="1" t="s">
        <v>34</v>
      </c>
      <c r="G73" s="1" t="s">
        <v>67</v>
      </c>
      <c r="H73" s="1" t="e" vm="4">
        <v>#VALUE!</v>
      </c>
      <c r="I73" s="1" t="s">
        <v>44</v>
      </c>
      <c r="J73" s="1" t="s">
        <v>34</v>
      </c>
      <c r="K73" s="1">
        <v>12</v>
      </c>
      <c r="L73" s="8">
        <f>PI()*(Tabella2[[#This Row],[Diameter (mm)]]/2)^2</f>
        <v>113.09733552923255</v>
      </c>
      <c r="M73" s="8">
        <f>(PI()*Tabella2[[#This Row],[Diameter (mm)]]^4)/32</f>
        <v>2035.7520395261859</v>
      </c>
      <c r="N73" s="1" t="s">
        <v>35</v>
      </c>
      <c r="O73" s="1" t="s">
        <v>35</v>
      </c>
      <c r="P73" s="1" t="s">
        <v>35</v>
      </c>
      <c r="Q73" s="1" t="s">
        <v>35</v>
      </c>
      <c r="R73" s="1">
        <v>0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3" s="1" t="s">
        <v>35</v>
      </c>
      <c r="W73" s="7">
        <f>IF(ISNUMBER(Tabella2[[#This Row],[Amplitute SHEAR stress  (MPa)]]), (1+Tabella2[[#This Row],[Load ratio (TORSIONAL)]])*Tabella2[[#This Row],[Amplitute SHEAR stress  (MPa)]]/(1-Tabella2[[#This Row],[Load ratio (TORSIONAL)]]), "Null")</f>
        <v>378.188043226925</v>
      </c>
      <c r="X73" s="1">
        <v>378.188043226925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128316.18005393831</v>
      </c>
      <c r="AF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128316.18005393831</v>
      </c>
      <c r="AG73" s="1">
        <f>IF(
   AND(ISNUMBER(Tabella2[[#This Row],[Mean TORQUE (Nmm)]]), ISNUMBER(Tabella2[[#This Row],[Amplitude TORQUE (Nmm)]])),
   Tabella2[[#This Row],[Mean TORQUE (Nmm)]]+Tabella2[[#This Row],[Amplitude TORQUE (Nmm)]],
   "Null"
)</f>
        <v>256632.36010787662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655.0409056840889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65</v>
      </c>
      <c r="B74" s="1">
        <v>2014</v>
      </c>
      <c r="C74" s="1" t="s">
        <v>64</v>
      </c>
      <c r="D74" s="1" t="s">
        <v>113</v>
      </c>
      <c r="E74" s="8">
        <v>97055.929419642402</v>
      </c>
      <c r="F74" s="1" t="s">
        <v>34</v>
      </c>
      <c r="G74" s="1" t="s">
        <v>67</v>
      </c>
      <c r="H74" s="1" t="e" vm="4">
        <v>#VALUE!</v>
      </c>
      <c r="I74" s="1" t="s">
        <v>44</v>
      </c>
      <c r="J74" s="1" t="s">
        <v>34</v>
      </c>
      <c r="K74" s="1">
        <v>12</v>
      </c>
      <c r="L74" s="8">
        <f>PI()*(Tabella2[[#This Row],[Diameter (mm)]]/2)^2</f>
        <v>113.09733552923255</v>
      </c>
      <c r="M74" s="8">
        <f>(PI()*Tabella2[[#This Row],[Diameter (mm)]]^4)/32</f>
        <v>2035.7520395261859</v>
      </c>
      <c r="N74" s="1" t="s">
        <v>35</v>
      </c>
      <c r="O74" s="1" t="s">
        <v>35</v>
      </c>
      <c r="P74" s="1" t="s">
        <v>35</v>
      </c>
      <c r="Q74" s="1" t="s">
        <v>35</v>
      </c>
      <c r="R74" s="1">
        <v>0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4" s="1" t="s">
        <v>35</v>
      </c>
      <c r="W74" s="7">
        <f>IF(ISNUMBER(Tabella2[[#This Row],[Amplitute SHEAR stress  (MPa)]]), (1+Tabella2[[#This Row],[Load ratio (TORSIONAL)]])*Tabella2[[#This Row],[Amplitute SHEAR stress  (MPa)]]/(1-Tabella2[[#This Row],[Load ratio (TORSIONAL)]]), "Null")</f>
        <v>338.502616397964</v>
      </c>
      <c r="X74" s="1">
        <v>338.502616397964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114851.23195285088</v>
      </c>
      <c r="AF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114851.23195285088</v>
      </c>
      <c r="AG74" s="1">
        <f>IF(
   AND(ISNUMBER(Tabella2[[#This Row],[Mean TORQUE (Nmm)]]), ISNUMBER(Tabella2[[#This Row],[Amplitude TORQUE (Nmm)]])),
   Tabella2[[#This Row],[Mean TORQUE (Nmm)]]+Tabella2[[#This Row],[Amplitude TORQUE (Nmm)]],
   "Null"
)</f>
        <v>229702.46390570176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586.30373009627147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65</v>
      </c>
      <c r="B75" s="1">
        <v>2014</v>
      </c>
      <c r="C75" s="1" t="s">
        <v>64</v>
      </c>
      <c r="D75" s="1" t="s">
        <v>114</v>
      </c>
      <c r="E75" s="8">
        <v>515230.73904002301</v>
      </c>
      <c r="F75" s="1" t="s">
        <v>34</v>
      </c>
      <c r="G75" s="1" t="s">
        <v>67</v>
      </c>
      <c r="H75" s="1" t="e" vm="4">
        <v>#VALUE!</v>
      </c>
      <c r="I75" s="1" t="s">
        <v>44</v>
      </c>
      <c r="J75" s="1" t="s">
        <v>34</v>
      </c>
      <c r="K75" s="1">
        <v>12</v>
      </c>
      <c r="L75" s="8">
        <f>PI()*(Tabella2[[#This Row],[Diameter (mm)]]/2)^2</f>
        <v>113.09733552923255</v>
      </c>
      <c r="M75" s="8">
        <f>(PI()*Tabella2[[#This Row],[Diameter (mm)]]^4)/32</f>
        <v>2035.7520395261859</v>
      </c>
      <c r="N75" s="1" t="s">
        <v>35</v>
      </c>
      <c r="O75" s="1" t="s">
        <v>35</v>
      </c>
      <c r="P75" s="1" t="s">
        <v>35</v>
      </c>
      <c r="Q75" s="1" t="s">
        <v>35</v>
      </c>
      <c r="R75" s="1">
        <v>0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5" s="1" t="s">
        <v>35</v>
      </c>
      <c r="W75" s="7">
        <f>IF(ISNUMBER(Tabella2[[#This Row],[Amplitute SHEAR stress  (MPa)]]), (1+Tabella2[[#This Row],[Load ratio (TORSIONAL)]])*Tabella2[[#This Row],[Amplitute SHEAR stress  (MPa)]]/(1-Tabella2[[#This Row],[Load ratio (TORSIONAL)]]), "Null")</f>
        <v>336.71898847938201</v>
      </c>
      <c r="X75" s="1">
        <v>336.71898847938201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114246.06125734937</v>
      </c>
      <c r="AF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114246.06125734937</v>
      </c>
      <c r="AG75" s="1">
        <f>IF(
   AND(ISNUMBER(Tabella2[[#This Row],[Mean TORQUE (Nmm)]]), ISNUMBER(Tabella2[[#This Row],[Amplitude TORQUE (Nmm)]])),
   Tabella2[[#This Row],[Mean TORQUE (Nmm)]]+Tabella2[[#This Row],[Amplitude TORQUE (Nmm)]],
   "Null"
)</f>
        <v>228492.12251469874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583.21439591948911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/>
      <c r="B76" s="1"/>
      <c r="C76" s="1"/>
      <c r="D76" s="1"/>
      <c r="F76" s="1"/>
      <c r="G76" s="1"/>
      <c r="H76" s="1"/>
      <c r="I76" s="1"/>
      <c r="J76" s="1"/>
      <c r="K76" s="1"/>
      <c r="L76" s="8"/>
      <c r="M76" s="8"/>
      <c r="N76" s="1"/>
      <c r="O76" s="1"/>
      <c r="P76" s="1"/>
      <c r="Q76" s="1"/>
      <c r="R76" s="1"/>
      <c r="S76" s="1"/>
      <c r="T76" s="1"/>
      <c r="U76" s="1"/>
      <c r="V76" s="7"/>
      <c r="W76" s="7"/>
      <c r="Y76" s="7"/>
      <c r="Z76" s="7"/>
      <c r="AA76" s="1"/>
      <c r="AB76" s="8"/>
      <c r="AC76" s="8"/>
      <c r="AD76" s="8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F77" s="1"/>
      <c r="G77" s="1"/>
      <c r="H77" s="1"/>
      <c r="I77" s="1"/>
      <c r="J77" s="1"/>
      <c r="K77" s="1"/>
      <c r="L77" s="8"/>
      <c r="M77" s="8"/>
      <c r="N77" s="1"/>
      <c r="O77" s="1"/>
      <c r="P77" s="1"/>
      <c r="Q77" s="1"/>
      <c r="R77" s="1"/>
      <c r="S77" s="1"/>
      <c r="T77" s="1"/>
      <c r="U77" s="1"/>
      <c r="V77" s="7"/>
      <c r="W77" s="7"/>
      <c r="Y77" s="7"/>
      <c r="Z77" s="7"/>
      <c r="AA77" s="1"/>
      <c r="AB77" s="8"/>
      <c r="AC77" s="8"/>
      <c r="AD77" s="8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F78" s="1"/>
      <c r="G78" s="1"/>
      <c r="H78" s="1"/>
      <c r="I78" s="1"/>
      <c r="J78" s="1"/>
      <c r="K78" s="1"/>
      <c r="L78" s="8"/>
      <c r="M78" s="8"/>
      <c r="N78" s="1"/>
      <c r="O78" s="1"/>
      <c r="P78" s="1"/>
      <c r="Q78" s="1"/>
      <c r="R78" s="1"/>
      <c r="S78" s="1"/>
      <c r="T78" s="1"/>
      <c r="U78" s="1"/>
      <c r="V78" s="7"/>
      <c r="W78" s="7"/>
      <c r="Y78" s="7"/>
      <c r="Z78" s="7"/>
      <c r="AA78" s="1"/>
      <c r="AB78" s="8"/>
      <c r="AC78" s="8"/>
      <c r="AD78" s="8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F79" s="1"/>
      <c r="G79" s="1"/>
      <c r="H79" s="1"/>
      <c r="I79" s="1"/>
      <c r="J79" s="1"/>
      <c r="K79" s="1"/>
      <c r="L79" s="8"/>
      <c r="M79" s="8"/>
      <c r="N79" s="1"/>
      <c r="O79" s="1"/>
      <c r="P79" s="1"/>
      <c r="Q79" s="1"/>
      <c r="R79" s="1"/>
      <c r="S79" s="1"/>
      <c r="T79" s="1"/>
      <c r="U79" s="1"/>
      <c r="V79" s="7"/>
      <c r="W79" s="7"/>
      <c r="Y79" s="7"/>
      <c r="Z79" s="7"/>
      <c r="AA79" s="1"/>
      <c r="AB79" s="8"/>
      <c r="AC79" s="8"/>
      <c r="AD79" s="8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F80" s="1"/>
      <c r="G80" s="1"/>
      <c r="H80" s="1"/>
      <c r="I80" s="1"/>
      <c r="J80" s="1"/>
      <c r="K80" s="1"/>
      <c r="L80" s="8"/>
      <c r="M80" s="8"/>
      <c r="N80" s="1"/>
      <c r="O80" s="1"/>
      <c r="P80" s="1"/>
      <c r="Q80" s="1"/>
      <c r="R80" s="1"/>
      <c r="S80" s="1"/>
      <c r="T80" s="1"/>
      <c r="U80" s="1"/>
      <c r="V80" s="7"/>
      <c r="W80" s="7"/>
      <c r="Y80" s="7"/>
      <c r="Z80" s="7"/>
      <c r="AA80" s="1"/>
      <c r="AB80" s="8"/>
      <c r="AC80" s="8"/>
      <c r="AD80" s="8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F81" s="1"/>
      <c r="G81" s="1"/>
      <c r="H81" s="1"/>
      <c r="I81" s="1"/>
      <c r="J81" s="1"/>
      <c r="K81" s="1"/>
      <c r="L81" s="8"/>
      <c r="M81" s="8"/>
      <c r="N81" s="1"/>
      <c r="O81" s="1"/>
      <c r="P81" s="1"/>
      <c r="Q81" s="1"/>
      <c r="R81" s="1"/>
      <c r="S81" s="1"/>
      <c r="T81" s="1"/>
      <c r="U81" s="1"/>
      <c r="V81" s="7"/>
      <c r="W81" s="7"/>
      <c r="Y81" s="7"/>
      <c r="Z81" s="7"/>
      <c r="AA81" s="1"/>
      <c r="AB81" s="8"/>
      <c r="AC81" s="8"/>
      <c r="AD81" s="8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F82" s="1"/>
      <c r="G82" s="1"/>
      <c r="H82" s="1"/>
      <c r="I82" s="1"/>
      <c r="J82" s="1"/>
      <c r="K82" s="1"/>
      <c r="L82" s="8"/>
      <c r="M82" s="8"/>
      <c r="N82" s="1"/>
      <c r="O82" s="1"/>
      <c r="P82" s="1"/>
      <c r="Q82" s="1"/>
      <c r="R82" s="1"/>
      <c r="S82" s="1"/>
      <c r="T82" s="1"/>
      <c r="U82" s="1"/>
      <c r="V82" s="7"/>
      <c r="W82" s="7"/>
      <c r="Y82" s="7"/>
      <c r="Z82" s="7"/>
      <c r="AA82" s="1"/>
      <c r="AB82" s="8"/>
      <c r="AC82" s="8"/>
      <c r="AD82" s="8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F83" s="1"/>
      <c r="G83" s="1"/>
      <c r="H83" s="1"/>
      <c r="I83" s="1"/>
      <c r="J83" s="1"/>
      <c r="K83" s="1"/>
      <c r="L83" s="8"/>
      <c r="M83" s="8"/>
      <c r="N83" s="1"/>
      <c r="O83" s="1"/>
      <c r="P83" s="1"/>
      <c r="Q83" s="1"/>
      <c r="R83" s="1"/>
      <c r="S83" s="1"/>
      <c r="T83" s="1"/>
      <c r="U83" s="1"/>
      <c r="V83" s="7"/>
      <c r="W83" s="7"/>
      <c r="Y83" s="7"/>
      <c r="Z83" s="7"/>
      <c r="AA83" s="1"/>
      <c r="AB83" s="8"/>
      <c r="AC83" s="8"/>
      <c r="AD83" s="8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F84" s="1"/>
      <c r="G84" s="1"/>
      <c r="H84" s="1"/>
      <c r="I84" s="1"/>
      <c r="J84" s="1"/>
      <c r="K84" s="1"/>
      <c r="L84" s="8"/>
      <c r="M84" s="8"/>
      <c r="N84" s="1"/>
      <c r="O84" s="1"/>
      <c r="P84" s="1"/>
      <c r="Q84" s="1"/>
      <c r="R84" s="1"/>
      <c r="S84" s="1"/>
      <c r="T84" s="1"/>
      <c r="U84" s="1"/>
      <c r="V84" s="7"/>
      <c r="W84" s="7"/>
      <c r="Y84" s="7"/>
      <c r="Z84" s="7"/>
      <c r="AA84" s="1"/>
      <c r="AB84" s="8"/>
      <c r="AC84" s="8"/>
      <c r="AD84" s="8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F85" s="1"/>
      <c r="G85" s="1"/>
      <c r="H85" s="1"/>
      <c r="I85" s="1"/>
      <c r="J85" s="1"/>
      <c r="K85" s="1"/>
      <c r="L85" s="8"/>
      <c r="M85" s="8"/>
      <c r="N85" s="1"/>
      <c r="O85" s="1"/>
      <c r="P85" s="1"/>
      <c r="Q85" s="1"/>
      <c r="R85" s="1"/>
      <c r="S85" s="1"/>
      <c r="T85" s="1"/>
      <c r="U85" s="1"/>
      <c r="V85" s="7"/>
      <c r="W85" s="7"/>
      <c r="Y85" s="7"/>
      <c r="Z85" s="7"/>
      <c r="AA85" s="1"/>
      <c r="AB85" s="8"/>
      <c r="AC85" s="8"/>
      <c r="AD85" s="8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F86" s="1"/>
      <c r="G86" s="1"/>
      <c r="H86" s="1"/>
      <c r="I86" s="1"/>
      <c r="J86" s="1"/>
      <c r="K86" s="1"/>
      <c r="L86" s="8"/>
      <c r="M86" s="8"/>
      <c r="N86" s="1"/>
      <c r="O86" s="1"/>
      <c r="P86" s="1"/>
      <c r="Q86" s="1"/>
      <c r="R86" s="1"/>
      <c r="S86" s="1"/>
      <c r="T86" s="1"/>
      <c r="U86" s="1"/>
      <c r="V86" s="7"/>
      <c r="W86" s="7"/>
      <c r="Y86" s="7"/>
      <c r="Z86" s="7"/>
      <c r="AA86" s="1"/>
      <c r="AB86" s="8"/>
      <c r="AC86" s="8"/>
      <c r="AD86" s="8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F87" s="1"/>
      <c r="G87" s="1"/>
      <c r="H87" s="1"/>
      <c r="I87" s="1"/>
      <c r="J87" s="1"/>
      <c r="K87" s="1"/>
      <c r="L87" s="8"/>
      <c r="M87" s="8"/>
      <c r="N87" s="1"/>
      <c r="O87" s="1"/>
      <c r="P87" s="1"/>
      <c r="Q87" s="1"/>
      <c r="R87" s="1"/>
      <c r="S87" s="1"/>
      <c r="T87" s="1"/>
      <c r="U87" s="1"/>
      <c r="V87" s="7"/>
      <c r="W87" s="7"/>
      <c r="Y87" s="7"/>
      <c r="Z87" s="7"/>
      <c r="AA87" s="1"/>
      <c r="AB87" s="8"/>
      <c r="AC87" s="8"/>
      <c r="AD87" s="8"/>
      <c r="AE87" s="1"/>
      <c r="AF87" s="1"/>
      <c r="AG87" s="1"/>
      <c r="AH87" s="1"/>
      <c r="AI87" s="1"/>
    </row>
    <row r="88" spans="1:35" ht="17.45" customHeight="1" x14ac:dyDescent="0.25">
      <c r="A88" s="1"/>
      <c r="B88" s="1"/>
      <c r="C88" s="1"/>
      <c r="D88" s="1"/>
      <c r="F88" s="1"/>
      <c r="G88" s="1"/>
      <c r="H88" s="1"/>
      <c r="I88" s="1"/>
      <c r="J88" s="1"/>
      <c r="K88" s="1"/>
      <c r="L88" s="8"/>
      <c r="M88" s="8"/>
      <c r="N88" s="1"/>
      <c r="O88" s="1"/>
      <c r="P88" s="1"/>
      <c r="Q88" s="1"/>
      <c r="R88" s="1"/>
      <c r="S88" s="1"/>
      <c r="T88" s="1"/>
      <c r="U88" s="1"/>
      <c r="V88" s="7"/>
      <c r="W88" s="7"/>
      <c r="Y88" s="7"/>
      <c r="Z88" s="7"/>
      <c r="AA88" s="1"/>
      <c r="AB88" s="8"/>
      <c r="AC88" s="8"/>
      <c r="AD88" s="8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F89" s="1"/>
      <c r="G89" s="1"/>
      <c r="H89" s="1"/>
      <c r="I89" s="1"/>
      <c r="J89" s="1"/>
      <c r="K89" s="1"/>
      <c r="L89" s="8"/>
      <c r="M89" s="8"/>
      <c r="N89" s="1"/>
      <c r="O89" s="1"/>
      <c r="P89" s="1"/>
      <c r="Q89" s="1"/>
      <c r="R89" s="1"/>
      <c r="S89" s="1"/>
      <c r="T89" s="1"/>
      <c r="U89" s="1"/>
      <c r="V89" s="7"/>
      <c r="W89" s="7"/>
      <c r="Y89" s="7"/>
      <c r="Z89" s="7"/>
      <c r="AA89" s="1"/>
      <c r="AB89" s="8"/>
      <c r="AC89" s="8"/>
      <c r="AD89" s="8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F90" s="1"/>
      <c r="G90" s="1"/>
      <c r="H90" s="1"/>
      <c r="I90" s="1"/>
      <c r="J90" s="1"/>
      <c r="K90" s="1"/>
      <c r="L90" s="8"/>
      <c r="M90" s="8"/>
      <c r="N90" s="1"/>
      <c r="O90" s="1"/>
      <c r="P90" s="1"/>
      <c r="Q90" s="1"/>
      <c r="R90" s="1"/>
      <c r="S90" s="1"/>
      <c r="T90" s="1"/>
      <c r="U90" s="1"/>
      <c r="V90" s="7"/>
      <c r="W90" s="7"/>
      <c r="Y90" s="7"/>
      <c r="Z90" s="7"/>
      <c r="AA90" s="1"/>
      <c r="AB90" s="8"/>
      <c r="AC90" s="8"/>
      <c r="AD90" s="8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F91" s="1"/>
      <c r="G91" s="1"/>
      <c r="H91" s="1"/>
      <c r="I91" s="1"/>
      <c r="J91" s="1"/>
      <c r="K91" s="1"/>
      <c r="L91" s="8"/>
      <c r="M91" s="8"/>
      <c r="N91" s="1"/>
      <c r="O91" s="1"/>
      <c r="P91" s="1"/>
      <c r="Q91" s="1"/>
      <c r="R91" s="1"/>
      <c r="S91" s="1"/>
      <c r="T91" s="1"/>
      <c r="U91" s="1"/>
      <c r="V91" s="7"/>
      <c r="W91" s="7"/>
      <c r="Y91" s="7"/>
      <c r="Z91" s="7"/>
      <c r="AA91" s="1"/>
      <c r="AB91" s="8"/>
      <c r="AC91" s="8"/>
      <c r="AD91" s="8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F92" s="1"/>
      <c r="G92" s="1"/>
      <c r="H92" s="1"/>
      <c r="I92" s="1"/>
      <c r="J92" s="1"/>
      <c r="K92" s="1"/>
      <c r="L92" s="8"/>
      <c r="M92" s="8"/>
      <c r="N92" s="1"/>
      <c r="O92" s="1"/>
      <c r="P92" s="1"/>
      <c r="Q92" s="1"/>
      <c r="R92" s="1"/>
      <c r="S92" s="1"/>
      <c r="T92" s="1"/>
      <c r="U92" s="1"/>
      <c r="V92" s="7"/>
      <c r="W92" s="7"/>
      <c r="Y92" s="7"/>
      <c r="Z92" s="7"/>
      <c r="AA92" s="1"/>
      <c r="AB92" s="8"/>
      <c r="AC92" s="8"/>
      <c r="AD92" s="8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F93" s="1"/>
      <c r="G93" s="1"/>
      <c r="H93" s="1"/>
      <c r="I93" s="1"/>
      <c r="J93" s="1"/>
      <c r="K93" s="1"/>
      <c r="L93" s="8"/>
      <c r="M93" s="8"/>
      <c r="N93" s="1"/>
      <c r="O93" s="1"/>
      <c r="P93" s="1"/>
      <c r="Q93" s="1"/>
      <c r="R93" s="1"/>
      <c r="S93" s="1"/>
      <c r="T93" s="1"/>
      <c r="U93" s="1"/>
      <c r="V93" s="7"/>
      <c r="W93" s="7"/>
      <c r="Y93" s="7"/>
      <c r="Z93" s="7"/>
      <c r="AA93" s="1"/>
      <c r="AB93" s="8"/>
      <c r="AC93" s="8"/>
      <c r="AD93" s="8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F94" s="1"/>
      <c r="G94" s="1"/>
      <c r="H94" s="1"/>
      <c r="I94" s="1"/>
      <c r="J94" s="1"/>
      <c r="K94" s="1"/>
      <c r="L94" s="8"/>
      <c r="M94" s="8"/>
      <c r="N94" s="1"/>
      <c r="O94" s="1"/>
      <c r="P94" s="1"/>
      <c r="Q94" s="1"/>
      <c r="R94" s="1"/>
      <c r="S94" s="1"/>
      <c r="T94" s="1"/>
      <c r="U94" s="1"/>
      <c r="V94" s="7"/>
      <c r="W94" s="7"/>
      <c r="Y94" s="7"/>
      <c r="Z94" s="7"/>
      <c r="AA94" s="1"/>
      <c r="AB94" s="8"/>
      <c r="AC94" s="8"/>
      <c r="AD94" s="8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F95" s="1"/>
      <c r="G95" s="1"/>
      <c r="H95" s="1"/>
      <c r="I95" s="1"/>
      <c r="J95" s="1"/>
      <c r="K95" s="1"/>
      <c r="L95" s="8"/>
      <c r="M95" s="8"/>
      <c r="N95" s="1"/>
      <c r="O95" s="1"/>
      <c r="P95" s="1"/>
      <c r="Q95" s="1"/>
      <c r="R95" s="1"/>
      <c r="S95" s="1"/>
      <c r="T95" s="1"/>
      <c r="U95" s="1"/>
      <c r="V95" s="7"/>
      <c r="W95" s="7"/>
      <c r="Y95" s="7"/>
      <c r="Z95" s="7"/>
      <c r="AA95" s="1"/>
      <c r="AB95" s="8"/>
      <c r="AC95" s="8"/>
      <c r="AD95" s="8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F96" s="1"/>
      <c r="G96" s="1"/>
      <c r="H96" s="1"/>
      <c r="I96" s="1"/>
      <c r="J96" s="1"/>
      <c r="K96" s="1"/>
      <c r="L96" s="8"/>
      <c r="M96" s="8"/>
      <c r="N96" s="1"/>
      <c r="O96" s="1"/>
      <c r="P96" s="1"/>
      <c r="Q96" s="1"/>
      <c r="R96" s="1"/>
      <c r="S96" s="1"/>
      <c r="T96" s="1"/>
      <c r="U96" s="1"/>
      <c r="V96" s="7"/>
      <c r="W96" s="7"/>
      <c r="Y96" s="7"/>
      <c r="Z96" s="7"/>
      <c r="AA96" s="1"/>
      <c r="AB96" s="8"/>
      <c r="AC96" s="8"/>
      <c r="AD96" s="8"/>
      <c r="AE96" s="1"/>
      <c r="AF96" s="1"/>
      <c r="AG96" s="1"/>
      <c r="AH96" s="1"/>
      <c r="AI96" s="1"/>
    </row>
    <row r="97" spans="1:35" ht="17.45" customHeight="1" x14ac:dyDescent="0.25">
      <c r="A97" s="1"/>
      <c r="B97" s="1"/>
      <c r="C97" s="1"/>
      <c r="D97" s="1"/>
      <c r="F97" s="1"/>
      <c r="G97" s="1"/>
      <c r="H97" s="1"/>
      <c r="I97" s="1"/>
      <c r="J97" s="1"/>
      <c r="K97" s="1"/>
      <c r="L97" s="8"/>
      <c r="M97" s="8"/>
      <c r="N97" s="1"/>
      <c r="O97" s="1"/>
      <c r="P97" s="1"/>
      <c r="Q97" s="1"/>
      <c r="R97" s="1"/>
      <c r="S97" s="1"/>
      <c r="T97" s="1"/>
      <c r="U97" s="1"/>
      <c r="V97" s="7"/>
      <c r="W97" s="7"/>
      <c r="Y97" s="7"/>
      <c r="Z97" s="7"/>
      <c r="AA97" s="1"/>
      <c r="AB97" s="8"/>
      <c r="AC97" s="8"/>
      <c r="AD97" s="8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F98" s="1"/>
      <c r="G98" s="1"/>
      <c r="H98" s="1"/>
      <c r="I98" s="1"/>
      <c r="J98" s="1"/>
      <c r="K98" s="1"/>
      <c r="L98" s="8"/>
      <c r="M98" s="8"/>
      <c r="N98" s="1"/>
      <c r="O98" s="1"/>
      <c r="P98" s="1"/>
      <c r="Q98" s="1"/>
      <c r="R98" s="1"/>
      <c r="S98" s="1"/>
      <c r="T98" s="1"/>
      <c r="U98" s="1"/>
      <c r="V98" s="7"/>
      <c r="W98" s="7"/>
      <c r="X98" s="11"/>
      <c r="Y98" s="7"/>
      <c r="Z98" s="7"/>
      <c r="AA98" s="1"/>
      <c r="AB98" s="8"/>
      <c r="AC98" s="8"/>
      <c r="AD98" s="8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F99" s="1"/>
      <c r="G99" s="1"/>
      <c r="H99" s="1"/>
      <c r="I99" s="1"/>
      <c r="J99" s="1"/>
      <c r="K99" s="1"/>
      <c r="L99" s="8"/>
      <c r="M99" s="8"/>
      <c r="N99" s="1"/>
      <c r="O99" s="1"/>
      <c r="P99" s="1"/>
      <c r="Q99" s="1"/>
      <c r="R99" s="1"/>
      <c r="S99" s="1"/>
      <c r="T99" s="1"/>
      <c r="U99" s="1"/>
      <c r="V99" s="7"/>
      <c r="W99" s="7"/>
      <c r="X99" s="11"/>
      <c r="Y99" s="7"/>
      <c r="Z99" s="7"/>
      <c r="AA99" s="1"/>
      <c r="AB99" s="8"/>
      <c r="AC99" s="8"/>
      <c r="AD99" s="8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F100" s="1"/>
      <c r="G100" s="1"/>
      <c r="H100" s="1"/>
      <c r="I100" s="1"/>
      <c r="J100" s="1"/>
      <c r="K100" s="1"/>
      <c r="L100" s="8"/>
      <c r="M100" s="8"/>
      <c r="N100" s="1"/>
      <c r="O100" s="1"/>
      <c r="P100" s="1"/>
      <c r="Q100" s="1"/>
      <c r="R100" s="1"/>
      <c r="S100" s="1"/>
      <c r="T100" s="1"/>
      <c r="U100" s="1"/>
      <c r="V100" s="7"/>
      <c r="W100" s="7"/>
      <c r="X100" s="11"/>
      <c r="Y100" s="7"/>
      <c r="Z100" s="7"/>
      <c r="AA100" s="1"/>
      <c r="AB100" s="8"/>
      <c r="AC100" s="8"/>
      <c r="AD100" s="8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F101" s="1"/>
      <c r="G101" s="1"/>
      <c r="H101" s="1"/>
      <c r="I101" s="1"/>
      <c r="J101" s="1"/>
      <c r="K101" s="1"/>
      <c r="L101" s="8"/>
      <c r="M101" s="8"/>
      <c r="N101" s="1"/>
      <c r="O101" s="1"/>
      <c r="P101" s="1"/>
      <c r="Q101" s="1"/>
      <c r="R101" s="1"/>
      <c r="S101" s="1"/>
      <c r="T101" s="1"/>
      <c r="U101" s="1"/>
      <c r="V101" s="7"/>
      <c r="W101" s="7"/>
      <c r="X101" s="11"/>
      <c r="Y101" s="7"/>
      <c r="Z101" s="7"/>
      <c r="AA101" s="1"/>
      <c r="AB101" s="8"/>
      <c r="AC101" s="8"/>
      <c r="AD101" s="8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F102" s="1"/>
      <c r="G102" s="1"/>
      <c r="H102" s="1"/>
      <c r="I102" s="1"/>
      <c r="J102" s="1"/>
      <c r="K102" s="1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7"/>
      <c r="W102" s="7"/>
      <c r="X102" s="1"/>
      <c r="Y102" s="7"/>
      <c r="Z102" s="7"/>
      <c r="AA102" s="1"/>
      <c r="AB102" s="8"/>
      <c r="AC102" s="8"/>
      <c r="AD102" s="8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F103" s="1"/>
      <c r="G103" s="1"/>
      <c r="H103" s="1"/>
      <c r="I103" s="1"/>
      <c r="J103" s="1"/>
      <c r="K103" s="1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7"/>
      <c r="W103" s="7"/>
      <c r="X103" s="1"/>
      <c r="Y103" s="7"/>
      <c r="Z103" s="7"/>
      <c r="AA103" s="1"/>
      <c r="AB103" s="8"/>
      <c r="AC103" s="8"/>
      <c r="AD103" s="8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F104" s="1"/>
      <c r="G104" s="1"/>
      <c r="H104" s="1"/>
      <c r="I104" s="1"/>
      <c r="J104" s="1"/>
      <c r="K104" s="1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7"/>
      <c r="W104" s="7"/>
      <c r="X104" s="1"/>
      <c r="Y104" s="7"/>
      <c r="Z104" s="7"/>
      <c r="AA104" s="1"/>
      <c r="AB104" s="8"/>
      <c r="AC104" s="8"/>
      <c r="AD104" s="8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F105" s="1"/>
      <c r="G105" s="1"/>
      <c r="H105" s="1"/>
      <c r="I105" s="1"/>
      <c r="J105" s="1"/>
      <c r="K105" s="1"/>
      <c r="L105" s="8"/>
      <c r="M105" s="8"/>
      <c r="N105" s="1"/>
      <c r="O105" s="1"/>
      <c r="P105" s="1"/>
      <c r="Q105" s="1"/>
      <c r="R105" s="1"/>
      <c r="S105" s="1"/>
      <c r="T105" s="1"/>
      <c r="U105" s="1"/>
      <c r="V105" s="7"/>
      <c r="W105" s="7"/>
      <c r="X105" s="1"/>
      <c r="Y105" s="7"/>
      <c r="Z105" s="7"/>
      <c r="AA105" s="1"/>
      <c r="AB105" s="8"/>
      <c r="AC105" s="8"/>
      <c r="AD105" s="8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F106" s="1"/>
      <c r="G106" s="1"/>
      <c r="H106" s="1"/>
      <c r="I106" s="1"/>
      <c r="J106" s="1"/>
      <c r="K106" s="1"/>
      <c r="L106" s="8"/>
      <c r="M106" s="8"/>
      <c r="N106" s="1"/>
      <c r="O106" s="1"/>
      <c r="P106" s="1"/>
      <c r="Q106" s="1"/>
      <c r="R106" s="1"/>
      <c r="S106" s="1"/>
      <c r="T106" s="1"/>
      <c r="U106" s="1"/>
      <c r="V106" s="7"/>
      <c r="W106" s="7"/>
      <c r="X106" s="1"/>
      <c r="Y106" s="7"/>
      <c r="Z106" s="7"/>
      <c r="AA106" s="1"/>
      <c r="AB106" s="8"/>
      <c r="AC106" s="8"/>
      <c r="AD106" s="8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F107" s="1"/>
      <c r="G107" s="1"/>
      <c r="H107" s="1"/>
      <c r="I107" s="1"/>
      <c r="J107" s="1"/>
      <c r="K107" s="1"/>
      <c r="L107" s="8"/>
      <c r="M107" s="8"/>
      <c r="N107" s="1"/>
      <c r="O107" s="1"/>
      <c r="P107" s="1"/>
      <c r="Q107" s="1"/>
      <c r="R107" s="1"/>
      <c r="S107" s="1"/>
      <c r="T107" s="1"/>
      <c r="U107" s="1"/>
      <c r="V107" s="7"/>
      <c r="W107" s="7"/>
      <c r="X107" s="1"/>
      <c r="Y107" s="7"/>
      <c r="Z107" s="7"/>
      <c r="AA107" s="1"/>
      <c r="AB107" s="8"/>
      <c r="AC107" s="8"/>
      <c r="AD107" s="8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F108" s="1"/>
      <c r="G108" s="1"/>
      <c r="H108" s="1"/>
      <c r="I108" s="1"/>
      <c r="J108" s="1"/>
      <c r="K108" s="1"/>
      <c r="L108" s="8"/>
      <c r="M108" s="8"/>
      <c r="N108" s="1"/>
      <c r="O108" s="1"/>
      <c r="P108" s="1"/>
      <c r="Q108" s="1"/>
      <c r="R108" s="1"/>
      <c r="S108" s="1"/>
      <c r="T108" s="1"/>
      <c r="U108" s="1"/>
      <c r="V108" s="7"/>
      <c r="W108" s="7"/>
      <c r="X108" s="1"/>
      <c r="Y108" s="7"/>
      <c r="Z108" s="7"/>
      <c r="AA108" s="1"/>
      <c r="AB108" s="8"/>
      <c r="AC108" s="8"/>
      <c r="AD108" s="8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F109" s="1"/>
      <c r="G109" s="1"/>
      <c r="H109" s="1"/>
      <c r="I109" s="1"/>
      <c r="J109" s="1"/>
      <c r="K109" s="1"/>
      <c r="L109" s="8"/>
      <c r="M109" s="8"/>
      <c r="N109" s="1"/>
      <c r="O109" s="1"/>
      <c r="P109" s="1"/>
      <c r="Q109" s="1"/>
      <c r="R109" s="1"/>
      <c r="S109" s="1"/>
      <c r="T109" s="1"/>
      <c r="U109" s="1"/>
      <c r="V109" s="7"/>
      <c r="W109" s="7"/>
      <c r="X109" s="1"/>
      <c r="Y109" s="7"/>
      <c r="Z109" s="7"/>
      <c r="AA109" s="1"/>
      <c r="AB109" s="8"/>
      <c r="AC109" s="8"/>
      <c r="AD109" s="8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F110" s="1"/>
      <c r="G110" s="1"/>
      <c r="H110" s="1"/>
      <c r="I110" s="1"/>
      <c r="J110" s="1"/>
      <c r="K110" s="1"/>
      <c r="L110" s="8"/>
      <c r="M110" s="8"/>
      <c r="N110" s="1"/>
      <c r="O110" s="1"/>
      <c r="P110" s="1"/>
      <c r="Q110" s="1"/>
      <c r="R110" s="1"/>
      <c r="S110" s="1"/>
      <c r="T110" s="1"/>
      <c r="U110" s="1"/>
      <c r="W110" s="7"/>
      <c r="X110" s="1"/>
      <c r="Y110" s="7"/>
      <c r="Z110" s="7"/>
      <c r="AA110" s="1"/>
      <c r="AB110" s="8"/>
      <c r="AC110" s="8"/>
      <c r="AD110" s="8"/>
      <c r="AE110" s="1"/>
      <c r="AF110" s="1"/>
      <c r="AG110" s="1"/>
      <c r="AH110" s="1"/>
      <c r="AI110" s="1"/>
    </row>
    <row r="111" spans="1:35" x14ac:dyDescent="0.25">
      <c r="A111" s="1"/>
      <c r="B111" s="1"/>
      <c r="C111" s="1"/>
      <c r="D111" s="1"/>
      <c r="F111" s="1"/>
      <c r="G111" s="1"/>
      <c r="H111" s="1"/>
      <c r="I111" s="1"/>
      <c r="J111" s="1"/>
      <c r="K111" s="1"/>
      <c r="L111" s="8"/>
      <c r="M111" s="8"/>
      <c r="N111" s="1"/>
      <c r="O111" s="1"/>
      <c r="P111" s="1"/>
      <c r="Q111" s="1"/>
      <c r="R111" s="1"/>
      <c r="S111" s="1"/>
      <c r="T111" s="1"/>
      <c r="U111" s="1"/>
      <c r="W111" s="7"/>
      <c r="X111" s="1"/>
      <c r="Y111" s="7"/>
      <c r="Z111" s="7"/>
      <c r="AA111" s="1"/>
      <c r="AB111" s="8"/>
      <c r="AC111" s="8"/>
      <c r="AD111" s="8"/>
      <c r="AE111" s="1"/>
      <c r="AF111" s="1"/>
      <c r="AG111" s="1"/>
      <c r="AH111" s="1"/>
      <c r="AI111" s="1"/>
    </row>
    <row r="112" spans="1:35" x14ac:dyDescent="0.25">
      <c r="A112" s="1"/>
      <c r="B112" s="1"/>
      <c r="C112" s="1"/>
      <c r="D112" s="1"/>
      <c r="F112" s="1"/>
      <c r="G112" s="1"/>
      <c r="H112" s="1"/>
      <c r="I112" s="1"/>
      <c r="J112" s="1"/>
      <c r="K112" s="1"/>
      <c r="L112" s="8"/>
      <c r="M112" s="8"/>
      <c r="N112" s="1"/>
      <c r="O112" s="1"/>
      <c r="P112" s="1"/>
      <c r="Q112" s="1"/>
      <c r="R112" s="1"/>
      <c r="S112" s="1"/>
      <c r="T112" s="1"/>
      <c r="U112" s="1"/>
      <c r="W112" s="7"/>
      <c r="X112" s="7"/>
      <c r="Y112" s="7"/>
      <c r="Z112" s="7"/>
      <c r="AA112" s="1"/>
      <c r="AB112" s="8"/>
      <c r="AC112" s="8"/>
      <c r="AD112" s="8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8"/>
      <c r="M113" s="8"/>
      <c r="N113" s="1"/>
      <c r="O113" s="1"/>
      <c r="P113" s="1"/>
      <c r="Q113" s="1"/>
      <c r="R113" s="1"/>
      <c r="S113" s="1"/>
      <c r="T113" s="1"/>
      <c r="U113" s="1"/>
      <c r="W113" s="7"/>
      <c r="X113" s="7"/>
      <c r="Y113" s="7"/>
      <c r="Z113" s="7"/>
      <c r="AA113" s="1"/>
      <c r="AB113" s="8"/>
      <c r="AC113" s="8"/>
      <c r="AD113" s="8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F114" s="1"/>
      <c r="G114" s="1"/>
      <c r="H114" s="1"/>
      <c r="I114" s="1"/>
      <c r="J114" s="1"/>
      <c r="K114" s="1"/>
      <c r="L114" s="8"/>
      <c r="M114" s="8"/>
      <c r="N114" s="1"/>
      <c r="O114" s="1"/>
      <c r="P114" s="1"/>
      <c r="Q114" s="1"/>
      <c r="R114" s="1"/>
      <c r="S114" s="1"/>
      <c r="T114" s="1"/>
      <c r="U114" s="1"/>
      <c r="W114" s="7"/>
      <c r="X114" s="7"/>
      <c r="Y114" s="7"/>
      <c r="Z114" s="7"/>
      <c r="AA114" s="1"/>
      <c r="AB114" s="8"/>
      <c r="AC114" s="8"/>
      <c r="AD114" s="8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F115" s="1"/>
      <c r="G115" s="1"/>
      <c r="H115" s="1"/>
      <c r="I115" s="1"/>
      <c r="J115" s="1"/>
      <c r="K115" s="1"/>
      <c r="L115" s="8"/>
      <c r="M115" s="8"/>
      <c r="N115" s="1"/>
      <c r="O115" s="1"/>
      <c r="P115" s="1"/>
      <c r="Q115" s="1"/>
      <c r="R115" s="1"/>
      <c r="S115" s="1"/>
      <c r="T115" s="1"/>
      <c r="U115" s="1"/>
      <c r="W115" s="7"/>
      <c r="X115" s="7"/>
      <c r="Y115" s="7"/>
      <c r="Z115" s="7"/>
      <c r="AA115" s="1"/>
      <c r="AB115" s="8"/>
      <c r="AC115" s="8"/>
      <c r="AD115" s="8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F116" s="1"/>
      <c r="G116" s="1"/>
      <c r="H116" s="1"/>
      <c r="I116" s="1"/>
      <c r="J116" s="1"/>
      <c r="K116" s="1"/>
      <c r="L116" s="8"/>
      <c r="M116" s="8"/>
      <c r="N116" s="1"/>
      <c r="O116" s="1"/>
      <c r="P116" s="1"/>
      <c r="Q116" s="1"/>
      <c r="R116" s="1"/>
      <c r="S116" s="1"/>
      <c r="T116" s="1"/>
      <c r="U116" s="1"/>
      <c r="W116" s="7"/>
      <c r="X116" s="7"/>
      <c r="Y116" s="7"/>
      <c r="Z116" s="7"/>
      <c r="AA116" s="1"/>
      <c r="AB116" s="8"/>
      <c r="AC116" s="8"/>
      <c r="AD116" s="8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F117" s="1"/>
      <c r="G117" s="1"/>
      <c r="H117" s="1"/>
      <c r="I117" s="1"/>
      <c r="J117" s="1"/>
      <c r="K117" s="1"/>
      <c r="L117" s="8"/>
      <c r="M117" s="8"/>
      <c r="N117" s="1"/>
      <c r="O117" s="1"/>
      <c r="P117" s="1"/>
      <c r="Q117" s="1"/>
      <c r="R117" s="1"/>
      <c r="S117" s="1"/>
      <c r="T117" s="1"/>
      <c r="U117" s="1"/>
      <c r="W117" s="7"/>
      <c r="X117" s="7"/>
      <c r="Y117" s="7"/>
      <c r="Z117" s="7"/>
      <c r="AA117" s="1"/>
      <c r="AB117" s="8"/>
      <c r="AC117" s="8"/>
      <c r="AD117" s="8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F118" s="1"/>
      <c r="G118" s="1"/>
      <c r="H118" s="1"/>
      <c r="I118" s="1"/>
      <c r="J118" s="1"/>
      <c r="K118" s="1"/>
      <c r="L118" s="8"/>
      <c r="M118" s="8"/>
      <c r="N118" s="1"/>
      <c r="O118" s="1"/>
      <c r="P118" s="1"/>
      <c r="Q118" s="1"/>
      <c r="R118" s="1"/>
      <c r="S118" s="1"/>
      <c r="T118" s="1"/>
      <c r="U118" s="1"/>
      <c r="W118" s="7"/>
      <c r="X118" s="7"/>
      <c r="Y118" s="7"/>
      <c r="Z118" s="7"/>
      <c r="AA118" s="1"/>
      <c r="AB118" s="8"/>
      <c r="AC118" s="8"/>
      <c r="AD118" s="8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F119" s="1"/>
      <c r="G119" s="1"/>
      <c r="H119" s="1"/>
      <c r="I119" s="1"/>
      <c r="J119" s="1"/>
      <c r="K119" s="1"/>
      <c r="L119" s="8"/>
      <c r="M119" s="8"/>
      <c r="N119" s="1"/>
      <c r="O119" s="1"/>
      <c r="P119" s="1"/>
      <c r="Q119" s="1"/>
      <c r="R119" s="1"/>
      <c r="S119" s="1"/>
      <c r="T119" s="1"/>
      <c r="U119" s="1"/>
      <c r="W119" s="7"/>
      <c r="X119" s="7"/>
      <c r="Y119" s="7"/>
      <c r="Z119" s="7"/>
      <c r="AA119" s="1"/>
      <c r="AB119" s="8"/>
      <c r="AC119" s="8"/>
      <c r="AD119" s="8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F120" s="1"/>
      <c r="G120" s="1"/>
      <c r="H120" s="1"/>
      <c r="I120" s="1"/>
      <c r="J120" s="1"/>
      <c r="K120" s="1"/>
      <c r="L120" s="8"/>
      <c r="M120" s="8"/>
      <c r="N120" s="1"/>
      <c r="O120" s="1"/>
      <c r="P120" s="1"/>
      <c r="Q120" s="1"/>
      <c r="R120" s="1"/>
      <c r="S120" s="1"/>
      <c r="T120" s="1"/>
      <c r="U120" s="1"/>
      <c r="W120" s="7"/>
      <c r="X120" s="7"/>
      <c r="Y120" s="7"/>
      <c r="Z120" s="7"/>
      <c r="AA120" s="1"/>
      <c r="AB120" s="8"/>
      <c r="AC120" s="8"/>
      <c r="AD120" s="8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F121" s="1"/>
      <c r="G121" s="1"/>
      <c r="H121" s="1"/>
      <c r="I121" s="1"/>
      <c r="J121" s="1"/>
      <c r="K121" s="1"/>
      <c r="L121" s="8"/>
      <c r="M121" s="8"/>
      <c r="N121" s="1"/>
      <c r="O121" s="1"/>
      <c r="P121" s="1"/>
      <c r="Q121" s="1"/>
      <c r="R121" s="1"/>
      <c r="S121" s="1"/>
      <c r="T121" s="1"/>
      <c r="U121" s="1"/>
      <c r="W121" s="7"/>
      <c r="X121" s="7"/>
      <c r="Y121" s="7"/>
      <c r="Z121" s="7"/>
      <c r="AA121" s="1"/>
      <c r="AB121" s="8"/>
      <c r="AC121" s="8"/>
      <c r="AD121" s="8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F122" s="1"/>
      <c r="G122" s="1"/>
      <c r="H122" s="1"/>
      <c r="I122" s="1"/>
      <c r="J122" s="1"/>
      <c r="K122" s="1"/>
      <c r="L122" s="8"/>
      <c r="M122" s="8"/>
      <c r="N122" s="1"/>
      <c r="O122" s="1"/>
      <c r="P122" s="1"/>
      <c r="Q122" s="1"/>
      <c r="R122" s="1"/>
      <c r="S122" s="1"/>
      <c r="T122" s="1"/>
      <c r="U122" s="1"/>
      <c r="W122" s="7"/>
      <c r="X122" s="7"/>
      <c r="Y122" s="7"/>
      <c r="Z122" s="7"/>
      <c r="AA122" s="1"/>
      <c r="AB122" s="8"/>
      <c r="AC122" s="8"/>
      <c r="AD122" s="8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F123" s="1"/>
      <c r="G123" s="1"/>
      <c r="H123" s="1"/>
      <c r="I123" s="1"/>
      <c r="J123" s="1"/>
      <c r="K123" s="1"/>
      <c r="L123" s="8"/>
      <c r="M123" s="8"/>
      <c r="N123" s="1"/>
      <c r="O123" s="1"/>
      <c r="P123" s="1"/>
      <c r="Q123" s="1"/>
      <c r="R123" s="1"/>
      <c r="S123" s="1"/>
      <c r="T123" s="1"/>
      <c r="U123" s="1"/>
      <c r="W123" s="7"/>
      <c r="X123" s="7"/>
      <c r="Y123" s="7"/>
      <c r="Z123" s="7"/>
      <c r="AA123" s="1"/>
      <c r="AB123" s="8"/>
      <c r="AC123" s="8"/>
      <c r="AD123" s="8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F124" s="1"/>
      <c r="G124" s="1"/>
      <c r="H124" s="1"/>
      <c r="I124" s="1"/>
      <c r="J124" s="1"/>
      <c r="K124" s="1"/>
      <c r="L124" s="8"/>
      <c r="M124" s="8"/>
      <c r="N124" s="1"/>
      <c r="O124" s="1"/>
      <c r="P124" s="1"/>
      <c r="Q124" s="1"/>
      <c r="R124" s="1"/>
      <c r="S124" s="1"/>
      <c r="T124" s="1"/>
      <c r="U124" s="1"/>
      <c r="W124" s="7"/>
      <c r="X124" s="7"/>
      <c r="Y124" s="7"/>
      <c r="Z124" s="7"/>
      <c r="AA124" s="1"/>
      <c r="AB124" s="8"/>
      <c r="AC124" s="8"/>
      <c r="AD124" s="8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F125" s="1"/>
      <c r="G125" s="1"/>
      <c r="H125" s="1"/>
      <c r="I125" s="1"/>
      <c r="J125" s="1"/>
      <c r="K125" s="1"/>
      <c r="L125" s="8"/>
      <c r="M125" s="8"/>
      <c r="N125" s="1"/>
      <c r="O125" s="1"/>
      <c r="P125" s="1"/>
      <c r="Q125" s="1"/>
      <c r="R125" s="1"/>
      <c r="S125" s="1"/>
      <c r="T125" s="1"/>
      <c r="U125" s="1"/>
      <c r="W125" s="7"/>
      <c r="X125" s="7"/>
      <c r="Y125" s="7"/>
      <c r="Z125" s="7"/>
      <c r="AA125" s="1"/>
      <c r="AB125" s="8"/>
      <c r="AC125" s="8"/>
      <c r="AD125" s="8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F126" s="1"/>
      <c r="G126" s="1"/>
      <c r="H126" s="1"/>
      <c r="I126" s="1"/>
      <c r="J126" s="1"/>
      <c r="K126" s="1"/>
      <c r="L126" s="8"/>
      <c r="M126" s="8"/>
      <c r="N126" s="1"/>
      <c r="O126" s="1"/>
      <c r="P126" s="1"/>
      <c r="Q126" s="1"/>
      <c r="R126" s="1"/>
      <c r="S126" s="1"/>
      <c r="T126" s="1"/>
      <c r="U126" s="1"/>
      <c r="W126" s="7"/>
      <c r="X126" s="7"/>
      <c r="Y126" s="7"/>
      <c r="Z126" s="7"/>
      <c r="AA126" s="1"/>
      <c r="AB126" s="8"/>
      <c r="AC126" s="8"/>
      <c r="AD126" s="8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F127" s="1"/>
      <c r="G127" s="1"/>
      <c r="H127" s="1"/>
      <c r="I127" s="1"/>
      <c r="J127" s="1"/>
      <c r="K127" s="1"/>
      <c r="L127" s="8"/>
      <c r="M127" s="8"/>
      <c r="N127" s="1"/>
      <c r="O127" s="1"/>
      <c r="P127" s="1"/>
      <c r="Q127" s="1"/>
      <c r="R127" s="1"/>
      <c r="S127" s="1"/>
      <c r="T127" s="1"/>
      <c r="U127" s="1"/>
      <c r="W127" s="7"/>
      <c r="X127" s="7"/>
      <c r="Y127" s="7"/>
      <c r="Z127" s="7"/>
      <c r="AA127" s="1"/>
      <c r="AB127" s="8"/>
      <c r="AC127" s="8"/>
      <c r="AD127" s="8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F128" s="1"/>
      <c r="G128" s="1"/>
      <c r="H128" s="1"/>
      <c r="I128" s="1"/>
      <c r="J128" s="1"/>
      <c r="K128" s="1"/>
      <c r="L128" s="8"/>
      <c r="M128" s="8"/>
      <c r="N128" s="1"/>
      <c r="O128" s="1"/>
      <c r="P128" s="1"/>
      <c r="Q128" s="1"/>
      <c r="R128" s="1"/>
      <c r="S128" s="1"/>
      <c r="T128" s="1"/>
      <c r="U128" s="1"/>
      <c r="W128" s="7"/>
      <c r="X128" s="7"/>
      <c r="Y128" s="7"/>
      <c r="Z128" s="7"/>
      <c r="AA128" s="1"/>
      <c r="AB128" s="8"/>
      <c r="AC128" s="8"/>
      <c r="AD128" s="8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F129" s="1"/>
      <c r="G129" s="1"/>
      <c r="H129" s="1"/>
      <c r="I129" s="1"/>
      <c r="J129" s="1"/>
      <c r="K129" s="1"/>
      <c r="L129" s="8"/>
      <c r="M129" s="8"/>
      <c r="N129" s="1"/>
      <c r="O129" s="1"/>
      <c r="P129" s="1"/>
      <c r="Q129" s="1"/>
      <c r="R129" s="1"/>
      <c r="S129" s="1"/>
      <c r="T129" s="1"/>
      <c r="U129" s="1"/>
      <c r="W129" s="7"/>
      <c r="X129" s="7"/>
      <c r="Y129" s="7"/>
      <c r="Z129" s="7"/>
      <c r="AA129" s="1"/>
      <c r="AB129" s="8"/>
      <c r="AC129" s="8"/>
      <c r="AD129" s="8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F130" s="1"/>
      <c r="G130" s="1"/>
      <c r="H130" s="1"/>
      <c r="I130" s="1"/>
      <c r="J130" s="1"/>
      <c r="K130" s="1"/>
      <c r="L130" s="8"/>
      <c r="M130" s="8"/>
      <c r="N130" s="1"/>
      <c r="O130" s="1"/>
      <c r="P130" s="1"/>
      <c r="Q130" s="1"/>
      <c r="R130" s="1"/>
      <c r="S130" s="1"/>
      <c r="T130" s="1"/>
      <c r="U130" s="1"/>
      <c r="W130" s="7"/>
      <c r="X130" s="7"/>
      <c r="Y130" s="7"/>
      <c r="Z130" s="7"/>
      <c r="AA130" s="1"/>
      <c r="AB130" s="8"/>
      <c r="AC130" s="8"/>
      <c r="AD130" s="8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F131" s="1"/>
      <c r="G131" s="1"/>
      <c r="H131" s="1"/>
      <c r="I131" s="1"/>
      <c r="J131" s="1"/>
      <c r="K131" s="1"/>
      <c r="L131" s="8"/>
      <c r="M131" s="8"/>
      <c r="N131" s="1"/>
      <c r="O131" s="1"/>
      <c r="P131" s="1"/>
      <c r="Q131" s="1"/>
      <c r="R131" s="1"/>
      <c r="S131" s="1"/>
      <c r="T131" s="1"/>
      <c r="U131" s="1"/>
      <c r="W131" s="7"/>
      <c r="X131" s="7"/>
      <c r="Y131" s="7"/>
      <c r="Z131" s="7"/>
      <c r="AA131" s="1"/>
      <c r="AB131" s="8"/>
      <c r="AC131" s="8"/>
      <c r="AD131" s="8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F132" s="1"/>
      <c r="G132" s="1"/>
      <c r="H132" s="1"/>
      <c r="I132" s="1"/>
      <c r="J132" s="1"/>
      <c r="K132" s="1"/>
      <c r="L132" s="8"/>
      <c r="M132" s="8"/>
      <c r="N132" s="1"/>
      <c r="O132" s="1"/>
      <c r="P132" s="1"/>
      <c r="Q132" s="1"/>
      <c r="R132" s="1"/>
      <c r="S132" s="1"/>
      <c r="T132" s="1"/>
      <c r="U132" s="1"/>
      <c r="W132" s="7"/>
      <c r="X132" s="7"/>
      <c r="Y132" s="7"/>
      <c r="Z132" s="7"/>
      <c r="AA132" s="1"/>
      <c r="AB132" s="8"/>
      <c r="AC132" s="8"/>
      <c r="AD132" s="8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F133" s="1"/>
      <c r="G133" s="1"/>
      <c r="H133" s="1"/>
      <c r="I133" s="1"/>
      <c r="J133" s="1"/>
      <c r="K133" s="1"/>
      <c r="L133" s="8"/>
      <c r="M133" s="8"/>
      <c r="N133" s="1"/>
      <c r="O133" s="1"/>
      <c r="P133" s="1"/>
      <c r="Q133" s="1"/>
      <c r="R133" s="1"/>
      <c r="S133" s="1"/>
      <c r="T133" s="1"/>
      <c r="U133" s="1"/>
      <c r="W133" s="7"/>
      <c r="X133" s="7"/>
      <c r="Y133" s="7"/>
      <c r="Z133" s="7"/>
      <c r="AA133" s="1"/>
      <c r="AB133" s="8"/>
      <c r="AC133" s="8"/>
      <c r="AD133" s="8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F134" s="1"/>
      <c r="G134" s="1"/>
      <c r="H134" s="1"/>
      <c r="I134" s="1"/>
      <c r="J134" s="1"/>
      <c r="K134" s="1"/>
      <c r="L134" s="8"/>
      <c r="M134" s="8"/>
      <c r="N134" s="1"/>
      <c r="O134" s="1"/>
      <c r="P134" s="1"/>
      <c r="Q134" s="1"/>
      <c r="R134" s="1"/>
      <c r="S134" s="1"/>
      <c r="T134" s="1"/>
      <c r="U134" s="1"/>
      <c r="W134" s="7"/>
      <c r="X134" s="7"/>
      <c r="Y134" s="7"/>
      <c r="Z134" s="7"/>
      <c r="AA134" s="1"/>
      <c r="AB134" s="8"/>
      <c r="AC134" s="8"/>
      <c r="AD134" s="8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F135" s="1"/>
      <c r="G135" s="1"/>
      <c r="H135" s="1"/>
      <c r="I135" s="1"/>
      <c r="J135" s="1"/>
      <c r="K135" s="1"/>
      <c r="L135" s="8"/>
      <c r="M135" s="8"/>
      <c r="N135" s="1"/>
      <c r="O135" s="1"/>
      <c r="P135" s="1"/>
      <c r="Q135" s="1"/>
      <c r="R135" s="1"/>
      <c r="S135" s="1"/>
      <c r="T135" s="1"/>
      <c r="U135" s="1"/>
      <c r="W135" s="7"/>
      <c r="X135" s="7"/>
      <c r="Y135" s="7"/>
      <c r="Z135" s="7"/>
      <c r="AA135" s="1"/>
      <c r="AB135" s="8"/>
      <c r="AC135" s="8"/>
      <c r="AD135" s="8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F136" s="1"/>
      <c r="G136" s="1"/>
      <c r="H136" s="1"/>
      <c r="I136" s="1"/>
      <c r="J136" s="1"/>
      <c r="K136" s="1"/>
      <c r="L136" s="8"/>
      <c r="M136" s="8"/>
      <c r="N136" s="1"/>
      <c r="O136" s="1"/>
      <c r="P136" s="1"/>
      <c r="Q136" s="1"/>
      <c r="R136" s="1"/>
      <c r="S136" s="1"/>
      <c r="T136" s="1"/>
      <c r="U136" s="1"/>
      <c r="W136" s="7"/>
      <c r="X136" s="7"/>
      <c r="Y136" s="7"/>
      <c r="Z136" s="7"/>
      <c r="AA136" s="1"/>
      <c r="AB136" s="8"/>
      <c r="AC136" s="8"/>
      <c r="AD136" s="8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F137" s="1"/>
      <c r="G137" s="1"/>
      <c r="H137" s="1"/>
      <c r="I137" s="1"/>
      <c r="J137" s="1"/>
      <c r="K137" s="1"/>
      <c r="L137" s="8"/>
      <c r="M137" s="8"/>
      <c r="N137" s="1"/>
      <c r="O137" s="1"/>
      <c r="P137" s="1"/>
      <c r="Q137" s="1"/>
      <c r="R137" s="1"/>
      <c r="S137" s="1"/>
      <c r="T137" s="1"/>
      <c r="U137" s="1"/>
      <c r="W137" s="7"/>
      <c r="X137" s="7"/>
      <c r="Y137" s="7"/>
      <c r="Z137" s="7"/>
      <c r="AA137" s="1"/>
      <c r="AB137" s="8"/>
      <c r="AC137" s="8"/>
      <c r="AD137" s="8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F138" s="1"/>
      <c r="G138" s="1"/>
      <c r="H138" s="1"/>
      <c r="I138" s="1"/>
      <c r="J138" s="1"/>
      <c r="K138" s="1"/>
      <c r="L138" s="8"/>
      <c r="M138" s="8"/>
      <c r="N138" s="1"/>
      <c r="O138" s="1"/>
      <c r="P138" s="1"/>
      <c r="Q138" s="1"/>
      <c r="R138" s="1"/>
      <c r="S138" s="1"/>
      <c r="T138" s="1"/>
      <c r="U138" s="1"/>
      <c r="W138" s="7"/>
      <c r="X138" s="7"/>
      <c r="Y138" s="7"/>
      <c r="Z138" s="7"/>
      <c r="AA138" s="1"/>
      <c r="AB138" s="8"/>
      <c r="AC138" s="8"/>
      <c r="AD138" s="8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F139" s="1"/>
      <c r="G139" s="1"/>
      <c r="H139" s="1"/>
      <c r="I139" s="1"/>
      <c r="J139" s="1"/>
      <c r="K139" s="1"/>
      <c r="L139" s="8"/>
      <c r="M139" s="8"/>
      <c r="N139" s="1"/>
      <c r="O139" s="1"/>
      <c r="P139" s="1"/>
      <c r="Q139" s="1"/>
      <c r="R139" s="1"/>
      <c r="S139" s="1"/>
      <c r="T139" s="1"/>
      <c r="U139" s="1"/>
      <c r="W139" s="7"/>
      <c r="X139" s="7"/>
      <c r="Y139" s="7"/>
      <c r="Z139" s="7"/>
      <c r="AA139" s="1"/>
      <c r="AB139" s="8"/>
      <c r="AC139" s="8"/>
      <c r="AD139" s="8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F140" s="1"/>
      <c r="G140" s="1"/>
      <c r="H140" s="1"/>
      <c r="I140" s="1"/>
      <c r="J140" s="1"/>
      <c r="K140" s="1"/>
      <c r="L140" s="8"/>
      <c r="M140" s="8"/>
      <c r="N140" s="1"/>
      <c r="O140" s="1"/>
      <c r="P140" s="1"/>
      <c r="Q140" s="1"/>
      <c r="R140" s="1"/>
      <c r="S140" s="1"/>
      <c r="T140" s="1"/>
      <c r="U140" s="1"/>
      <c r="W140" s="7"/>
      <c r="X140" s="7"/>
      <c r="Y140" s="7"/>
      <c r="Z140" s="7"/>
      <c r="AA140" s="1"/>
      <c r="AB140" s="8"/>
      <c r="AC140" s="8"/>
      <c r="AD140" s="8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F141" s="1"/>
      <c r="G141" s="1"/>
      <c r="H141" s="1"/>
      <c r="I141" s="1"/>
      <c r="J141" s="1"/>
      <c r="K141" s="1"/>
      <c r="L141" s="8"/>
      <c r="M141" s="8"/>
      <c r="N141" s="1"/>
      <c r="O141" s="1"/>
      <c r="P141" s="1"/>
      <c r="Q141" s="1"/>
      <c r="R141" s="1"/>
      <c r="S141" s="1"/>
      <c r="T141" s="1"/>
      <c r="U141" s="1"/>
      <c r="W141" s="7"/>
      <c r="X141" s="7"/>
      <c r="Y141" s="7"/>
      <c r="Z141" s="7"/>
      <c r="AA141" s="1"/>
      <c r="AB141" s="8"/>
      <c r="AC141" s="8"/>
      <c r="AD141" s="8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F142" s="1"/>
      <c r="G142" s="1"/>
      <c r="H142" s="1"/>
      <c r="I142" s="1"/>
      <c r="J142" s="1"/>
      <c r="K142" s="1"/>
      <c r="L142" s="8"/>
      <c r="M142" s="8"/>
      <c r="N142" s="1"/>
      <c r="O142" s="1"/>
      <c r="P142" s="1"/>
      <c r="Q142" s="1"/>
      <c r="R142" s="1"/>
      <c r="S142" s="1"/>
      <c r="T142" s="1"/>
      <c r="U142" s="1"/>
      <c r="W142" s="7"/>
      <c r="X142" s="7"/>
      <c r="Y142" s="7"/>
      <c r="Z142" s="7"/>
      <c r="AA142" s="1"/>
      <c r="AB142" s="8"/>
      <c r="AC142" s="8"/>
      <c r="AD142" s="8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F143" s="1"/>
      <c r="G143" s="1"/>
      <c r="H143" s="1"/>
      <c r="I143" s="1"/>
      <c r="J143" s="1"/>
      <c r="K143" s="1"/>
      <c r="L143" s="8"/>
      <c r="M143" s="8"/>
      <c r="N143" s="1"/>
      <c r="O143" s="1"/>
      <c r="P143" s="1"/>
      <c r="Q143" s="1"/>
      <c r="R143" s="1"/>
      <c r="S143" s="1"/>
      <c r="T143" s="1"/>
      <c r="U143" s="1"/>
      <c r="W143" s="7"/>
      <c r="X143" s="7"/>
      <c r="Y143" s="7"/>
      <c r="Z143" s="7"/>
      <c r="AA143" s="1"/>
      <c r="AB143" s="8"/>
      <c r="AC143" s="8"/>
      <c r="AD143" s="8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F144" s="1"/>
      <c r="G144" s="1"/>
      <c r="H144" s="1"/>
      <c r="I144" s="1"/>
      <c r="J144" s="1"/>
      <c r="K144" s="1"/>
      <c r="L144" s="8"/>
      <c r="M144" s="8"/>
      <c r="N144" s="1"/>
      <c r="O144" s="1"/>
      <c r="P144" s="1"/>
      <c r="Q144" s="1"/>
      <c r="R144" s="1"/>
      <c r="S144" s="1"/>
      <c r="T144" s="1"/>
      <c r="U144" s="1"/>
      <c r="W144" s="7"/>
      <c r="X144" s="7"/>
      <c r="Y144" s="7"/>
      <c r="Z144" s="7"/>
      <c r="AA144" s="1"/>
      <c r="AB144" s="8"/>
      <c r="AC144" s="8"/>
      <c r="AD144" s="8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F145" s="1"/>
      <c r="G145" s="1"/>
      <c r="H145" s="1"/>
      <c r="I145" s="1"/>
      <c r="J145" s="1"/>
      <c r="K145" s="1"/>
      <c r="L145" s="8"/>
      <c r="M145" s="8"/>
      <c r="N145" s="1"/>
      <c r="O145" s="1"/>
      <c r="P145" s="1"/>
      <c r="Q145" s="1"/>
      <c r="R145" s="1"/>
      <c r="S145" s="1"/>
      <c r="T145" s="1"/>
      <c r="U145" s="1"/>
      <c r="W145" s="7"/>
      <c r="X145" s="7"/>
      <c r="Y145" s="7"/>
      <c r="Z145" s="7"/>
      <c r="AA145" s="1"/>
      <c r="AB145" s="8"/>
      <c r="AC145" s="8"/>
      <c r="AD145" s="8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F146" s="1"/>
      <c r="G146" s="1"/>
      <c r="H146" s="1"/>
      <c r="I146" s="1"/>
      <c r="J146" s="1"/>
      <c r="K146" s="1"/>
      <c r="L146" s="8"/>
      <c r="M146" s="8"/>
      <c r="N146" s="1"/>
      <c r="O146" s="1"/>
      <c r="P146" s="1"/>
      <c r="Q146" s="1"/>
      <c r="R146" s="1"/>
      <c r="S146" s="1"/>
      <c r="T146" s="1"/>
      <c r="U146" s="1"/>
      <c r="W146" s="7"/>
      <c r="X146" s="7"/>
      <c r="Y146" s="7"/>
      <c r="Z146" s="7"/>
      <c r="AA146" s="1"/>
      <c r="AB146" s="8"/>
      <c r="AC146" s="8"/>
      <c r="AD146" s="8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F147" s="1"/>
      <c r="G147" s="1"/>
      <c r="H147" s="1"/>
      <c r="I147" s="1"/>
      <c r="J147" s="1"/>
      <c r="K147" s="1"/>
      <c r="L147" s="8"/>
      <c r="M147" s="8"/>
      <c r="N147" s="1"/>
      <c r="O147" s="1"/>
      <c r="P147" s="1"/>
      <c r="Q147" s="1"/>
      <c r="R147" s="1"/>
      <c r="S147" s="1"/>
      <c r="T147" s="1"/>
      <c r="U147" s="1"/>
      <c r="W147" s="7"/>
      <c r="X147" s="7"/>
      <c r="Y147" s="7"/>
      <c r="Z147" s="7"/>
      <c r="AA147" s="1"/>
      <c r="AB147" s="8"/>
      <c r="AC147" s="8"/>
      <c r="AD147" s="8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F148" s="1"/>
      <c r="G148" s="1"/>
      <c r="H148" s="1"/>
      <c r="I148" s="1"/>
      <c r="J148" s="1"/>
      <c r="K148" s="1"/>
      <c r="L148" s="8"/>
      <c r="M148" s="8"/>
      <c r="N148" s="1"/>
      <c r="O148" s="1"/>
      <c r="P148" s="1"/>
      <c r="Q148" s="1"/>
      <c r="R148" s="1"/>
      <c r="S148" s="1"/>
      <c r="T148" s="1"/>
      <c r="U148" s="1"/>
      <c r="W148" s="7"/>
      <c r="X148" s="7"/>
      <c r="Y148" s="7"/>
      <c r="Z148" s="7"/>
      <c r="AA148" s="1"/>
      <c r="AB148" s="8"/>
      <c r="AC148" s="8"/>
      <c r="AD148" s="8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F149" s="1"/>
      <c r="G149" s="1"/>
      <c r="H149" s="1"/>
      <c r="I149" s="1"/>
      <c r="J149" s="1"/>
      <c r="K149" s="1"/>
      <c r="L149" s="8"/>
      <c r="M149" s="8"/>
      <c r="N149" s="1"/>
      <c r="O149" s="1"/>
      <c r="P149" s="1"/>
      <c r="Q149" s="1"/>
      <c r="R149" s="1"/>
      <c r="S149" s="1"/>
      <c r="T149" s="1"/>
      <c r="U149" s="1"/>
      <c r="W149" s="7"/>
      <c r="X149" s="7"/>
      <c r="Y149" s="7"/>
      <c r="Z149" s="7"/>
      <c r="AA149" s="1"/>
      <c r="AB149" s="8"/>
      <c r="AC149" s="8"/>
      <c r="AD149" s="8"/>
      <c r="AE149" s="1"/>
      <c r="AF149" s="1"/>
      <c r="AG149" s="1"/>
      <c r="AH149" s="1"/>
      <c r="AI149" s="1"/>
    </row>
    <row r="150" spans="1:35" ht="13.15" customHeight="1" x14ac:dyDescent="0.25">
      <c r="A150" s="1"/>
      <c r="B150" s="1"/>
      <c r="C150" s="1"/>
      <c r="D150" s="1"/>
      <c r="F150" s="1"/>
      <c r="G150" s="1"/>
      <c r="H150" s="1"/>
      <c r="I150" s="1"/>
      <c r="J150" s="1"/>
      <c r="K150" s="1"/>
      <c r="L150" s="8"/>
      <c r="M150" s="8"/>
      <c r="N150" s="1"/>
      <c r="O150" s="1"/>
      <c r="P150" s="1"/>
      <c r="Q150" s="1"/>
      <c r="R150" s="1"/>
      <c r="S150" s="1"/>
      <c r="T150" s="1"/>
      <c r="U150" s="1"/>
      <c r="W150" s="7"/>
      <c r="X150" s="7"/>
      <c r="Y150" s="7"/>
      <c r="Z150" s="7"/>
      <c r="AA150" s="1"/>
      <c r="AB150" s="8"/>
      <c r="AC150" s="8"/>
      <c r="AD150" s="8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F151" s="1"/>
      <c r="G151" s="1"/>
      <c r="H151" s="1"/>
      <c r="I151" s="1"/>
      <c r="J151" s="1"/>
      <c r="K151" s="1"/>
      <c r="L151" s="8"/>
      <c r="M151" s="8"/>
      <c r="N151" s="1"/>
      <c r="O151" s="1"/>
      <c r="P151" s="1"/>
      <c r="Q151" s="1"/>
      <c r="R151" s="1"/>
      <c r="S151" s="1"/>
      <c r="T151" s="1"/>
      <c r="U151" s="1"/>
      <c r="W151" s="7"/>
      <c r="X151" s="7"/>
      <c r="Y151" s="7"/>
      <c r="Z151" s="7"/>
      <c r="AA151" s="1"/>
      <c r="AB151" s="8"/>
      <c r="AC151" s="8"/>
      <c r="AD151" s="8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F152" s="1"/>
      <c r="G152" s="1"/>
      <c r="H152" s="1"/>
      <c r="I152" s="1"/>
      <c r="J152" s="1"/>
      <c r="K152" s="1"/>
      <c r="L152" s="8"/>
      <c r="M152" s="8"/>
      <c r="N152" s="1"/>
      <c r="O152" s="1"/>
      <c r="P152" s="1"/>
      <c r="Q152" s="1"/>
      <c r="R152" s="1"/>
      <c r="S152" s="1"/>
      <c r="T152" s="1"/>
      <c r="U152" s="1"/>
      <c r="W152" s="7"/>
      <c r="X152" s="7"/>
      <c r="Y152" s="7"/>
      <c r="Z152" s="7"/>
      <c r="AA152" s="1"/>
      <c r="AB152" s="8"/>
      <c r="AC152" s="8"/>
      <c r="AD152" s="8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F153" s="1"/>
      <c r="G153" s="1"/>
      <c r="H153" s="1"/>
      <c r="I153" s="1"/>
      <c r="J153" s="1"/>
      <c r="K153" s="1"/>
      <c r="L153" s="8"/>
      <c r="M153" s="8"/>
      <c r="N153" s="1"/>
      <c r="O153" s="1"/>
      <c r="P153" s="1"/>
      <c r="Q153" s="1"/>
      <c r="R153" s="1"/>
      <c r="S153" s="1"/>
      <c r="T153" s="1"/>
      <c r="U153" s="1"/>
      <c r="W153" s="7"/>
      <c r="X153" s="7"/>
      <c r="Y153" s="7"/>
      <c r="Z153" s="7"/>
      <c r="AA153" s="1"/>
      <c r="AB153" s="8"/>
      <c r="AC153" s="8"/>
      <c r="AD153" s="8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F154" s="1"/>
      <c r="G154" s="1"/>
      <c r="H154" s="1"/>
      <c r="I154" s="1"/>
      <c r="J154" s="1"/>
      <c r="K154" s="1"/>
      <c r="L154" s="8"/>
      <c r="M154" s="8"/>
      <c r="N154" s="1"/>
      <c r="O154" s="1"/>
      <c r="P154" s="1"/>
      <c r="Q154" s="1"/>
      <c r="R154" s="1"/>
      <c r="S154" s="1"/>
      <c r="T154" s="1"/>
      <c r="U154" s="1"/>
      <c r="W154" s="7"/>
      <c r="X154" s="7"/>
      <c r="Y154" s="7"/>
      <c r="Z154" s="7"/>
      <c r="AA154" s="1"/>
      <c r="AB154" s="8"/>
      <c r="AC154" s="8"/>
      <c r="AD154" s="8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F155" s="1"/>
      <c r="G155" s="1"/>
      <c r="H155" s="1"/>
      <c r="I155" s="1"/>
      <c r="J155" s="1"/>
      <c r="K155" s="1"/>
      <c r="L155" s="8"/>
      <c r="M155" s="8"/>
      <c r="N155" s="1"/>
      <c r="O155" s="1"/>
      <c r="P155" s="1"/>
      <c r="Q155" s="1"/>
      <c r="R155" s="1"/>
      <c r="S155" s="1"/>
      <c r="T155" s="1"/>
      <c r="U155" s="1"/>
      <c r="W155" s="7"/>
      <c r="X155" s="7"/>
      <c r="Y155" s="7"/>
      <c r="Z155" s="7"/>
      <c r="AA155" s="1"/>
      <c r="AB155" s="8"/>
      <c r="AC155" s="8"/>
      <c r="AD155" s="8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F156" s="1"/>
      <c r="G156" s="1"/>
      <c r="H156" s="1"/>
      <c r="I156" s="1"/>
      <c r="J156" s="1"/>
      <c r="K156" s="1"/>
      <c r="L156" s="8"/>
      <c r="M156" s="8"/>
      <c r="N156" s="1"/>
      <c r="O156" s="1"/>
      <c r="P156" s="1"/>
      <c r="Q156" s="1"/>
      <c r="R156" s="1"/>
      <c r="S156" s="1"/>
      <c r="T156" s="1"/>
      <c r="U156" s="1"/>
      <c r="W156" s="7"/>
      <c r="X156" s="7"/>
      <c r="Y156" s="7"/>
      <c r="Z156" s="7"/>
      <c r="AA156" s="1"/>
      <c r="AB156" s="8"/>
      <c r="AC156" s="8"/>
      <c r="AD156" s="8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F157" s="1"/>
      <c r="G157" s="1"/>
      <c r="H157" s="1"/>
      <c r="I157" s="1"/>
      <c r="J157" s="1"/>
      <c r="K157" s="1"/>
      <c r="L157" s="8"/>
      <c r="M157" s="8"/>
      <c r="N157" s="1"/>
      <c r="O157" s="1"/>
      <c r="P157" s="1"/>
      <c r="Q157" s="1"/>
      <c r="R157" s="1"/>
      <c r="S157" s="1"/>
      <c r="T157" s="1"/>
      <c r="U157" s="1"/>
      <c r="W157" s="7"/>
      <c r="X157" s="7"/>
      <c r="Y157" s="7"/>
      <c r="Z157" s="7"/>
      <c r="AA157" s="1"/>
      <c r="AB157" s="8"/>
      <c r="AC157" s="8"/>
      <c r="AD157" s="8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F158" s="1"/>
      <c r="G158" s="1"/>
      <c r="H158" s="1"/>
      <c r="I158" s="1"/>
      <c r="J158" s="1"/>
      <c r="K158" s="1"/>
      <c r="L158" s="8"/>
      <c r="M158" s="8"/>
      <c r="N158" s="1"/>
      <c r="O158" s="1"/>
      <c r="P158" s="1"/>
      <c r="Q158" s="1"/>
      <c r="R158" s="1"/>
      <c r="S158" s="1"/>
      <c r="T158" s="1"/>
      <c r="U158" s="1"/>
      <c r="W158" s="7"/>
      <c r="X158" s="7"/>
      <c r="Y158" s="7"/>
      <c r="Z158" s="7"/>
      <c r="AA158" s="1"/>
      <c r="AB158" s="8"/>
      <c r="AC158" s="8"/>
      <c r="AD158" s="8"/>
      <c r="AE158" s="1"/>
      <c r="AF158" s="1"/>
      <c r="AG158" s="1"/>
      <c r="AH158" s="1"/>
      <c r="AI158" s="1"/>
    </row>
    <row r="159" spans="1:35" ht="13.9" customHeight="1" x14ac:dyDescent="0.25">
      <c r="A159" s="1"/>
      <c r="B159" s="1"/>
      <c r="C159" s="1"/>
      <c r="D159" s="1"/>
      <c r="F159" s="1"/>
      <c r="G159" s="1"/>
      <c r="H159" s="1"/>
      <c r="I159" s="1"/>
      <c r="J159" s="1"/>
      <c r="K159" s="1"/>
      <c r="L159" s="8"/>
      <c r="M159" s="8"/>
      <c r="N159" s="1"/>
      <c r="O159" s="1"/>
      <c r="P159" s="1"/>
      <c r="Q159" s="1"/>
      <c r="R159" s="1"/>
      <c r="S159" s="1"/>
      <c r="T159" s="1"/>
      <c r="U159" s="1"/>
      <c r="W159" s="7"/>
      <c r="X159" s="7"/>
      <c r="Y159" s="7"/>
      <c r="Z159" s="7"/>
      <c r="AA159" s="1"/>
      <c r="AB159" s="8"/>
      <c r="AC159" s="8"/>
      <c r="AD159" s="8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F160" s="1"/>
      <c r="G160" s="1"/>
      <c r="H160" s="1"/>
      <c r="I160" s="1"/>
      <c r="J160" s="1"/>
      <c r="K160" s="1"/>
      <c r="L160" s="8"/>
      <c r="M160" s="8"/>
      <c r="N160" s="1"/>
      <c r="O160" s="1"/>
      <c r="P160" s="1"/>
      <c r="Q160" s="1"/>
      <c r="R160" s="1"/>
      <c r="S160" s="1"/>
      <c r="T160" s="1"/>
      <c r="U160" s="1"/>
      <c r="W160" s="7"/>
      <c r="X160" s="7"/>
      <c r="Y160" s="7"/>
      <c r="Z160" s="7"/>
      <c r="AA160" s="1"/>
      <c r="AB160" s="8"/>
      <c r="AC160" s="8"/>
      <c r="AD160" s="8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F161" s="1"/>
      <c r="G161" s="1"/>
      <c r="H161" s="1"/>
      <c r="I161" s="1"/>
      <c r="J161" s="1"/>
      <c r="K161" s="1"/>
      <c r="L161" s="8"/>
      <c r="M161" s="8"/>
      <c r="N161" s="1"/>
      <c r="O161" s="1"/>
      <c r="P161" s="1"/>
      <c r="Q161" s="1"/>
      <c r="R161" s="1"/>
      <c r="S161" s="1"/>
      <c r="T161" s="1"/>
      <c r="U161" s="1"/>
      <c r="W161" s="7"/>
      <c r="X161" s="7"/>
      <c r="Y161" s="7"/>
      <c r="Z161" s="7"/>
      <c r="AA161" s="1"/>
      <c r="AB161" s="8"/>
      <c r="AC161" s="8"/>
      <c r="AD161" s="8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F162" s="1"/>
      <c r="G162" s="1"/>
      <c r="H162" s="1"/>
      <c r="I162" s="1"/>
      <c r="J162" s="1"/>
      <c r="K162" s="1"/>
      <c r="L162" s="8"/>
      <c r="M162" s="8"/>
      <c r="N162" s="1"/>
      <c r="O162" s="1"/>
      <c r="P162" s="1"/>
      <c r="Q162" s="1"/>
      <c r="R162" s="1"/>
      <c r="S162" s="1"/>
      <c r="T162" s="1"/>
      <c r="U162" s="1"/>
      <c r="W162" s="7"/>
      <c r="X162" s="7"/>
      <c r="Y162" s="7"/>
      <c r="Z162" s="7"/>
      <c r="AA162" s="1"/>
      <c r="AB162" s="8"/>
      <c r="AC162" s="8"/>
      <c r="AD162" s="8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F163" s="1"/>
      <c r="G163" s="1"/>
      <c r="H163" s="1"/>
      <c r="I163" s="1"/>
      <c r="J163" s="1"/>
      <c r="K163" s="1"/>
      <c r="L163" s="8"/>
      <c r="M163" s="8"/>
      <c r="N163" s="1"/>
      <c r="O163" s="1"/>
      <c r="P163" s="1"/>
      <c r="Q163" s="1"/>
      <c r="R163" s="1"/>
      <c r="S163" s="1"/>
      <c r="T163" s="1"/>
      <c r="U163" s="1"/>
      <c r="W163" s="7"/>
      <c r="X163" s="7"/>
      <c r="Y163" s="7"/>
      <c r="Z163" s="7"/>
      <c r="AA163" s="1"/>
      <c r="AB163" s="8"/>
      <c r="AC163" s="8"/>
      <c r="AD163" s="8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F164" s="1"/>
      <c r="G164" s="1"/>
      <c r="H164" s="1"/>
      <c r="I164" s="1"/>
      <c r="J164" s="1"/>
      <c r="K164" s="1"/>
      <c r="L164" s="8"/>
      <c r="M164" s="8"/>
      <c r="N164" s="1"/>
      <c r="O164" s="1"/>
      <c r="P164" s="1"/>
      <c r="Q164" s="1"/>
      <c r="R164" s="1"/>
      <c r="S164" s="1"/>
      <c r="T164" s="1"/>
      <c r="U164" s="1"/>
      <c r="W164" s="7"/>
      <c r="X164" s="7"/>
      <c r="Y164" s="7"/>
      <c r="Z164" s="7"/>
      <c r="AA164" s="1"/>
      <c r="AB164" s="8"/>
      <c r="AC164" s="8"/>
      <c r="AD164" s="8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F165" s="1"/>
      <c r="G165" s="1"/>
      <c r="H165" s="1"/>
      <c r="I165" s="1"/>
      <c r="J165" s="1"/>
      <c r="K165" s="1"/>
      <c r="L165" s="8"/>
      <c r="M165" s="8"/>
      <c r="N165" s="1"/>
      <c r="O165" s="1"/>
      <c r="P165" s="1"/>
      <c r="Q165" s="1"/>
      <c r="R165" s="1"/>
      <c r="S165" s="1"/>
      <c r="T165" s="1"/>
      <c r="U165" s="1"/>
      <c r="W165" s="7"/>
      <c r="X165" s="7"/>
      <c r="Y165" s="7"/>
      <c r="Z165" s="7"/>
      <c r="AA165" s="1"/>
      <c r="AB165" s="8"/>
      <c r="AC165" s="8"/>
      <c r="AD165" s="8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F166" s="1"/>
      <c r="G166" s="1"/>
      <c r="H166" s="1"/>
      <c r="I166" s="1"/>
      <c r="J166" s="1"/>
      <c r="K166" s="1"/>
      <c r="L166" s="8"/>
      <c r="M166" s="8"/>
      <c r="N166" s="1"/>
      <c r="O166" s="1"/>
      <c r="P166" s="1"/>
      <c r="Q166" s="1"/>
      <c r="R166" s="1"/>
      <c r="S166" s="1"/>
      <c r="T166" s="1"/>
      <c r="U166" s="1"/>
      <c r="W166" s="7"/>
      <c r="X166" s="7"/>
      <c r="Y166" s="7"/>
      <c r="Z166" s="7"/>
      <c r="AA166" s="1"/>
      <c r="AB166" s="8"/>
      <c r="AC166" s="8"/>
      <c r="AD166" s="8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F167" s="1"/>
      <c r="G167" s="1"/>
      <c r="H167" s="1"/>
      <c r="I167" s="1"/>
      <c r="J167" s="1"/>
      <c r="K167" s="1"/>
      <c r="L167" s="8"/>
      <c r="M167" s="8"/>
      <c r="N167" s="1"/>
      <c r="O167" s="1"/>
      <c r="P167" s="1"/>
      <c r="Q167" s="1"/>
      <c r="R167" s="1"/>
      <c r="S167" s="1"/>
      <c r="T167" s="1"/>
      <c r="U167" s="1"/>
      <c r="W167" s="7"/>
      <c r="X167" s="7"/>
      <c r="Y167" s="7"/>
      <c r="Z167" s="7"/>
      <c r="AA167" s="1"/>
      <c r="AB167" s="8"/>
      <c r="AC167" s="8"/>
      <c r="AD167" s="8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F168" s="1"/>
      <c r="G168" s="1"/>
      <c r="H168" s="1"/>
      <c r="I168" s="1"/>
      <c r="J168" s="1"/>
      <c r="K168" s="1"/>
      <c r="L168" s="8"/>
      <c r="M168" s="8"/>
      <c r="N168" s="1"/>
      <c r="O168" s="1"/>
      <c r="P168" s="1"/>
      <c r="Q168" s="1"/>
      <c r="R168" s="1"/>
      <c r="S168" s="1"/>
      <c r="T168" s="1"/>
      <c r="U168" s="1"/>
      <c r="W168" s="7"/>
      <c r="X168" s="7"/>
      <c r="Y168" s="7"/>
      <c r="Z168" s="7"/>
      <c r="AA168" s="1"/>
      <c r="AB168" s="8"/>
      <c r="AC168" s="8"/>
      <c r="AD168" s="8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F169" s="1"/>
      <c r="G169" s="1"/>
      <c r="H169" s="1"/>
      <c r="I169" s="1"/>
      <c r="J169" s="1"/>
      <c r="K169" s="1"/>
      <c r="L169" s="8"/>
      <c r="M169" s="8"/>
      <c r="N169" s="1"/>
      <c r="O169" s="1"/>
      <c r="P169" s="1"/>
      <c r="Q169" s="1"/>
      <c r="R169" s="1"/>
      <c r="S169" s="1"/>
      <c r="T169" s="1"/>
      <c r="U169" s="1"/>
      <c r="W169" s="7"/>
      <c r="X169" s="7"/>
      <c r="Y169" s="7"/>
      <c r="Z169" s="7"/>
      <c r="AA169" s="1"/>
      <c r="AB169" s="8"/>
      <c r="AC169" s="8"/>
      <c r="AD169" s="8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F170" s="1"/>
      <c r="G170" s="1"/>
      <c r="H170" s="1"/>
      <c r="I170" s="1"/>
      <c r="J170" s="1"/>
      <c r="K170" s="1"/>
      <c r="L170" s="8"/>
      <c r="M170" s="8"/>
      <c r="N170" s="1"/>
      <c r="O170" s="1"/>
      <c r="P170" s="1"/>
      <c r="Q170" s="1"/>
      <c r="R170" s="1"/>
      <c r="S170" s="1"/>
      <c r="T170" s="1"/>
      <c r="U170" s="1"/>
      <c r="W170" s="7"/>
      <c r="X170" s="7"/>
      <c r="Y170" s="7"/>
      <c r="Z170" s="7"/>
      <c r="AA170" s="1"/>
      <c r="AB170" s="8"/>
      <c r="AC170" s="8"/>
      <c r="AD170" s="8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F171" s="1"/>
      <c r="G171" s="1"/>
      <c r="H171" s="1"/>
      <c r="I171" s="1"/>
      <c r="J171" s="1"/>
      <c r="K171" s="1"/>
      <c r="L171" s="8"/>
      <c r="M171" s="8"/>
      <c r="N171" s="1"/>
      <c r="O171" s="1"/>
      <c r="P171" s="1"/>
      <c r="Q171" s="1"/>
      <c r="R171" s="1"/>
      <c r="S171" s="1"/>
      <c r="T171" s="1"/>
      <c r="U171" s="1"/>
      <c r="W171" s="7"/>
      <c r="X171" s="7"/>
      <c r="Y171" s="7"/>
      <c r="Z171" s="7"/>
      <c r="AA171" s="1"/>
      <c r="AB171" s="8"/>
      <c r="AC171" s="8"/>
      <c r="AD171" s="8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F172" s="1"/>
      <c r="G172" s="1"/>
      <c r="H172" s="1"/>
      <c r="I172" s="1"/>
      <c r="J172" s="1"/>
      <c r="K172" s="1"/>
      <c r="L172" s="8"/>
      <c r="M172" s="8"/>
      <c r="N172" s="1"/>
      <c r="O172" s="1"/>
      <c r="P172" s="1"/>
      <c r="Q172" s="1"/>
      <c r="R172" s="1"/>
      <c r="S172" s="1"/>
      <c r="T172" s="1"/>
      <c r="U172" s="1"/>
      <c r="W172" s="7"/>
      <c r="X172" s="7"/>
      <c r="Y172" s="7"/>
      <c r="Z172" s="7"/>
      <c r="AA172" s="1"/>
      <c r="AB172" s="8"/>
      <c r="AC172" s="8"/>
      <c r="AD172" s="8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F173" s="1"/>
      <c r="G173" s="1"/>
      <c r="H173" s="1"/>
      <c r="I173" s="1"/>
      <c r="J173" s="1"/>
      <c r="K173" s="1"/>
      <c r="L173" s="8"/>
      <c r="M173" s="8"/>
      <c r="N173" s="1"/>
      <c r="O173" s="1"/>
      <c r="P173" s="1"/>
      <c r="Q173" s="1"/>
      <c r="R173" s="1"/>
      <c r="S173" s="1"/>
      <c r="T173" s="1"/>
      <c r="U173" s="1"/>
      <c r="W173" s="7"/>
      <c r="X173" s="7"/>
      <c r="Y173" s="7"/>
      <c r="Z173" s="7"/>
      <c r="AA173" s="1"/>
      <c r="AB173" s="8"/>
      <c r="AC173" s="8"/>
      <c r="AD173" s="8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F174" s="1"/>
      <c r="G174" s="1"/>
      <c r="H174" s="1"/>
      <c r="I174" s="1"/>
      <c r="J174" s="1"/>
      <c r="K174" s="1"/>
      <c r="L174" s="8"/>
      <c r="M174" s="8"/>
      <c r="N174" s="1"/>
      <c r="O174" s="1"/>
      <c r="P174" s="1"/>
      <c r="Q174" s="1"/>
      <c r="R174" s="1"/>
      <c r="S174" s="1"/>
      <c r="T174" s="1"/>
      <c r="U174" s="1"/>
      <c r="W174" s="7"/>
      <c r="X174" s="7"/>
      <c r="Y174" s="7"/>
      <c r="Z174" s="7"/>
      <c r="AA174" s="1"/>
      <c r="AB174" s="8"/>
      <c r="AC174" s="8"/>
      <c r="AD174" s="8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F175" s="1"/>
      <c r="G175" s="1"/>
      <c r="H175" s="1"/>
      <c r="I175" s="1"/>
      <c r="J175" s="1"/>
      <c r="K175" s="1"/>
      <c r="L175" s="8"/>
      <c r="M175" s="8"/>
      <c r="N175" s="1"/>
      <c r="O175" s="1"/>
      <c r="P175" s="1"/>
      <c r="Q175" s="1"/>
      <c r="R175" s="1"/>
      <c r="S175" s="1"/>
      <c r="T175" s="1"/>
      <c r="U175" s="1"/>
      <c r="W175" s="7"/>
      <c r="X175" s="7"/>
      <c r="Y175" s="7"/>
      <c r="Z175" s="7"/>
      <c r="AA175" s="1"/>
      <c r="AB175" s="8"/>
      <c r="AC175" s="8"/>
      <c r="AD175" s="8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F176" s="1"/>
      <c r="G176" s="1"/>
      <c r="H176" s="1"/>
      <c r="I176" s="1"/>
      <c r="J176" s="1"/>
      <c r="K176" s="1"/>
      <c r="L176" s="8"/>
      <c r="M176" s="8"/>
      <c r="N176" s="1"/>
      <c r="O176" s="1"/>
      <c r="P176" s="1"/>
      <c r="Q176" s="1"/>
      <c r="R176" s="1"/>
      <c r="S176" s="1"/>
      <c r="T176" s="1"/>
      <c r="U176" s="1"/>
      <c r="W176" s="7"/>
      <c r="X176" s="7"/>
      <c r="Y176" s="7"/>
      <c r="Z176" s="7"/>
      <c r="AA176" s="1"/>
      <c r="AB176" s="8"/>
      <c r="AC176" s="8"/>
      <c r="AD176" s="8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F177" s="1"/>
      <c r="G177" s="1"/>
      <c r="H177" s="1"/>
      <c r="I177" s="1"/>
      <c r="J177" s="1"/>
      <c r="K177" s="1"/>
      <c r="L177" s="8"/>
      <c r="M177" s="8"/>
      <c r="N177" s="1"/>
      <c r="O177" s="1"/>
      <c r="P177" s="1"/>
      <c r="Q177" s="1"/>
      <c r="R177" s="1"/>
      <c r="S177" s="1"/>
      <c r="T177" s="1"/>
      <c r="U177" s="1"/>
      <c r="W177" s="7"/>
      <c r="X177" s="7"/>
      <c r="Y177" s="7"/>
      <c r="Z177" s="7"/>
      <c r="AA177" s="1"/>
      <c r="AB177" s="8"/>
      <c r="AC177" s="8"/>
      <c r="AD177" s="8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F178" s="1"/>
      <c r="G178" s="1"/>
      <c r="H178" s="1"/>
      <c r="I178" s="1"/>
      <c r="J178" s="1"/>
      <c r="K178" s="1"/>
      <c r="L178" s="8"/>
      <c r="M178" s="8"/>
      <c r="N178" s="1"/>
      <c r="O178" s="1"/>
      <c r="P178" s="1"/>
      <c r="Q178" s="1"/>
      <c r="R178" s="1"/>
      <c r="S178" s="1"/>
      <c r="T178" s="1"/>
      <c r="U178" s="1"/>
      <c r="W178" s="7"/>
      <c r="X178" s="7"/>
      <c r="Y178" s="7"/>
      <c r="Z178" s="7"/>
      <c r="AA178" s="1"/>
      <c r="AB178" s="8"/>
      <c r="AC178" s="8"/>
      <c r="AD178" s="8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8"/>
      <c r="M179" s="8"/>
      <c r="N179" s="1"/>
      <c r="O179" s="1"/>
      <c r="P179" s="1"/>
      <c r="Q179" s="1"/>
      <c r="R179" s="1"/>
      <c r="S179" s="1"/>
      <c r="T179" s="1"/>
      <c r="U179" s="1"/>
      <c r="V179" s="1"/>
      <c r="W179" s="7"/>
      <c r="X179" s="7"/>
      <c r="Y179" s="7"/>
      <c r="Z179" s="7"/>
      <c r="AA179" s="1"/>
      <c r="AB179" s="8"/>
      <c r="AC179" s="8"/>
      <c r="AD179" s="8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8"/>
      <c r="M180" s="8"/>
      <c r="N180" s="1"/>
      <c r="O180" s="1"/>
      <c r="P180" s="1"/>
      <c r="Q180" s="1"/>
      <c r="R180" s="1"/>
      <c r="S180" s="1"/>
      <c r="T180" s="1"/>
      <c r="U180" s="1"/>
      <c r="V180" s="1"/>
      <c r="W180" s="7"/>
      <c r="X180" s="7"/>
      <c r="Y180" s="7"/>
      <c r="Z180" s="7"/>
      <c r="AA180" s="1"/>
      <c r="AB180" s="8"/>
      <c r="AC180" s="8"/>
      <c r="AD180" s="8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8"/>
      <c r="M181" s="8"/>
      <c r="N181" s="1"/>
      <c r="O181" s="1"/>
      <c r="P181" s="1"/>
      <c r="Q181" s="1"/>
      <c r="R181" s="1"/>
      <c r="S181" s="1"/>
      <c r="T181" s="1"/>
      <c r="U181" s="1"/>
      <c r="V181" s="1"/>
      <c r="W181" s="7"/>
      <c r="X181" s="7"/>
      <c r="Y181" s="7"/>
      <c r="Z181" s="7"/>
      <c r="AA181" s="1"/>
      <c r="AB181" s="8"/>
      <c r="AC181" s="8"/>
      <c r="AD181" s="8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8"/>
      <c r="M182" s="8"/>
      <c r="N182" s="1"/>
      <c r="O182" s="1"/>
      <c r="P182" s="1"/>
      <c r="Q182" s="1"/>
      <c r="R182" s="1"/>
      <c r="S182" s="1"/>
      <c r="T182" s="1"/>
      <c r="U182" s="1"/>
      <c r="V182" s="1"/>
      <c r="W182" s="7"/>
      <c r="X182" s="7"/>
      <c r="Y182" s="7"/>
      <c r="Z182" s="7"/>
      <c r="AA182" s="1"/>
      <c r="AB182" s="8"/>
      <c r="AC182" s="8"/>
      <c r="AD182" s="8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8"/>
      <c r="M183" s="8"/>
      <c r="N183" s="1"/>
      <c r="O183" s="1"/>
      <c r="P183" s="1"/>
      <c r="Q183" s="1"/>
      <c r="R183" s="1"/>
      <c r="S183" s="1"/>
      <c r="T183" s="1"/>
      <c r="U183" s="1"/>
      <c r="V183" s="1"/>
      <c r="W183" s="7"/>
      <c r="X183" s="7"/>
      <c r="Y183" s="7"/>
      <c r="Z183" s="7"/>
      <c r="AA183" s="1"/>
      <c r="AB183" s="8"/>
      <c r="AC183" s="8"/>
      <c r="AD183" s="8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8"/>
      <c r="M184" s="8"/>
      <c r="N184" s="1"/>
      <c r="O184" s="1"/>
      <c r="P184" s="1"/>
      <c r="Q184" s="1"/>
      <c r="R184" s="1"/>
      <c r="S184" s="1"/>
      <c r="T184" s="1"/>
      <c r="U184" s="1"/>
      <c r="V184" s="1"/>
      <c r="W184" s="7"/>
      <c r="X184" s="7"/>
      <c r="Y184" s="7"/>
      <c r="Z184" s="7"/>
      <c r="AA184" s="1"/>
      <c r="AB184" s="8"/>
      <c r="AC184" s="8"/>
      <c r="AD184" s="8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8"/>
      <c r="M185" s="8"/>
      <c r="N185" s="1"/>
      <c r="O185" s="1"/>
      <c r="P185" s="1"/>
      <c r="Q185" s="1"/>
      <c r="R185" s="1"/>
      <c r="S185" s="1"/>
      <c r="T185" s="1"/>
      <c r="U185" s="1"/>
      <c r="V185" s="1"/>
      <c r="W185" s="7"/>
      <c r="X185" s="7"/>
      <c r="Y185" s="7"/>
      <c r="Z185" s="7"/>
      <c r="AA185" s="1"/>
      <c r="AB185" s="8"/>
      <c r="AC185" s="8"/>
      <c r="AD185" s="8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8"/>
      <c r="M186" s="8"/>
      <c r="N186" s="1"/>
      <c r="O186" s="1"/>
      <c r="P186" s="1"/>
      <c r="Q186" s="1"/>
      <c r="R186" s="1"/>
      <c r="S186" s="1"/>
      <c r="T186" s="1"/>
      <c r="U186" s="1"/>
      <c r="V186" s="1"/>
      <c r="W186" s="7"/>
      <c r="X186" s="7"/>
      <c r="Y186" s="7"/>
      <c r="Z186" s="7"/>
      <c r="AA186" s="1"/>
      <c r="AB186" s="8"/>
      <c r="AC186" s="8"/>
      <c r="AD186" s="8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8"/>
      <c r="M187" s="8"/>
      <c r="N187" s="1"/>
      <c r="O187" s="1"/>
      <c r="P187" s="1"/>
      <c r="Q187" s="1"/>
      <c r="R187" s="1"/>
      <c r="S187" s="1"/>
      <c r="T187" s="1"/>
      <c r="U187" s="1"/>
      <c r="V187" s="1"/>
      <c r="W187" s="7"/>
      <c r="X187" s="7"/>
      <c r="Y187" s="7"/>
      <c r="Z187" s="7"/>
      <c r="AA187" s="1"/>
      <c r="AB187" s="8"/>
      <c r="AC187" s="8"/>
      <c r="AD187" s="8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8"/>
      <c r="M188" s="8"/>
      <c r="N188" s="1"/>
      <c r="O188" s="1"/>
      <c r="P188" s="1"/>
      <c r="Q188" s="1"/>
      <c r="R188" s="1"/>
      <c r="S188" s="1"/>
      <c r="T188" s="1"/>
      <c r="U188" s="1"/>
      <c r="V188" s="1"/>
      <c r="W188" s="7"/>
      <c r="X188" s="7"/>
      <c r="Y188" s="7"/>
      <c r="Z188" s="7"/>
      <c r="AA188" s="1"/>
      <c r="AB188" s="8"/>
      <c r="AC188" s="8"/>
      <c r="AD188" s="8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8"/>
      <c r="M189" s="8"/>
      <c r="N189" s="1"/>
      <c r="O189" s="1"/>
      <c r="P189" s="1"/>
      <c r="Q189" s="1"/>
      <c r="R189" s="1"/>
      <c r="S189" s="1"/>
      <c r="T189" s="1"/>
      <c r="U189" s="1"/>
      <c r="V189" s="1"/>
      <c r="W189" s="7"/>
      <c r="X189" s="7"/>
      <c r="Y189" s="7"/>
      <c r="Z189" s="7"/>
      <c r="AA189" s="1"/>
      <c r="AB189" s="8"/>
      <c r="AC189" s="8"/>
      <c r="AD189" s="8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8"/>
      <c r="M190" s="8"/>
      <c r="N190" s="1"/>
      <c r="O190" s="1"/>
      <c r="P190" s="1"/>
      <c r="Q190" s="1"/>
      <c r="R190" s="1"/>
      <c r="S190" s="1"/>
      <c r="T190" s="1"/>
      <c r="U190" s="1"/>
      <c r="V190" s="1"/>
      <c r="W190" s="7"/>
      <c r="X190" s="7"/>
      <c r="Y190" s="7"/>
      <c r="Z190" s="7"/>
      <c r="AA190" s="1"/>
      <c r="AB190" s="8"/>
      <c r="AC190" s="8"/>
      <c r="AD190" s="8"/>
      <c r="AE190" s="1"/>
      <c r="AF190" s="1"/>
      <c r="AG190" s="1"/>
      <c r="AH190" s="1"/>
      <c r="AI190" s="1"/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2026-02-23T08:20:25Z</dcterms:modified>
</cp:coreProperties>
</file>