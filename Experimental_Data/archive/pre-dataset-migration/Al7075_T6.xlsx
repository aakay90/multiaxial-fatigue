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a040268_unipi_it/Documents/FABER/_WG_4_3/Visiting_Aarhus/v6_2/Experimental_Data/"/>
    </mc:Choice>
  </mc:AlternateContent>
  <xr:revisionPtr revIDLastSave="875" documentId="13_ncr:1_{B6241A85-8AF5-4DA4-A18C-73AB2898B46A}" xr6:coauthVersionLast="47" xr6:coauthVersionMax="47" xr10:uidLastSave="{A8743A26-9665-4DF5-9806-E8832503D080}"/>
  <bookViews>
    <workbookView xWindow="28680" yWindow="-120" windowWidth="29040" windowHeight="15720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O4" i="1"/>
  <c r="P4" i="1"/>
  <c r="Q4" i="1"/>
  <c r="R4" i="1"/>
  <c r="N5" i="1"/>
  <c r="O5" i="1"/>
  <c r="P5" i="1"/>
  <c r="Q5" i="1"/>
  <c r="R5" i="1"/>
  <c r="L4" i="1"/>
  <c r="M4" i="1"/>
  <c r="L5" i="1"/>
  <c r="M5" i="1"/>
  <c r="C25" i="1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M190" i="2" l="1"/>
  <c r="L190" i="2"/>
  <c r="M189" i="2"/>
  <c r="L189" i="2"/>
  <c r="AC189" i="2" s="1"/>
  <c r="M188" i="2"/>
  <c r="L188" i="2"/>
  <c r="AC188" i="2" s="1"/>
  <c r="M187" i="2"/>
  <c r="L187" i="2"/>
  <c r="AC187" i="2" s="1"/>
  <c r="M186" i="2"/>
  <c r="L186" i="2"/>
  <c r="AC186" i="2" s="1"/>
  <c r="M185" i="2"/>
  <c r="L185" i="2"/>
  <c r="AC185" i="2" s="1"/>
  <c r="M184" i="2"/>
  <c r="L184" i="2"/>
  <c r="AC184" i="2" s="1"/>
  <c r="M183" i="2"/>
  <c r="L183" i="2"/>
  <c r="AC183" i="2" s="1"/>
  <c r="S186" i="2"/>
  <c r="Y186" i="2" s="1"/>
  <c r="S187" i="2"/>
  <c r="S188" i="2"/>
  <c r="Y188" i="2" s="1"/>
  <c r="S189" i="2"/>
  <c r="Y189" i="2" s="1"/>
  <c r="S190" i="2"/>
  <c r="Y190" i="2" s="1"/>
  <c r="U186" i="2"/>
  <c r="U187" i="2"/>
  <c r="U188" i="2"/>
  <c r="U189" i="2"/>
  <c r="U190" i="2"/>
  <c r="Y187" i="2"/>
  <c r="Z186" i="2"/>
  <c r="Z187" i="2"/>
  <c r="Z188" i="2"/>
  <c r="Z189" i="2"/>
  <c r="Z190" i="2"/>
  <c r="S184" i="2"/>
  <c r="Y184" i="2" s="1"/>
  <c r="S185" i="2"/>
  <c r="Y185" i="2" s="1"/>
  <c r="U184" i="2"/>
  <c r="U185" i="2"/>
  <c r="Z184" i="2"/>
  <c r="Z185" i="2"/>
  <c r="M182" i="2"/>
  <c r="L182" i="2"/>
  <c r="AC182" i="2" s="1"/>
  <c r="M181" i="2"/>
  <c r="L181" i="2"/>
  <c r="AC181" i="2" s="1"/>
  <c r="M180" i="2"/>
  <c r="L180" i="2"/>
  <c r="AC180" i="2" s="1"/>
  <c r="M179" i="2"/>
  <c r="L179" i="2"/>
  <c r="AC179" i="2" s="1"/>
  <c r="M178" i="2"/>
  <c r="L178" i="2"/>
  <c r="AC178" i="2" s="1"/>
  <c r="S178" i="2"/>
  <c r="Y178" i="2" s="1"/>
  <c r="S179" i="2"/>
  <c r="Y179" i="2" s="1"/>
  <c r="S180" i="2"/>
  <c r="Y180" i="2" s="1"/>
  <c r="S181" i="2"/>
  <c r="Y181" i="2" s="1"/>
  <c r="S182" i="2"/>
  <c r="Y182" i="2" s="1"/>
  <c r="S183" i="2"/>
  <c r="Y183" i="2" s="1"/>
  <c r="U178" i="2"/>
  <c r="U179" i="2"/>
  <c r="U180" i="2"/>
  <c r="U181" i="2"/>
  <c r="U182" i="2"/>
  <c r="U183" i="2"/>
  <c r="Z178" i="2"/>
  <c r="Z179" i="2"/>
  <c r="Z180" i="2"/>
  <c r="Z181" i="2"/>
  <c r="Z182" i="2"/>
  <c r="Z183" i="2"/>
  <c r="M177" i="2"/>
  <c r="L177" i="2"/>
  <c r="AC177" i="2" s="1"/>
  <c r="M176" i="2"/>
  <c r="L176" i="2"/>
  <c r="AC176" i="2" s="1"/>
  <c r="M175" i="2"/>
  <c r="L175" i="2"/>
  <c r="AC175" i="2" s="1"/>
  <c r="M174" i="2"/>
  <c r="L174" i="2"/>
  <c r="AC174" i="2" s="1"/>
  <c r="M173" i="2"/>
  <c r="L173" i="2"/>
  <c r="AC173" i="2" s="1"/>
  <c r="M172" i="2"/>
  <c r="L172" i="2"/>
  <c r="AC172" i="2" s="1"/>
  <c r="M171" i="2"/>
  <c r="L171" i="2"/>
  <c r="AC171" i="2" s="1"/>
  <c r="M170" i="2"/>
  <c r="AF170" i="2" s="1"/>
  <c r="L170" i="2"/>
  <c r="AC170" i="2" s="1"/>
  <c r="M169" i="2"/>
  <c r="AF169" i="2" s="1"/>
  <c r="L169" i="2"/>
  <c r="AC169" i="2" s="1"/>
  <c r="M168" i="2"/>
  <c r="AF168" i="2" s="1"/>
  <c r="L168" i="2"/>
  <c r="AC168" i="2" s="1"/>
  <c r="M167" i="2"/>
  <c r="AF167" i="2" s="1"/>
  <c r="L167" i="2"/>
  <c r="AC167" i="2" s="1"/>
  <c r="M166" i="2"/>
  <c r="AF166" i="2" s="1"/>
  <c r="L166" i="2"/>
  <c r="AC166" i="2" s="1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S171" i="2"/>
  <c r="Y171" i="2" s="1"/>
  <c r="S172" i="2"/>
  <c r="Y172" i="2" s="1"/>
  <c r="S173" i="2"/>
  <c r="Y173" i="2" s="1"/>
  <c r="S174" i="2"/>
  <c r="Y174" i="2" s="1"/>
  <c r="S175" i="2"/>
  <c r="Y175" i="2" s="1"/>
  <c r="S176" i="2"/>
  <c r="Y176" i="2" s="1"/>
  <c r="S177" i="2"/>
  <c r="Y177" i="2" s="1"/>
  <c r="U171" i="2"/>
  <c r="U172" i="2"/>
  <c r="U173" i="2"/>
  <c r="U174" i="2"/>
  <c r="U175" i="2"/>
  <c r="U176" i="2"/>
  <c r="U177" i="2"/>
  <c r="W171" i="2"/>
  <c r="Z171" i="2"/>
  <c r="Z172" i="2"/>
  <c r="Z173" i="2"/>
  <c r="Z174" i="2"/>
  <c r="Z175" i="2"/>
  <c r="Z176" i="2"/>
  <c r="Z177" i="2"/>
  <c r="AF171" i="2"/>
  <c r="AI171" i="2"/>
  <c r="S166" i="2"/>
  <c r="Y166" i="2" s="1"/>
  <c r="S167" i="2"/>
  <c r="Y167" i="2" s="1"/>
  <c r="S168" i="2"/>
  <c r="Y168" i="2" s="1"/>
  <c r="S169" i="2"/>
  <c r="Y169" i="2" s="1"/>
  <c r="S170" i="2"/>
  <c r="Y170" i="2" s="1"/>
  <c r="U166" i="2"/>
  <c r="U167" i="2"/>
  <c r="U168" i="2"/>
  <c r="U169" i="2"/>
  <c r="U170" i="2"/>
  <c r="W166" i="2"/>
  <c r="W167" i="2"/>
  <c r="W168" i="2"/>
  <c r="W169" i="2"/>
  <c r="W170" i="2"/>
  <c r="Z166" i="2"/>
  <c r="Z167" i="2"/>
  <c r="Z168" i="2"/>
  <c r="Z169" i="2"/>
  <c r="Z170" i="2"/>
  <c r="AI166" i="2"/>
  <c r="AI167" i="2"/>
  <c r="AI168" i="2"/>
  <c r="AI169" i="2"/>
  <c r="AI170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E90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AB167" i="2" l="1"/>
  <c r="AB189" i="2"/>
  <c r="AB185" i="2"/>
  <c r="AB188" i="2"/>
  <c r="AD188" i="2" s="1"/>
  <c r="AB190" i="2"/>
  <c r="AB180" i="2"/>
  <c r="AD180" i="2" s="1"/>
  <c r="AC190" i="2"/>
  <c r="AB186" i="2"/>
  <c r="AD186" i="2" s="1"/>
  <c r="AA190" i="2"/>
  <c r="AE170" i="2"/>
  <c r="AG170" i="2" s="1"/>
  <c r="AA166" i="2"/>
  <c r="AE169" i="2"/>
  <c r="AG169" i="2" s="1"/>
  <c r="AB166" i="2"/>
  <c r="AD166" i="2" s="1"/>
  <c r="AA177" i="2"/>
  <c r="AA189" i="2"/>
  <c r="AB187" i="2"/>
  <c r="AD187" i="2" s="1"/>
  <c r="AB184" i="2"/>
  <c r="AD184" i="2" s="1"/>
  <c r="AA187" i="2"/>
  <c r="AA185" i="2"/>
  <c r="AB183" i="2"/>
  <c r="AD183" i="2" s="1"/>
  <c r="AA184" i="2"/>
  <c r="AA186" i="2"/>
  <c r="AA188" i="2"/>
  <c r="AD189" i="2"/>
  <c r="AA172" i="2"/>
  <c r="AE166" i="2"/>
  <c r="AG166" i="2" s="1"/>
  <c r="AA168" i="2"/>
  <c r="AA171" i="2"/>
  <c r="AB178" i="2"/>
  <c r="AA183" i="2"/>
  <c r="AD185" i="2"/>
  <c r="AB177" i="2"/>
  <c r="AD177" i="2" s="1"/>
  <c r="AE171" i="2"/>
  <c r="AG171" i="2" s="1"/>
  <c r="AA182" i="2"/>
  <c r="AA175" i="2"/>
  <c r="AA181" i="2"/>
  <c r="AA174" i="2"/>
  <c r="AB173" i="2"/>
  <c r="AD173" i="2" s="1"/>
  <c r="AB182" i="2"/>
  <c r="AD182" i="2" s="1"/>
  <c r="AB172" i="2"/>
  <c r="AD172" i="2" s="1"/>
  <c r="AB181" i="2"/>
  <c r="AD181" i="2" s="1"/>
  <c r="AA180" i="2"/>
  <c r="AA179" i="2"/>
  <c r="AA178" i="2"/>
  <c r="AD178" i="2"/>
  <c r="AB179" i="2"/>
  <c r="AD179" i="2" s="1"/>
  <c r="AB176" i="2"/>
  <c r="AD176" i="2" s="1"/>
  <c r="AA173" i="2"/>
  <c r="AB174" i="2"/>
  <c r="AD174" i="2" s="1"/>
  <c r="AB175" i="2"/>
  <c r="AD175" i="2" s="1"/>
  <c r="AA170" i="2"/>
  <c r="AA169" i="2"/>
  <c r="AA176" i="2"/>
  <c r="AA167" i="2"/>
  <c r="AD167" i="2"/>
  <c r="AB168" i="2"/>
  <c r="AD168" i="2" s="1"/>
  <c r="AB171" i="2"/>
  <c r="AD171" i="2" s="1"/>
  <c r="AB170" i="2"/>
  <c r="AD170" i="2" s="1"/>
  <c r="AB169" i="2"/>
  <c r="AD169" i="2" s="1"/>
  <c r="AE168" i="2"/>
  <c r="AG168" i="2" s="1"/>
  <c r="AE167" i="2"/>
  <c r="AG167" i="2" s="1"/>
  <c r="AD190" i="2" l="1"/>
  <c r="S15" i="2"/>
  <c r="S16" i="2"/>
  <c r="S17" i="2"/>
  <c r="W17" i="2" s="1"/>
  <c r="AE17" i="2" s="1"/>
  <c r="S18" i="2"/>
  <c r="Y18" i="2" s="1"/>
  <c r="S19" i="2"/>
  <c r="S20" i="2"/>
  <c r="Y20" i="2" s="1"/>
  <c r="S21" i="2"/>
  <c r="Y21" i="2" s="1"/>
  <c r="S22" i="2"/>
  <c r="Y22" i="2" s="1"/>
  <c r="S23" i="2"/>
  <c r="S24" i="2"/>
  <c r="S25" i="2"/>
  <c r="W25" i="2" s="1"/>
  <c r="AE25" i="2" s="1"/>
  <c r="S26" i="2"/>
  <c r="Y26" i="2" s="1"/>
  <c r="S27" i="2"/>
  <c r="Y27" i="2" s="1"/>
  <c r="S28" i="2"/>
  <c r="Y28" i="2" s="1"/>
  <c r="S29" i="2"/>
  <c r="Y29" i="2" s="1"/>
  <c r="S30" i="2"/>
  <c r="Y30" i="2" s="1"/>
  <c r="S31" i="2"/>
  <c r="S32" i="2"/>
  <c r="S33" i="2"/>
  <c r="S34" i="2"/>
  <c r="S35" i="2"/>
  <c r="S36" i="2"/>
  <c r="S37" i="2"/>
  <c r="Y37" i="2" s="1"/>
  <c r="S38" i="2"/>
  <c r="Y38" i="2" s="1"/>
  <c r="S39" i="2"/>
  <c r="S40" i="2"/>
  <c r="S41" i="2"/>
  <c r="Y41" i="2" s="1"/>
  <c r="S42" i="2"/>
  <c r="Y42" i="2" s="1"/>
  <c r="S43" i="2"/>
  <c r="Y43" i="2" s="1"/>
  <c r="S44" i="2"/>
  <c r="S45" i="2"/>
  <c r="Y45" i="2" s="1"/>
  <c r="S46" i="2"/>
  <c r="Y46" i="2" s="1"/>
  <c r="S47" i="2"/>
  <c r="S48" i="2"/>
  <c r="S49" i="2"/>
  <c r="S50" i="2"/>
  <c r="Y50" i="2" s="1"/>
  <c r="S51" i="2"/>
  <c r="S52" i="2"/>
  <c r="Y52" i="2" s="1"/>
  <c r="S53" i="2"/>
  <c r="Y53" i="2" s="1"/>
  <c r="S54" i="2"/>
  <c r="Y54" i="2" s="1"/>
  <c r="S55" i="2"/>
  <c r="S56" i="2"/>
  <c r="S57" i="2"/>
  <c r="S58" i="2"/>
  <c r="W58" i="2" s="1"/>
  <c r="AE58" i="2" s="1"/>
  <c r="S59" i="2"/>
  <c r="Y59" i="2" s="1"/>
  <c r="S60" i="2"/>
  <c r="Y60" i="2" s="1"/>
  <c r="S61" i="2"/>
  <c r="Y61" i="2" s="1"/>
  <c r="S62" i="2"/>
  <c r="Y62" i="2" s="1"/>
  <c r="S63" i="2"/>
  <c r="S64" i="2"/>
  <c r="S65" i="2"/>
  <c r="S66" i="2"/>
  <c r="Y66" i="2" s="1"/>
  <c r="S67" i="2"/>
  <c r="S68" i="2"/>
  <c r="Y68" i="2" s="1"/>
  <c r="S69" i="2"/>
  <c r="Y69" i="2" s="1"/>
  <c r="S70" i="2"/>
  <c r="Y70" i="2" s="1"/>
  <c r="S71" i="2"/>
  <c r="S72" i="2"/>
  <c r="S73" i="2"/>
  <c r="S74" i="2"/>
  <c r="W74" i="2" s="1"/>
  <c r="AE74" i="2" s="1"/>
  <c r="S75" i="2"/>
  <c r="Y75" i="2" s="1"/>
  <c r="S76" i="2"/>
  <c r="Y76" i="2" s="1"/>
  <c r="S77" i="2"/>
  <c r="Y77" i="2" s="1"/>
  <c r="S78" i="2"/>
  <c r="Y78" i="2" s="1"/>
  <c r="S79" i="2"/>
  <c r="S80" i="2"/>
  <c r="Y80" i="2" s="1"/>
  <c r="S81" i="2"/>
  <c r="S82" i="2"/>
  <c r="Y82" i="2" s="1"/>
  <c r="S83" i="2"/>
  <c r="S84" i="2"/>
  <c r="Y84" i="2" s="1"/>
  <c r="S85" i="2"/>
  <c r="Y85" i="2" s="1"/>
  <c r="S86" i="2"/>
  <c r="Y86" i="2" s="1"/>
  <c r="S87" i="2"/>
  <c r="S88" i="2"/>
  <c r="S89" i="2"/>
  <c r="S90" i="2"/>
  <c r="Y90" i="2" s="1"/>
  <c r="AA90" i="2" s="1"/>
  <c r="S91" i="2"/>
  <c r="S92" i="2"/>
  <c r="Y92" i="2" s="1"/>
  <c r="S93" i="2"/>
  <c r="Y93" i="2" s="1"/>
  <c r="S94" i="2"/>
  <c r="Y94" i="2" s="1"/>
  <c r="S95" i="2"/>
  <c r="S96" i="2"/>
  <c r="S97" i="2"/>
  <c r="S98" i="2"/>
  <c r="Y98" i="2" s="1"/>
  <c r="S99" i="2"/>
  <c r="S100" i="2"/>
  <c r="S101" i="2"/>
  <c r="Y101" i="2" s="1"/>
  <c r="S102" i="2"/>
  <c r="Y102" i="2" s="1"/>
  <c r="S103" i="2"/>
  <c r="S104" i="2"/>
  <c r="S105" i="2"/>
  <c r="Y105" i="2" s="1"/>
  <c r="S106" i="2"/>
  <c r="Y106" i="2" s="1"/>
  <c r="S107" i="2"/>
  <c r="Y107" i="2" s="1"/>
  <c r="S108" i="2"/>
  <c r="Y108" i="2" s="1"/>
  <c r="S109" i="2"/>
  <c r="Y109" i="2" s="1"/>
  <c r="S110" i="2"/>
  <c r="Y110" i="2" s="1"/>
  <c r="S111" i="2"/>
  <c r="S112" i="2"/>
  <c r="S113" i="2"/>
  <c r="S114" i="2"/>
  <c r="S115" i="2"/>
  <c r="S116" i="2"/>
  <c r="Y116" i="2" s="1"/>
  <c r="S117" i="2"/>
  <c r="Y117" i="2" s="1"/>
  <c r="S118" i="2"/>
  <c r="Y118" i="2" s="1"/>
  <c r="S119" i="2"/>
  <c r="S120" i="2"/>
  <c r="S121" i="2"/>
  <c r="S122" i="2"/>
  <c r="Y122" i="2" s="1"/>
  <c r="S123" i="2"/>
  <c r="S124" i="2"/>
  <c r="Y124" i="2" s="1"/>
  <c r="S125" i="2"/>
  <c r="Y125" i="2" s="1"/>
  <c r="S126" i="2"/>
  <c r="Y126" i="2" s="1"/>
  <c r="S127" i="2"/>
  <c r="S128" i="2"/>
  <c r="S129" i="2"/>
  <c r="S130" i="2"/>
  <c r="Y130" i="2" s="1"/>
  <c r="S131" i="2"/>
  <c r="S132" i="2"/>
  <c r="Y132" i="2" s="1"/>
  <c r="S133" i="2"/>
  <c r="Y133" i="2" s="1"/>
  <c r="S134" i="2"/>
  <c r="Y134" i="2" s="1"/>
  <c r="S135" i="2"/>
  <c r="S136" i="2"/>
  <c r="S137" i="2"/>
  <c r="Y137" i="2" s="1"/>
  <c r="S138" i="2"/>
  <c r="Y138" i="2" s="1"/>
  <c r="S139" i="2"/>
  <c r="Y139" i="2" s="1"/>
  <c r="S140" i="2"/>
  <c r="Y140" i="2" s="1"/>
  <c r="S141" i="2"/>
  <c r="Y141" i="2" s="1"/>
  <c r="S142" i="2"/>
  <c r="Y142" i="2" s="1"/>
  <c r="S143" i="2"/>
  <c r="S144" i="2"/>
  <c r="S145" i="2"/>
  <c r="S146" i="2"/>
  <c r="S147" i="2"/>
  <c r="S148" i="2"/>
  <c r="Y148" i="2" s="1"/>
  <c r="S149" i="2"/>
  <c r="Y149" i="2" s="1"/>
  <c r="S150" i="2"/>
  <c r="Y150" i="2" s="1"/>
  <c r="S151" i="2"/>
  <c r="S152" i="2"/>
  <c r="S153" i="2"/>
  <c r="S154" i="2"/>
  <c r="Y154" i="2" s="1"/>
  <c r="S155" i="2"/>
  <c r="Y155" i="2" s="1"/>
  <c r="S156" i="2"/>
  <c r="Y156" i="2" s="1"/>
  <c r="S157" i="2"/>
  <c r="Y157" i="2" s="1"/>
  <c r="S158" i="2"/>
  <c r="Y158" i="2" s="1"/>
  <c r="S159" i="2"/>
  <c r="S160" i="2"/>
  <c r="S161" i="2"/>
  <c r="S162" i="2"/>
  <c r="Y162" i="2" s="1"/>
  <c r="S163" i="2"/>
  <c r="S164" i="2"/>
  <c r="S165" i="2"/>
  <c r="Y165" i="2" s="1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Y15" i="2"/>
  <c r="Y16" i="2"/>
  <c r="Y19" i="2"/>
  <c r="Y23" i="2"/>
  <c r="AA23" i="2" s="1"/>
  <c r="Y24" i="2"/>
  <c r="Y25" i="2"/>
  <c r="AA25" i="2" s="1"/>
  <c r="Y31" i="2"/>
  <c r="AA31" i="2" s="1"/>
  <c r="Y32" i="2"/>
  <c r="AA32" i="2" s="1"/>
  <c r="Y33" i="2"/>
  <c r="Y34" i="2"/>
  <c r="Y35" i="2"/>
  <c r="Y39" i="2"/>
  <c r="AA39" i="2" s="1"/>
  <c r="Y40" i="2"/>
  <c r="Y47" i="2"/>
  <c r="Y48" i="2"/>
  <c r="Y49" i="2"/>
  <c r="Y51" i="2"/>
  <c r="Y55" i="2"/>
  <c r="Y56" i="2"/>
  <c r="Y57" i="2"/>
  <c r="Y63" i="2"/>
  <c r="AA63" i="2" s="1"/>
  <c r="Y64" i="2"/>
  <c r="Y65" i="2"/>
  <c r="Y67" i="2"/>
  <c r="Y71" i="2"/>
  <c r="AA71" i="2" s="1"/>
  <c r="Y72" i="2"/>
  <c r="Y73" i="2"/>
  <c r="Y79" i="2"/>
  <c r="Y81" i="2"/>
  <c r="Y83" i="2"/>
  <c r="Y87" i="2"/>
  <c r="Y88" i="2"/>
  <c r="Y89" i="2"/>
  <c r="AA89" i="2" s="1"/>
  <c r="Y91" i="2"/>
  <c r="Y95" i="2"/>
  <c r="AA95" i="2" s="1"/>
  <c r="Y96" i="2"/>
  <c r="Y97" i="2"/>
  <c r="Y99" i="2"/>
  <c r="Y103" i="2"/>
  <c r="AA103" i="2" s="1"/>
  <c r="Y104" i="2"/>
  <c r="Y111" i="2"/>
  <c r="Y112" i="2"/>
  <c r="Y113" i="2"/>
  <c r="Y114" i="2"/>
  <c r="Y115" i="2"/>
  <c r="Y119" i="2"/>
  <c r="Y120" i="2"/>
  <c r="Y121" i="2"/>
  <c r="Y123" i="2"/>
  <c r="Y127" i="2"/>
  <c r="Y128" i="2"/>
  <c r="Y129" i="2"/>
  <c r="Y131" i="2"/>
  <c r="Y135" i="2"/>
  <c r="Y136" i="2"/>
  <c r="Y143" i="2"/>
  <c r="Y144" i="2"/>
  <c r="Y145" i="2"/>
  <c r="Y146" i="2"/>
  <c r="Y147" i="2"/>
  <c r="Y151" i="2"/>
  <c r="AA151" i="2" s="1"/>
  <c r="Y152" i="2"/>
  <c r="Y153" i="2"/>
  <c r="Y159" i="2"/>
  <c r="Y160" i="2"/>
  <c r="Y161" i="2"/>
  <c r="Y163" i="2"/>
  <c r="AI16" i="2"/>
  <c r="W21" i="2"/>
  <c r="AE21" i="2" s="1"/>
  <c r="W23" i="2"/>
  <c r="AE23" i="2" s="1"/>
  <c r="W26" i="2"/>
  <c r="AE26" i="2" s="1"/>
  <c r="W29" i="2"/>
  <c r="AE29" i="2" s="1"/>
  <c r="W31" i="2"/>
  <c r="AE31" i="2" s="1"/>
  <c r="AI32" i="2"/>
  <c r="W33" i="2"/>
  <c r="AE33" i="2" s="1"/>
  <c r="W39" i="2"/>
  <c r="AE39" i="2" s="1"/>
  <c r="AI40" i="2"/>
  <c r="W41" i="2"/>
  <c r="AE41" i="2" s="1"/>
  <c r="W42" i="2"/>
  <c r="AE42" i="2" s="1"/>
  <c r="AI48" i="2"/>
  <c r="W49" i="2"/>
  <c r="AE49" i="2" s="1"/>
  <c r="W53" i="2"/>
  <c r="AE53" i="2" s="1"/>
  <c r="AI56" i="2"/>
  <c r="W63" i="2"/>
  <c r="AE63" i="2" s="1"/>
  <c r="AI64" i="2"/>
  <c r="W65" i="2"/>
  <c r="AE65" i="2" s="1"/>
  <c r="W71" i="2"/>
  <c r="AE71" i="2" s="1"/>
  <c r="AI72" i="2"/>
  <c r="W73" i="2"/>
  <c r="AE73" i="2" s="1"/>
  <c r="AF76" i="2"/>
  <c r="W77" i="2"/>
  <c r="AE77" i="2" s="1"/>
  <c r="W79" i="2"/>
  <c r="AE79" i="2" s="1"/>
  <c r="AI80" i="2"/>
  <c r="W81" i="2"/>
  <c r="AE81" i="2" s="1"/>
  <c r="W85" i="2"/>
  <c r="AE85" i="2" s="1"/>
  <c r="W87" i="2"/>
  <c r="AE87" i="2" s="1"/>
  <c r="W89" i="2"/>
  <c r="AE89" i="2" s="1"/>
  <c r="W95" i="2"/>
  <c r="AE95" i="2" s="1"/>
  <c r="AI96" i="2"/>
  <c r="W97" i="2"/>
  <c r="AE97" i="2" s="1"/>
  <c r="W103" i="2"/>
  <c r="AE103" i="2" s="1"/>
  <c r="AI104" i="2"/>
  <c r="W105" i="2"/>
  <c r="AE105" i="2" s="1"/>
  <c r="W106" i="2"/>
  <c r="AE106" i="2" s="1"/>
  <c r="W125" i="2"/>
  <c r="AE125" i="2" s="1"/>
  <c r="W127" i="2"/>
  <c r="AE127" i="2" s="1"/>
  <c r="AI128" i="2"/>
  <c r="W129" i="2"/>
  <c r="AE129" i="2" s="1"/>
  <c r="W133" i="2"/>
  <c r="AE133" i="2" s="1"/>
  <c r="W141" i="2"/>
  <c r="AE141" i="2" s="1"/>
  <c r="W143" i="2"/>
  <c r="AE143" i="2" s="1"/>
  <c r="AI144" i="2"/>
  <c r="W149" i="2"/>
  <c r="AE149" i="2" s="1"/>
  <c r="W151" i="2"/>
  <c r="AE151" i="2" s="1"/>
  <c r="W152" i="2"/>
  <c r="AE152" i="2" s="1"/>
  <c r="W153" i="2"/>
  <c r="AE153" i="2" s="1"/>
  <c r="W157" i="2"/>
  <c r="AE157" i="2" s="1"/>
  <c r="AI160" i="2"/>
  <c r="W161" i="2"/>
  <c r="AE161" i="2" s="1"/>
  <c r="W15" i="2"/>
  <c r="AE15" i="2" s="1"/>
  <c r="W18" i="2"/>
  <c r="AE18" i="2" s="1"/>
  <c r="W32" i="2"/>
  <c r="AE32" i="2" s="1"/>
  <c r="W34" i="2"/>
  <c r="AE34" i="2" s="1"/>
  <c r="W37" i="2"/>
  <c r="AE37" i="2" s="1"/>
  <c r="W45" i="2"/>
  <c r="AE45" i="2" s="1"/>
  <c r="W47" i="2"/>
  <c r="AE47" i="2" s="1"/>
  <c r="W50" i="2"/>
  <c r="AE50" i="2" s="1"/>
  <c r="W55" i="2"/>
  <c r="AE55" i="2" s="1"/>
  <c r="W61" i="2"/>
  <c r="AE61" i="2" s="1"/>
  <c r="W64" i="2"/>
  <c r="AE64" i="2" s="1"/>
  <c r="W69" i="2"/>
  <c r="AE69" i="2" s="1"/>
  <c r="W82" i="2"/>
  <c r="AE82" i="2" s="1"/>
  <c r="W88" i="2"/>
  <c r="AE88" i="2" s="1"/>
  <c r="W90" i="2"/>
  <c r="AE90" i="2" s="1"/>
  <c r="W93" i="2"/>
  <c r="AE93" i="2" s="1"/>
  <c r="W98" i="2"/>
  <c r="AE98" i="2" s="1"/>
  <c r="W101" i="2"/>
  <c r="AE101" i="2" s="1"/>
  <c r="W104" i="2"/>
  <c r="AE104" i="2" s="1"/>
  <c r="W109" i="2"/>
  <c r="AE109" i="2" s="1"/>
  <c r="W111" i="2"/>
  <c r="AE111" i="2" s="1"/>
  <c r="W128" i="2"/>
  <c r="AE128" i="2" s="1"/>
  <c r="W145" i="2"/>
  <c r="AE145" i="2" s="1"/>
  <c r="W146" i="2"/>
  <c r="AE146" i="2" s="1"/>
  <c r="W154" i="2"/>
  <c r="AE154" i="2" s="1"/>
  <c r="W159" i="2"/>
  <c r="AE159" i="2" s="1"/>
  <c r="W162" i="2"/>
  <c r="AE162" i="2" s="1"/>
  <c r="W165" i="2"/>
  <c r="AE165" i="2" s="1"/>
  <c r="U2" i="2"/>
  <c r="U3" i="2"/>
  <c r="U4" i="2"/>
  <c r="U5" i="2"/>
  <c r="U6" i="2"/>
  <c r="U7" i="2"/>
  <c r="U8" i="2"/>
  <c r="U9" i="2"/>
  <c r="U10" i="2"/>
  <c r="U11" i="2"/>
  <c r="U12" i="2"/>
  <c r="U13" i="2"/>
  <c r="U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U30" i="2"/>
  <c r="AB30" i="2" s="1"/>
  <c r="U31" i="2"/>
  <c r="AB31" i="2" s="1"/>
  <c r="U32" i="2"/>
  <c r="AB32" i="2" s="1"/>
  <c r="U33" i="2"/>
  <c r="AB33" i="2" s="1"/>
  <c r="U34" i="2"/>
  <c r="AB34" i="2" s="1"/>
  <c r="U35" i="2"/>
  <c r="AB35" i="2" s="1"/>
  <c r="U36" i="2"/>
  <c r="AB36" i="2" s="1"/>
  <c r="U37" i="2"/>
  <c r="AB37" i="2" s="1"/>
  <c r="U38" i="2"/>
  <c r="AB38" i="2" s="1"/>
  <c r="U39" i="2"/>
  <c r="AB39" i="2" s="1"/>
  <c r="U40" i="2"/>
  <c r="AB40" i="2" s="1"/>
  <c r="U41" i="2"/>
  <c r="AB41" i="2" s="1"/>
  <c r="U42" i="2"/>
  <c r="AB42" i="2" s="1"/>
  <c r="U43" i="2"/>
  <c r="AB43" i="2" s="1"/>
  <c r="U44" i="2"/>
  <c r="AB44" i="2" s="1"/>
  <c r="U45" i="2"/>
  <c r="AB45" i="2" s="1"/>
  <c r="U46" i="2"/>
  <c r="AB46" i="2" s="1"/>
  <c r="U47" i="2"/>
  <c r="AB47" i="2" s="1"/>
  <c r="U48" i="2"/>
  <c r="AB48" i="2" s="1"/>
  <c r="U49" i="2"/>
  <c r="AB49" i="2" s="1"/>
  <c r="U50" i="2"/>
  <c r="AB50" i="2" s="1"/>
  <c r="U51" i="2"/>
  <c r="AB51" i="2" s="1"/>
  <c r="U52" i="2"/>
  <c r="AB52" i="2" s="1"/>
  <c r="U53" i="2"/>
  <c r="AB53" i="2" s="1"/>
  <c r="U54" i="2"/>
  <c r="AB54" i="2" s="1"/>
  <c r="U55" i="2"/>
  <c r="AB55" i="2" s="1"/>
  <c r="U56" i="2"/>
  <c r="AB56" i="2" s="1"/>
  <c r="U57" i="2"/>
  <c r="AB57" i="2" s="1"/>
  <c r="U58" i="2"/>
  <c r="AB58" i="2" s="1"/>
  <c r="U59" i="2"/>
  <c r="AB59" i="2" s="1"/>
  <c r="U60" i="2"/>
  <c r="AB60" i="2" s="1"/>
  <c r="U61" i="2"/>
  <c r="AB61" i="2" s="1"/>
  <c r="U62" i="2"/>
  <c r="AB62" i="2" s="1"/>
  <c r="U63" i="2"/>
  <c r="AB63" i="2" s="1"/>
  <c r="U64" i="2"/>
  <c r="AB64" i="2" s="1"/>
  <c r="U65" i="2"/>
  <c r="AB65" i="2" s="1"/>
  <c r="U66" i="2"/>
  <c r="AB66" i="2" s="1"/>
  <c r="U67" i="2"/>
  <c r="AB67" i="2" s="1"/>
  <c r="U68" i="2"/>
  <c r="AB68" i="2" s="1"/>
  <c r="U69" i="2"/>
  <c r="AB69" i="2" s="1"/>
  <c r="U70" i="2"/>
  <c r="AB70" i="2" s="1"/>
  <c r="U71" i="2"/>
  <c r="AB71" i="2" s="1"/>
  <c r="U72" i="2"/>
  <c r="AB72" i="2" s="1"/>
  <c r="U73" i="2"/>
  <c r="AB73" i="2" s="1"/>
  <c r="U74" i="2"/>
  <c r="AB74" i="2" s="1"/>
  <c r="U75" i="2"/>
  <c r="AB75" i="2" s="1"/>
  <c r="U76" i="2"/>
  <c r="AB76" i="2" s="1"/>
  <c r="U77" i="2"/>
  <c r="AB77" i="2" s="1"/>
  <c r="U78" i="2"/>
  <c r="AB78" i="2" s="1"/>
  <c r="U79" i="2"/>
  <c r="AB79" i="2" s="1"/>
  <c r="U80" i="2"/>
  <c r="AB80" i="2" s="1"/>
  <c r="U81" i="2"/>
  <c r="AB81" i="2" s="1"/>
  <c r="U82" i="2"/>
  <c r="AB82" i="2" s="1"/>
  <c r="U83" i="2"/>
  <c r="AB83" i="2" s="1"/>
  <c r="U84" i="2"/>
  <c r="AB84" i="2" s="1"/>
  <c r="U85" i="2"/>
  <c r="AB85" i="2" s="1"/>
  <c r="U86" i="2"/>
  <c r="AB86" i="2" s="1"/>
  <c r="U87" i="2"/>
  <c r="AB87" i="2" s="1"/>
  <c r="U88" i="2"/>
  <c r="AB88" i="2" s="1"/>
  <c r="U89" i="2"/>
  <c r="AB89" i="2" s="1"/>
  <c r="U90" i="2"/>
  <c r="AB90" i="2" s="1"/>
  <c r="U91" i="2"/>
  <c r="AB91" i="2" s="1"/>
  <c r="U92" i="2"/>
  <c r="AB92" i="2" s="1"/>
  <c r="U93" i="2"/>
  <c r="AB93" i="2" s="1"/>
  <c r="U94" i="2"/>
  <c r="AB94" i="2" s="1"/>
  <c r="U95" i="2"/>
  <c r="AB95" i="2" s="1"/>
  <c r="U96" i="2"/>
  <c r="AB96" i="2" s="1"/>
  <c r="U97" i="2"/>
  <c r="AB97" i="2" s="1"/>
  <c r="U98" i="2"/>
  <c r="AB98" i="2" s="1"/>
  <c r="U99" i="2"/>
  <c r="AB99" i="2" s="1"/>
  <c r="U100" i="2"/>
  <c r="AB100" i="2" s="1"/>
  <c r="U101" i="2"/>
  <c r="AB101" i="2" s="1"/>
  <c r="U102" i="2"/>
  <c r="AB102" i="2" s="1"/>
  <c r="U103" i="2"/>
  <c r="AB103" i="2" s="1"/>
  <c r="U104" i="2"/>
  <c r="AB104" i="2" s="1"/>
  <c r="U105" i="2"/>
  <c r="AB105" i="2" s="1"/>
  <c r="U106" i="2"/>
  <c r="AB106" i="2" s="1"/>
  <c r="U107" i="2"/>
  <c r="AB107" i="2" s="1"/>
  <c r="U108" i="2"/>
  <c r="AB108" i="2" s="1"/>
  <c r="U109" i="2"/>
  <c r="AB109" i="2" s="1"/>
  <c r="U110" i="2"/>
  <c r="AB110" i="2" s="1"/>
  <c r="U111" i="2"/>
  <c r="AB111" i="2" s="1"/>
  <c r="U112" i="2"/>
  <c r="AB112" i="2" s="1"/>
  <c r="U113" i="2"/>
  <c r="AB113" i="2" s="1"/>
  <c r="U114" i="2"/>
  <c r="AB114" i="2" s="1"/>
  <c r="U115" i="2"/>
  <c r="AB115" i="2" s="1"/>
  <c r="U116" i="2"/>
  <c r="AB116" i="2" s="1"/>
  <c r="U117" i="2"/>
  <c r="AB117" i="2" s="1"/>
  <c r="U118" i="2"/>
  <c r="AB118" i="2" s="1"/>
  <c r="U119" i="2"/>
  <c r="AB119" i="2" s="1"/>
  <c r="U120" i="2"/>
  <c r="AB120" i="2" s="1"/>
  <c r="U121" i="2"/>
  <c r="AB121" i="2" s="1"/>
  <c r="U122" i="2"/>
  <c r="AB122" i="2" s="1"/>
  <c r="U123" i="2"/>
  <c r="AB123" i="2" s="1"/>
  <c r="U124" i="2"/>
  <c r="AB124" i="2" s="1"/>
  <c r="U125" i="2"/>
  <c r="AB125" i="2" s="1"/>
  <c r="U126" i="2"/>
  <c r="AB126" i="2" s="1"/>
  <c r="U127" i="2"/>
  <c r="AB127" i="2" s="1"/>
  <c r="U128" i="2"/>
  <c r="AB128" i="2" s="1"/>
  <c r="U129" i="2"/>
  <c r="AB129" i="2" s="1"/>
  <c r="U130" i="2"/>
  <c r="AB130" i="2" s="1"/>
  <c r="U131" i="2"/>
  <c r="AB131" i="2" s="1"/>
  <c r="U132" i="2"/>
  <c r="AB132" i="2" s="1"/>
  <c r="U133" i="2"/>
  <c r="AB133" i="2" s="1"/>
  <c r="U134" i="2"/>
  <c r="AB134" i="2" s="1"/>
  <c r="U135" i="2"/>
  <c r="AB135" i="2" s="1"/>
  <c r="U136" i="2"/>
  <c r="AB136" i="2" s="1"/>
  <c r="U137" i="2"/>
  <c r="AB137" i="2" s="1"/>
  <c r="U138" i="2"/>
  <c r="AB138" i="2" s="1"/>
  <c r="U139" i="2"/>
  <c r="AB139" i="2" s="1"/>
  <c r="U140" i="2"/>
  <c r="AB140" i="2" s="1"/>
  <c r="U141" i="2"/>
  <c r="AB141" i="2" s="1"/>
  <c r="U142" i="2"/>
  <c r="AB142" i="2" s="1"/>
  <c r="U143" i="2"/>
  <c r="AB143" i="2" s="1"/>
  <c r="U144" i="2"/>
  <c r="AB144" i="2" s="1"/>
  <c r="U145" i="2"/>
  <c r="AB145" i="2" s="1"/>
  <c r="U146" i="2"/>
  <c r="AB146" i="2" s="1"/>
  <c r="U147" i="2"/>
  <c r="AB147" i="2" s="1"/>
  <c r="U148" i="2"/>
  <c r="AB148" i="2" s="1"/>
  <c r="U149" i="2"/>
  <c r="AB149" i="2" s="1"/>
  <c r="U150" i="2"/>
  <c r="AB150" i="2" s="1"/>
  <c r="U151" i="2"/>
  <c r="AB151" i="2" s="1"/>
  <c r="U152" i="2"/>
  <c r="AB152" i="2" s="1"/>
  <c r="U153" i="2"/>
  <c r="AB153" i="2" s="1"/>
  <c r="U154" i="2"/>
  <c r="AB154" i="2" s="1"/>
  <c r="U155" i="2"/>
  <c r="AB155" i="2" s="1"/>
  <c r="U156" i="2"/>
  <c r="AB156" i="2" s="1"/>
  <c r="U157" i="2"/>
  <c r="AB157" i="2" s="1"/>
  <c r="U158" i="2"/>
  <c r="AB158" i="2" s="1"/>
  <c r="U159" i="2"/>
  <c r="AB159" i="2" s="1"/>
  <c r="U160" i="2"/>
  <c r="AB160" i="2" s="1"/>
  <c r="U161" i="2"/>
  <c r="AB161" i="2" s="1"/>
  <c r="U162" i="2"/>
  <c r="AB162" i="2" s="1"/>
  <c r="U163" i="2"/>
  <c r="AB163" i="2" s="1"/>
  <c r="U164" i="2"/>
  <c r="AB164" i="2" s="1"/>
  <c r="U165" i="2"/>
  <c r="AB165" i="2" s="1"/>
  <c r="S14" i="2"/>
  <c r="Y14" i="2" s="1"/>
  <c r="AA14" i="2" s="1"/>
  <c r="S13" i="2"/>
  <c r="Y13" i="2" s="1"/>
  <c r="S12" i="2"/>
  <c r="Y12" i="2" s="1"/>
  <c r="S11" i="2"/>
  <c r="Y11" i="2" s="1"/>
  <c r="S10" i="2"/>
  <c r="AI10" i="2" s="1"/>
  <c r="S9" i="2"/>
  <c r="W9" i="2" s="1"/>
  <c r="S8" i="2"/>
  <c r="Y8" i="2" s="1"/>
  <c r="AA8" i="2" s="1"/>
  <c r="S7" i="2"/>
  <c r="Y7" i="2" s="1"/>
  <c r="AA7" i="2" s="1"/>
  <c r="S6" i="2"/>
  <c r="Y6" i="2" s="1"/>
  <c r="AA6" i="2" s="1"/>
  <c r="S5" i="2"/>
  <c r="Y5" i="2" s="1"/>
  <c r="S4" i="2"/>
  <c r="Y4" i="2" s="1"/>
  <c r="S3" i="2"/>
  <c r="M3" i="2"/>
  <c r="M4" i="2"/>
  <c r="M5" i="2"/>
  <c r="M6" i="2"/>
  <c r="M7" i="2"/>
  <c r="M8" i="2"/>
  <c r="M9" i="2"/>
  <c r="M10" i="2"/>
  <c r="M11" i="2"/>
  <c r="M12" i="2"/>
  <c r="M13" i="2"/>
  <c r="M14" i="2"/>
  <c r="M2" i="2"/>
  <c r="L14" i="2"/>
  <c r="AC14" i="2" s="1"/>
  <c r="L13" i="2"/>
  <c r="AC13" i="2" s="1"/>
  <c r="L12" i="2"/>
  <c r="AC12" i="2" s="1"/>
  <c r="L11" i="2"/>
  <c r="AC11" i="2" s="1"/>
  <c r="L10" i="2"/>
  <c r="AC10" i="2" s="1"/>
  <c r="L9" i="2"/>
  <c r="AC9" i="2" s="1"/>
  <c r="L8" i="2"/>
  <c r="AC8" i="2" s="1"/>
  <c r="L7" i="2"/>
  <c r="AC7" i="2" s="1"/>
  <c r="L6" i="2"/>
  <c r="AC6" i="2" s="1"/>
  <c r="L5" i="2"/>
  <c r="AC5" i="2" s="1"/>
  <c r="L4" i="2"/>
  <c r="AC4" i="2" s="1"/>
  <c r="L3" i="2"/>
  <c r="AA33" i="2" l="1"/>
  <c r="Y74" i="2"/>
  <c r="Y58" i="2"/>
  <c r="AD126" i="2"/>
  <c r="AD110" i="2"/>
  <c r="AD78" i="2"/>
  <c r="AD62" i="2"/>
  <c r="AD46" i="2"/>
  <c r="AD157" i="2"/>
  <c r="AD61" i="2"/>
  <c r="AD45" i="2"/>
  <c r="AA153" i="2"/>
  <c r="AA114" i="2"/>
  <c r="AA38" i="2"/>
  <c r="AD118" i="2"/>
  <c r="AD102" i="2"/>
  <c r="AD86" i="2"/>
  <c r="AD70" i="2"/>
  <c r="AD54" i="2"/>
  <c r="AD38" i="2"/>
  <c r="AD134" i="2"/>
  <c r="AD165" i="2"/>
  <c r="AA47" i="2"/>
  <c r="AA98" i="2"/>
  <c r="AA145" i="2"/>
  <c r="AA143" i="2"/>
  <c r="AA22" i="2"/>
  <c r="AD53" i="2"/>
  <c r="AD37" i="2"/>
  <c r="AA111" i="2"/>
  <c r="AA49" i="2"/>
  <c r="AA135" i="2"/>
  <c r="AA129" i="2"/>
  <c r="AA160" i="2"/>
  <c r="AA159" i="2"/>
  <c r="AA127" i="2"/>
  <c r="AA126" i="2"/>
  <c r="AA113" i="2"/>
  <c r="AD94" i="2"/>
  <c r="AA97" i="2"/>
  <c r="AA57" i="2"/>
  <c r="AA121" i="2"/>
  <c r="AA81" i="2"/>
  <c r="AA122" i="2"/>
  <c r="AA58" i="2"/>
  <c r="AA82" i="2"/>
  <c r="AA18" i="2"/>
  <c r="AA162" i="2"/>
  <c r="AA120" i="2"/>
  <c r="AA106" i="2"/>
  <c r="AA66" i="2"/>
  <c r="AA56" i="2"/>
  <c r="AA42" i="2"/>
  <c r="AA146" i="2"/>
  <c r="AA130" i="2"/>
  <c r="AA119" i="2"/>
  <c r="AA79" i="2"/>
  <c r="AA65" i="2"/>
  <c r="AA55" i="2"/>
  <c r="AA41" i="2"/>
  <c r="AA15" i="2"/>
  <c r="AA101" i="2"/>
  <c r="AA165" i="2"/>
  <c r="AA157" i="2"/>
  <c r="AA149" i="2"/>
  <c r="AA141" i="2"/>
  <c r="AA133" i="2"/>
  <c r="AA125" i="2"/>
  <c r="AA117" i="2"/>
  <c r="AA93" i="2"/>
  <c r="AA77" i="2"/>
  <c r="AA69" i="2"/>
  <c r="AA45" i="2"/>
  <c r="AA37" i="2"/>
  <c r="AA29" i="2"/>
  <c r="AA21" i="2"/>
  <c r="AA5" i="2"/>
  <c r="AA13" i="2"/>
  <c r="AA11" i="2"/>
  <c r="AA4" i="2"/>
  <c r="AA12" i="2"/>
  <c r="AA128" i="2"/>
  <c r="AA40" i="2"/>
  <c r="AA48" i="2"/>
  <c r="AA64" i="2"/>
  <c r="AA144" i="2"/>
  <c r="AA152" i="2"/>
  <c r="AA161" i="2"/>
  <c r="AA16" i="2"/>
  <c r="AA148" i="2"/>
  <c r="AA140" i="2"/>
  <c r="AA132" i="2"/>
  <c r="AA124" i="2"/>
  <c r="AA108" i="2"/>
  <c r="AA92" i="2"/>
  <c r="AA84" i="2"/>
  <c r="AA76" i="2"/>
  <c r="AA68" i="2"/>
  <c r="AA60" i="2"/>
  <c r="AA52" i="2"/>
  <c r="AE9" i="2"/>
  <c r="AB10" i="2"/>
  <c r="AA50" i="2"/>
  <c r="AB9" i="2"/>
  <c r="AD9" i="2" s="1"/>
  <c r="AA137" i="2"/>
  <c r="AA105" i="2"/>
  <c r="AA80" i="2"/>
  <c r="AB7" i="2"/>
  <c r="AD7" i="2" s="1"/>
  <c r="Y10" i="2"/>
  <c r="AA10" i="2" s="1"/>
  <c r="AA109" i="2"/>
  <c r="AD158" i="2"/>
  <c r="AA156" i="2"/>
  <c r="AA154" i="2"/>
  <c r="AD150" i="2"/>
  <c r="AD142" i="2"/>
  <c r="AD141" i="2"/>
  <c r="AD149" i="2"/>
  <c r="AA136" i="2"/>
  <c r="AA138" i="2"/>
  <c r="AD125" i="2"/>
  <c r="AD133" i="2"/>
  <c r="AA116" i="2"/>
  <c r="AD117" i="2"/>
  <c r="AD109" i="2"/>
  <c r="AD101" i="2"/>
  <c r="AD93" i="2"/>
  <c r="AA85" i="2"/>
  <c r="AD85" i="2"/>
  <c r="AD77" i="2"/>
  <c r="AA87" i="2"/>
  <c r="W72" i="2"/>
  <c r="AE72" i="2" s="1"/>
  <c r="AA73" i="2"/>
  <c r="AA74" i="2"/>
  <c r="AD69" i="2"/>
  <c r="AA134" i="2"/>
  <c r="AA88" i="2"/>
  <c r="AA70" i="2"/>
  <c r="AA142" i="2"/>
  <c r="AA96" i="2"/>
  <c r="AA78" i="2"/>
  <c r="AA150" i="2"/>
  <c r="AA104" i="2"/>
  <c r="AA86" i="2"/>
  <c r="AA158" i="2"/>
  <c r="AA112" i="2"/>
  <c r="AA94" i="2"/>
  <c r="AF132" i="2"/>
  <c r="AA102" i="2"/>
  <c r="AA110" i="2"/>
  <c r="AD163" i="2"/>
  <c r="AD155" i="2"/>
  <c r="AD147" i="2"/>
  <c r="AD139" i="2"/>
  <c r="AD131" i="2"/>
  <c r="AD123" i="2"/>
  <c r="AD115" i="2"/>
  <c r="AD107" i="2"/>
  <c r="AD99" i="2"/>
  <c r="AD91" i="2"/>
  <c r="AD83" i="2"/>
  <c r="AD75" i="2"/>
  <c r="AD67" i="2"/>
  <c r="AA118" i="2"/>
  <c r="AA72" i="2"/>
  <c r="AA46" i="2"/>
  <c r="AA54" i="2"/>
  <c r="AA62" i="2"/>
  <c r="AA53" i="2"/>
  <c r="AA61" i="2"/>
  <c r="AD59" i="2"/>
  <c r="AD51" i="2"/>
  <c r="AA30" i="2"/>
  <c r="AA34" i="2"/>
  <c r="AD30" i="2"/>
  <c r="AD43" i="2"/>
  <c r="AD35" i="2"/>
  <c r="Y17" i="2"/>
  <c r="AA17" i="2" s="1"/>
  <c r="AA24" i="2"/>
  <c r="AD25" i="2"/>
  <c r="AA28" i="2"/>
  <c r="AA20" i="2"/>
  <c r="AA26" i="2"/>
  <c r="AF28" i="2"/>
  <c r="AF44" i="2"/>
  <c r="Y44" i="2"/>
  <c r="AA44" i="2" s="1"/>
  <c r="Y36" i="2"/>
  <c r="AA36" i="2" s="1"/>
  <c r="AB8" i="2"/>
  <c r="AD8" i="2" s="1"/>
  <c r="AF140" i="2"/>
  <c r="AF84" i="2"/>
  <c r="AD162" i="2"/>
  <c r="AD154" i="2"/>
  <c r="AD146" i="2"/>
  <c r="AD138" i="2"/>
  <c r="AD130" i="2"/>
  <c r="AD122" i="2"/>
  <c r="AD114" i="2"/>
  <c r="AD106" i="2"/>
  <c r="AD98" i="2"/>
  <c r="AD90" i="2"/>
  <c r="AD82" i="2"/>
  <c r="AD74" i="2"/>
  <c r="AD66" i="2"/>
  <c r="AD58" i="2"/>
  <c r="AD50" i="2"/>
  <c r="AD42" i="2"/>
  <c r="AD34" i="2"/>
  <c r="AF92" i="2"/>
  <c r="AF7" i="2"/>
  <c r="AI7" i="2"/>
  <c r="AD137" i="2"/>
  <c r="AD105" i="2"/>
  <c r="AD73" i="2"/>
  <c r="AD65" i="2"/>
  <c r="AD57" i="2"/>
  <c r="AD49" i="2"/>
  <c r="AD161" i="2"/>
  <c r="AD33" i="2"/>
  <c r="AB14" i="2"/>
  <c r="AD14" i="2" s="1"/>
  <c r="AB6" i="2"/>
  <c r="AD6" i="2" s="1"/>
  <c r="W96" i="2"/>
  <c r="AE96" i="2" s="1"/>
  <c r="AF156" i="2"/>
  <c r="Y9" i="2"/>
  <c r="AA9" i="2" s="1"/>
  <c r="AD160" i="2"/>
  <c r="AD152" i="2"/>
  <c r="AD144" i="2"/>
  <c r="AD136" i="2"/>
  <c r="AD128" i="2"/>
  <c r="AD120" i="2"/>
  <c r="AD112" i="2"/>
  <c r="AD104" i="2"/>
  <c r="AD96" i="2"/>
  <c r="AD88" i="2"/>
  <c r="AD80" i="2"/>
  <c r="AD72" i="2"/>
  <c r="AD64" i="2"/>
  <c r="AD56" i="2"/>
  <c r="AD48" i="2"/>
  <c r="AD40" i="2"/>
  <c r="AD32" i="2"/>
  <c r="Y164" i="2"/>
  <c r="AA164" i="2" s="1"/>
  <c r="AI164" i="2"/>
  <c r="Y100" i="2"/>
  <c r="AA100" i="2" s="1"/>
  <c r="AD129" i="2"/>
  <c r="AD89" i="2"/>
  <c r="AB13" i="2"/>
  <c r="AD13" i="2" s="1"/>
  <c r="AB5" i="2"/>
  <c r="AD5" i="2" s="1"/>
  <c r="W160" i="2"/>
  <c r="AE160" i="2" s="1"/>
  <c r="W40" i="2"/>
  <c r="AE40" i="2" s="1"/>
  <c r="W10" i="2"/>
  <c r="AE10" i="2" s="1"/>
  <c r="AI24" i="2"/>
  <c r="AF24" i="2"/>
  <c r="AD159" i="2"/>
  <c r="AD151" i="2"/>
  <c r="AD143" i="2"/>
  <c r="AD135" i="2"/>
  <c r="AD127" i="2"/>
  <c r="AD119" i="2"/>
  <c r="AD111" i="2"/>
  <c r="AD103" i="2"/>
  <c r="AD95" i="2"/>
  <c r="AD87" i="2"/>
  <c r="AD79" i="2"/>
  <c r="AD71" i="2"/>
  <c r="AD63" i="2"/>
  <c r="AD55" i="2"/>
  <c r="AD47" i="2"/>
  <c r="AD39" i="2"/>
  <c r="AD31" i="2"/>
  <c r="AD153" i="2"/>
  <c r="AD113" i="2"/>
  <c r="AD17" i="2"/>
  <c r="AB12" i="2"/>
  <c r="AD12" i="2" s="1"/>
  <c r="AB4" i="2"/>
  <c r="AD4" i="2" s="1"/>
  <c r="W56" i="2"/>
  <c r="AE56" i="2" s="1"/>
  <c r="AF108" i="2"/>
  <c r="AF52" i="2"/>
  <c r="AF148" i="2"/>
  <c r="AD121" i="2"/>
  <c r="AD81" i="2"/>
  <c r="AF9" i="2"/>
  <c r="AI9" i="2"/>
  <c r="AB11" i="2"/>
  <c r="AD11" i="2" s="1"/>
  <c r="W7" i="2"/>
  <c r="AE7" i="2" s="1"/>
  <c r="AI88" i="2"/>
  <c r="AF88" i="2"/>
  <c r="AG88" i="2" s="1"/>
  <c r="AF60" i="2"/>
  <c r="AD145" i="2"/>
  <c r="AD97" i="2"/>
  <c r="AD41" i="2"/>
  <c r="AD10" i="2"/>
  <c r="AF10" i="2"/>
  <c r="AI152" i="2"/>
  <c r="AF152" i="2"/>
  <c r="AG152" i="2" s="1"/>
  <c r="AF124" i="2"/>
  <c r="AF68" i="2"/>
  <c r="AF20" i="2"/>
  <c r="AD164" i="2"/>
  <c r="AD156" i="2"/>
  <c r="AD148" i="2"/>
  <c r="AD140" i="2"/>
  <c r="AD132" i="2"/>
  <c r="AD124" i="2"/>
  <c r="AD116" i="2"/>
  <c r="AD108" i="2"/>
  <c r="AD100" i="2"/>
  <c r="AD92" i="2"/>
  <c r="AD84" i="2"/>
  <c r="AD76" i="2"/>
  <c r="AD68" i="2"/>
  <c r="AD60" i="2"/>
  <c r="AD52" i="2"/>
  <c r="AD44" i="2"/>
  <c r="AD36" i="2"/>
  <c r="AD28" i="2"/>
  <c r="AD20" i="2"/>
  <c r="AD27" i="2"/>
  <c r="AD19" i="2"/>
  <c r="AD26" i="2"/>
  <c r="AD18" i="2"/>
  <c r="AD24" i="2"/>
  <c r="AD16" i="2"/>
  <c r="AD23" i="2"/>
  <c r="AD15" i="2"/>
  <c r="AD22" i="2"/>
  <c r="AA163" i="2"/>
  <c r="AA155" i="2"/>
  <c r="AA147" i="2"/>
  <c r="AA139" i="2"/>
  <c r="AA131" i="2"/>
  <c r="AA123" i="2"/>
  <c r="AA115" i="2"/>
  <c r="AA107" i="2"/>
  <c r="AA99" i="2"/>
  <c r="AA91" i="2"/>
  <c r="AA83" i="2"/>
  <c r="AA75" i="2"/>
  <c r="AA67" i="2"/>
  <c r="AA59" i="2"/>
  <c r="AA51" i="2"/>
  <c r="AA43" i="2"/>
  <c r="AA35" i="2"/>
  <c r="AA27" i="2"/>
  <c r="AA19" i="2"/>
  <c r="AD29" i="2"/>
  <c r="AD21" i="2"/>
  <c r="AI158" i="2"/>
  <c r="AF158" i="2"/>
  <c r="W158" i="2"/>
  <c r="AE158" i="2" s="1"/>
  <c r="AI150" i="2"/>
  <c r="AF150" i="2"/>
  <c r="W150" i="2"/>
  <c r="AE150" i="2" s="1"/>
  <c r="AI142" i="2"/>
  <c r="AF142" i="2"/>
  <c r="W142" i="2"/>
  <c r="AE142" i="2" s="1"/>
  <c r="AI126" i="2"/>
  <c r="AF126" i="2"/>
  <c r="W126" i="2"/>
  <c r="AE126" i="2" s="1"/>
  <c r="AI110" i="2"/>
  <c r="AF110" i="2"/>
  <c r="W110" i="2"/>
  <c r="AE110" i="2" s="1"/>
  <c r="AI102" i="2"/>
  <c r="AF102" i="2"/>
  <c r="W102" i="2"/>
  <c r="AE102" i="2" s="1"/>
  <c r="AI94" i="2"/>
  <c r="AF94" i="2"/>
  <c r="W94" i="2"/>
  <c r="AE94" i="2" s="1"/>
  <c r="AI86" i="2"/>
  <c r="AF86" i="2"/>
  <c r="W86" i="2"/>
  <c r="AE86" i="2" s="1"/>
  <c r="AI78" i="2"/>
  <c r="AF78" i="2"/>
  <c r="W78" i="2"/>
  <c r="AE78" i="2" s="1"/>
  <c r="AI70" i="2"/>
  <c r="AF70" i="2"/>
  <c r="W70" i="2"/>
  <c r="AE70" i="2" s="1"/>
  <c r="AI62" i="2"/>
  <c r="AF62" i="2"/>
  <c r="W62" i="2"/>
  <c r="AE62" i="2" s="1"/>
  <c r="AI54" i="2"/>
  <c r="AF54" i="2"/>
  <c r="W54" i="2"/>
  <c r="AE54" i="2" s="1"/>
  <c r="AI46" i="2"/>
  <c r="AF46" i="2"/>
  <c r="W46" i="2"/>
  <c r="AE46" i="2" s="1"/>
  <c r="AI38" i="2"/>
  <c r="AF38" i="2"/>
  <c r="W38" i="2"/>
  <c r="AE38" i="2" s="1"/>
  <c r="AI30" i="2"/>
  <c r="AF30" i="2"/>
  <c r="W30" i="2"/>
  <c r="AE30" i="2" s="1"/>
  <c r="AI22" i="2"/>
  <c r="AF22" i="2"/>
  <c r="W22" i="2"/>
  <c r="AE22" i="2" s="1"/>
  <c r="W144" i="2"/>
  <c r="AE144" i="2" s="1"/>
  <c r="W108" i="2"/>
  <c r="AE108" i="2" s="1"/>
  <c r="W80" i="2"/>
  <c r="AE80" i="2" s="1"/>
  <c r="W44" i="2"/>
  <c r="AE44" i="2" s="1"/>
  <c r="W16" i="2"/>
  <c r="AE16" i="2" s="1"/>
  <c r="W163" i="2"/>
  <c r="AE163" i="2" s="1"/>
  <c r="AF163" i="2"/>
  <c r="AI163" i="2"/>
  <c r="W155" i="2"/>
  <c r="AE155" i="2" s="1"/>
  <c r="AF155" i="2"/>
  <c r="AI155" i="2"/>
  <c r="W147" i="2"/>
  <c r="AE147" i="2" s="1"/>
  <c r="AF147" i="2"/>
  <c r="AI147" i="2"/>
  <c r="W131" i="2"/>
  <c r="AE131" i="2" s="1"/>
  <c r="AF131" i="2"/>
  <c r="AI131" i="2"/>
  <c r="W107" i="2"/>
  <c r="AE107" i="2" s="1"/>
  <c r="AF107" i="2"/>
  <c r="AI107" i="2"/>
  <c r="W99" i="2"/>
  <c r="AE99" i="2" s="1"/>
  <c r="AF99" i="2"/>
  <c r="AI99" i="2"/>
  <c r="W91" i="2"/>
  <c r="AE91" i="2" s="1"/>
  <c r="AF91" i="2"/>
  <c r="AI91" i="2"/>
  <c r="W83" i="2"/>
  <c r="AE83" i="2" s="1"/>
  <c r="AF83" i="2"/>
  <c r="AI83" i="2"/>
  <c r="W75" i="2"/>
  <c r="AE75" i="2" s="1"/>
  <c r="AF75" i="2"/>
  <c r="AI75" i="2"/>
  <c r="W67" i="2"/>
  <c r="AE67" i="2" s="1"/>
  <c r="AF67" i="2"/>
  <c r="AI67" i="2"/>
  <c r="W59" i="2"/>
  <c r="AE59" i="2" s="1"/>
  <c r="AF59" i="2"/>
  <c r="AI59" i="2"/>
  <c r="W51" i="2"/>
  <c r="AE51" i="2" s="1"/>
  <c r="AF51" i="2"/>
  <c r="AI51" i="2"/>
  <c r="W43" i="2"/>
  <c r="AE43" i="2" s="1"/>
  <c r="AF43" i="2"/>
  <c r="AI43" i="2"/>
  <c r="W35" i="2"/>
  <c r="AE35" i="2" s="1"/>
  <c r="AF35" i="2"/>
  <c r="AI35" i="2"/>
  <c r="W27" i="2"/>
  <c r="AE27" i="2" s="1"/>
  <c r="AF27" i="2"/>
  <c r="AI27" i="2"/>
  <c r="W19" i="2"/>
  <c r="AE19" i="2" s="1"/>
  <c r="AF19" i="2"/>
  <c r="AI19" i="2"/>
  <c r="AF144" i="2"/>
  <c r="AF80" i="2"/>
  <c r="AF16" i="2"/>
  <c r="AI52" i="2"/>
  <c r="W52" i="2"/>
  <c r="AE52" i="2" s="1"/>
  <c r="W24" i="2"/>
  <c r="AE24" i="2" s="1"/>
  <c r="AF162" i="2"/>
  <c r="AG162" i="2" s="1"/>
  <c r="AI162" i="2"/>
  <c r="AF154" i="2"/>
  <c r="AG154" i="2" s="1"/>
  <c r="AI154" i="2"/>
  <c r="AF146" i="2"/>
  <c r="AG146" i="2" s="1"/>
  <c r="AI146" i="2"/>
  <c r="AF130" i="2"/>
  <c r="AI130" i="2"/>
  <c r="AF106" i="2"/>
  <c r="AG106" i="2" s="1"/>
  <c r="AI106" i="2"/>
  <c r="AF98" i="2"/>
  <c r="AG98" i="2" s="1"/>
  <c r="AI98" i="2"/>
  <c r="AF90" i="2"/>
  <c r="AG90" i="2" s="1"/>
  <c r="AI90" i="2"/>
  <c r="AF82" i="2"/>
  <c r="AG82" i="2" s="1"/>
  <c r="AI82" i="2"/>
  <c r="AF74" i="2"/>
  <c r="AG74" i="2" s="1"/>
  <c r="AI74" i="2"/>
  <c r="AF66" i="2"/>
  <c r="AI66" i="2"/>
  <c r="AF58" i="2"/>
  <c r="AG58" i="2" s="1"/>
  <c r="AI58" i="2"/>
  <c r="AF50" i="2"/>
  <c r="AG50" i="2" s="1"/>
  <c r="AI50" i="2"/>
  <c r="AF42" i="2"/>
  <c r="AG42" i="2" s="1"/>
  <c r="AI42" i="2"/>
  <c r="AF34" i="2"/>
  <c r="AG34" i="2" s="1"/>
  <c r="AI34" i="2"/>
  <c r="AF26" i="2"/>
  <c r="AG26" i="2" s="1"/>
  <c r="AI26" i="2"/>
  <c r="AF18" i="2"/>
  <c r="AG18" i="2" s="1"/>
  <c r="AI18" i="2"/>
  <c r="AF72" i="2"/>
  <c r="AI108" i="2"/>
  <c r="AI44" i="2"/>
  <c r="AF161" i="2"/>
  <c r="AG161" i="2" s="1"/>
  <c r="AI161" i="2"/>
  <c r="AF153" i="2"/>
  <c r="AG153" i="2" s="1"/>
  <c r="AI153" i="2"/>
  <c r="AF145" i="2"/>
  <c r="AG145" i="2" s="1"/>
  <c r="AI145" i="2"/>
  <c r="AF129" i="2"/>
  <c r="AG129" i="2" s="1"/>
  <c r="AI129" i="2"/>
  <c r="AF105" i="2"/>
  <c r="AG105" i="2" s="1"/>
  <c r="AI105" i="2"/>
  <c r="AF97" i="2"/>
  <c r="AG97" i="2" s="1"/>
  <c r="AI97" i="2"/>
  <c r="AF89" i="2"/>
  <c r="AG89" i="2" s="1"/>
  <c r="AI89" i="2"/>
  <c r="AF81" i="2"/>
  <c r="AG81" i="2" s="1"/>
  <c r="AI81" i="2"/>
  <c r="AF73" i="2"/>
  <c r="AG73" i="2" s="1"/>
  <c r="AI73" i="2"/>
  <c r="AF65" i="2"/>
  <c r="AG65" i="2" s="1"/>
  <c r="AI65" i="2"/>
  <c r="AF57" i="2"/>
  <c r="AI57" i="2"/>
  <c r="AF49" i="2"/>
  <c r="AG49" i="2" s="1"/>
  <c r="AI49" i="2"/>
  <c r="AF41" i="2"/>
  <c r="AG41" i="2" s="1"/>
  <c r="AI41" i="2"/>
  <c r="AF33" i="2"/>
  <c r="AG33" i="2" s="1"/>
  <c r="AI33" i="2"/>
  <c r="AF25" i="2"/>
  <c r="AG25" i="2" s="1"/>
  <c r="AI25" i="2"/>
  <c r="AF17" i="2"/>
  <c r="AG17" i="2" s="1"/>
  <c r="AI17" i="2"/>
  <c r="AF128" i="2"/>
  <c r="AG128" i="2" s="1"/>
  <c r="AF64" i="2"/>
  <c r="AG64" i="2" s="1"/>
  <c r="AI100" i="2"/>
  <c r="AI36" i="2"/>
  <c r="AF56" i="2"/>
  <c r="AI156" i="2"/>
  <c r="AI92" i="2"/>
  <c r="AI28" i="2"/>
  <c r="W132" i="2"/>
  <c r="AE132" i="2" s="1"/>
  <c r="W68" i="2"/>
  <c r="AE68" i="2" s="1"/>
  <c r="W130" i="2"/>
  <c r="AE130" i="2" s="1"/>
  <c r="W76" i="2"/>
  <c r="AE76" i="2" s="1"/>
  <c r="AG76" i="2" s="1"/>
  <c r="W66" i="2"/>
  <c r="AE66" i="2" s="1"/>
  <c r="W57" i="2"/>
  <c r="AE57" i="2" s="1"/>
  <c r="W48" i="2"/>
  <c r="AE48" i="2" s="1"/>
  <c r="AI159" i="2"/>
  <c r="AF159" i="2"/>
  <c r="AG159" i="2" s="1"/>
  <c r="AI151" i="2"/>
  <c r="AF151" i="2"/>
  <c r="AG151" i="2" s="1"/>
  <c r="AI143" i="2"/>
  <c r="AF143" i="2"/>
  <c r="AG143" i="2" s="1"/>
  <c r="AI127" i="2"/>
  <c r="AF127" i="2"/>
  <c r="AG127" i="2" s="1"/>
  <c r="AI111" i="2"/>
  <c r="AF111" i="2"/>
  <c r="AG111" i="2" s="1"/>
  <c r="AI103" i="2"/>
  <c r="AF103" i="2"/>
  <c r="AG103" i="2" s="1"/>
  <c r="AI95" i="2"/>
  <c r="AF95" i="2"/>
  <c r="AG95" i="2" s="1"/>
  <c r="AI87" i="2"/>
  <c r="AF87" i="2"/>
  <c r="AG87" i="2" s="1"/>
  <c r="AI79" i="2"/>
  <c r="AF79" i="2"/>
  <c r="AG79" i="2" s="1"/>
  <c r="AI71" i="2"/>
  <c r="AF71" i="2"/>
  <c r="AG71" i="2" s="1"/>
  <c r="AI63" i="2"/>
  <c r="AF63" i="2"/>
  <c r="AG63" i="2" s="1"/>
  <c r="AI55" i="2"/>
  <c r="AF55" i="2"/>
  <c r="AG55" i="2" s="1"/>
  <c r="AI47" i="2"/>
  <c r="AF47" i="2"/>
  <c r="AG47" i="2" s="1"/>
  <c r="AI39" i="2"/>
  <c r="AF39" i="2"/>
  <c r="AG39" i="2" s="1"/>
  <c r="AI31" i="2"/>
  <c r="AF31" i="2"/>
  <c r="AG31" i="2" s="1"/>
  <c r="AI23" i="2"/>
  <c r="AF23" i="2"/>
  <c r="AG23" i="2" s="1"/>
  <c r="AI15" i="2"/>
  <c r="AF15" i="2"/>
  <c r="AG15" i="2" s="1"/>
  <c r="AF48" i="2"/>
  <c r="AI148" i="2"/>
  <c r="AI84" i="2"/>
  <c r="W148" i="2"/>
  <c r="AE148" i="2" s="1"/>
  <c r="W84" i="2"/>
  <c r="AE84" i="2" s="1"/>
  <c r="AF104" i="2"/>
  <c r="AG104" i="2" s="1"/>
  <c r="AF40" i="2"/>
  <c r="AI76" i="2"/>
  <c r="W156" i="2"/>
  <c r="AE156" i="2" s="1"/>
  <c r="W92" i="2"/>
  <c r="AE92" i="2" s="1"/>
  <c r="W28" i="2"/>
  <c r="AE28" i="2" s="1"/>
  <c r="AI165" i="2"/>
  <c r="AF165" i="2"/>
  <c r="AG165" i="2" s="1"/>
  <c r="AI157" i="2"/>
  <c r="AF157" i="2"/>
  <c r="AG157" i="2" s="1"/>
  <c r="AI149" i="2"/>
  <c r="AF149" i="2"/>
  <c r="AG149" i="2" s="1"/>
  <c r="AI141" i="2"/>
  <c r="AF141" i="2"/>
  <c r="AG141" i="2" s="1"/>
  <c r="AI133" i="2"/>
  <c r="AF133" i="2"/>
  <c r="AG133" i="2" s="1"/>
  <c r="AI125" i="2"/>
  <c r="AF125" i="2"/>
  <c r="AG125" i="2" s="1"/>
  <c r="AI109" i="2"/>
  <c r="AF109" i="2"/>
  <c r="AG109" i="2" s="1"/>
  <c r="AI101" i="2"/>
  <c r="AF101" i="2"/>
  <c r="AG101" i="2" s="1"/>
  <c r="AI93" i="2"/>
  <c r="AF93" i="2"/>
  <c r="AG93" i="2" s="1"/>
  <c r="AI85" i="2"/>
  <c r="AF85" i="2"/>
  <c r="AG85" i="2" s="1"/>
  <c r="AI77" i="2"/>
  <c r="AF77" i="2"/>
  <c r="AG77" i="2" s="1"/>
  <c r="AI69" i="2"/>
  <c r="AF69" i="2"/>
  <c r="AG69" i="2" s="1"/>
  <c r="AI61" i="2"/>
  <c r="AF61" i="2"/>
  <c r="AG61" i="2" s="1"/>
  <c r="AI53" i="2"/>
  <c r="AF53" i="2"/>
  <c r="AG53" i="2" s="1"/>
  <c r="AI45" i="2"/>
  <c r="AF45" i="2"/>
  <c r="AG45" i="2" s="1"/>
  <c r="AI37" i="2"/>
  <c r="AF37" i="2"/>
  <c r="AG37" i="2" s="1"/>
  <c r="AI29" i="2"/>
  <c r="AF29" i="2"/>
  <c r="AG29" i="2" s="1"/>
  <c r="AI21" i="2"/>
  <c r="AF21" i="2"/>
  <c r="AG21" i="2" s="1"/>
  <c r="AF160" i="2"/>
  <c r="AF96" i="2"/>
  <c r="AF32" i="2"/>
  <c r="AG32" i="2" s="1"/>
  <c r="AI132" i="2"/>
  <c r="L2" i="2"/>
  <c r="AG28" i="2" l="1"/>
  <c r="AG44" i="2"/>
  <c r="AG72" i="2"/>
  <c r="AG92" i="2"/>
  <c r="AG68" i="2"/>
  <c r="AG132" i="2"/>
  <c r="AG9" i="2"/>
  <c r="AG56" i="2"/>
  <c r="AG24" i="2"/>
  <c r="AG96" i="2"/>
  <c r="AG156" i="2"/>
  <c r="AG91" i="2"/>
  <c r="AG46" i="2"/>
  <c r="AG148" i="2"/>
  <c r="AG130" i="2"/>
  <c r="AG108" i="2"/>
  <c r="AG102" i="2"/>
  <c r="AG84" i="2"/>
  <c r="AG155" i="2"/>
  <c r="AG94" i="2"/>
  <c r="AG67" i="2"/>
  <c r="AG30" i="2"/>
  <c r="AG66" i="2"/>
  <c r="AI68" i="2"/>
  <c r="AG160" i="2"/>
  <c r="AG158" i="2"/>
  <c r="W124" i="2"/>
  <c r="AE124" i="2" s="1"/>
  <c r="AG124" i="2" s="1"/>
  <c r="AG131" i="2"/>
  <c r="AI124" i="2"/>
  <c r="AI140" i="2"/>
  <c r="W140" i="2"/>
  <c r="AE140" i="2" s="1"/>
  <c r="AG140" i="2" s="1"/>
  <c r="AG110" i="2"/>
  <c r="AI60" i="2"/>
  <c r="W60" i="2"/>
  <c r="AE60" i="2" s="1"/>
  <c r="AG60" i="2" s="1"/>
  <c r="AG52" i="2"/>
  <c r="AG57" i="2"/>
  <c r="AG40" i="2"/>
  <c r="AG38" i="2"/>
  <c r="AI20" i="2"/>
  <c r="AG27" i="2"/>
  <c r="W20" i="2"/>
  <c r="AE20" i="2" s="1"/>
  <c r="AG20" i="2" s="1"/>
  <c r="AF5" i="2"/>
  <c r="AI5" i="2"/>
  <c r="W5" i="2"/>
  <c r="AE5" i="2" s="1"/>
  <c r="AG75" i="2"/>
  <c r="AI12" i="2"/>
  <c r="AF12" i="2"/>
  <c r="W12" i="2"/>
  <c r="AE12" i="2" s="1"/>
  <c r="AF6" i="2"/>
  <c r="AI6" i="2"/>
  <c r="W6" i="2"/>
  <c r="AE6" i="2" s="1"/>
  <c r="AF36" i="2"/>
  <c r="W36" i="2"/>
  <c r="AE36" i="2" s="1"/>
  <c r="W11" i="2"/>
  <c r="AE11" i="2" s="1"/>
  <c r="AI11" i="2"/>
  <c r="AF11" i="2"/>
  <c r="AG10" i="2"/>
  <c r="AF100" i="2"/>
  <c r="W100" i="2"/>
  <c r="AE100" i="2" s="1"/>
  <c r="W8" i="2"/>
  <c r="AE8" i="2" s="1"/>
  <c r="AF8" i="2"/>
  <c r="AI8" i="2"/>
  <c r="AG83" i="2"/>
  <c r="AG147" i="2"/>
  <c r="AG7" i="2"/>
  <c r="AI4" i="2"/>
  <c r="AF4" i="2"/>
  <c r="W4" i="2"/>
  <c r="AE4" i="2" s="1"/>
  <c r="AF14" i="2"/>
  <c r="AI14" i="2"/>
  <c r="W14" i="2"/>
  <c r="AE14" i="2" s="1"/>
  <c r="AF164" i="2"/>
  <c r="W164" i="2"/>
  <c r="AE164" i="2" s="1"/>
  <c r="AG54" i="2"/>
  <c r="AF13" i="2"/>
  <c r="AI13" i="2"/>
  <c r="W13" i="2"/>
  <c r="AE13" i="2" s="1"/>
  <c r="AG19" i="2"/>
  <c r="AG59" i="2"/>
  <c r="AG16" i="2"/>
  <c r="AG78" i="2"/>
  <c r="AG142" i="2"/>
  <c r="AG43" i="2"/>
  <c r="AG107" i="2"/>
  <c r="AG62" i="2"/>
  <c r="AG126" i="2"/>
  <c r="AG80" i="2"/>
  <c r="AG22" i="2"/>
  <c r="AG86" i="2"/>
  <c r="AG150" i="2"/>
  <c r="AG48" i="2"/>
  <c r="AG51" i="2"/>
  <c r="AG70" i="2"/>
  <c r="AG144" i="2"/>
  <c r="AG35" i="2"/>
  <c r="AG99" i="2"/>
  <c r="AG163" i="2"/>
  <c r="AG100" i="2" l="1"/>
  <c r="AG14" i="2"/>
  <c r="AG12" i="2"/>
  <c r="AG13" i="2"/>
  <c r="AG6" i="2"/>
  <c r="AG5" i="2"/>
  <c r="AG36" i="2"/>
  <c r="AG11" i="2"/>
  <c r="AG4" i="2"/>
  <c r="AG8" i="2"/>
  <c r="AG164" i="2"/>
  <c r="K3" i="1"/>
  <c r="E4" i="1"/>
  <c r="AC3" i="2" l="1"/>
  <c r="AC2" i="2"/>
  <c r="S2" i="2"/>
  <c r="W2" i="2" s="1"/>
  <c r="AB2" i="2"/>
  <c r="K2" i="1"/>
  <c r="K4" i="1" s="1"/>
  <c r="F4" i="1"/>
  <c r="F5" i="1"/>
  <c r="G4" i="1"/>
  <c r="H4" i="1"/>
  <c r="I5" i="1"/>
  <c r="I4" i="1"/>
  <c r="J5" i="1"/>
  <c r="J4" i="1"/>
  <c r="W3" i="2" l="1"/>
  <c r="AE3" i="2" s="1"/>
  <c r="AB3" i="2"/>
  <c r="AD3" i="2" s="1"/>
  <c r="AE2" i="2"/>
  <c r="AF2" i="2"/>
  <c r="AI2" i="2"/>
  <c r="AD2" i="2"/>
  <c r="AI3" i="2"/>
  <c r="AF3" i="2"/>
  <c r="K5" i="1"/>
  <c r="AG3" i="2" l="1"/>
  <c r="AG2" i="2"/>
  <c r="Z2" i="2"/>
  <c r="Z3" i="2"/>
  <c r="Y2" i="2"/>
  <c r="Y3" i="2"/>
  <c r="AA3" i="2" l="1"/>
  <c r="AA2" i="2"/>
  <c r="AF121" i="2"/>
  <c r="W121" i="2"/>
  <c r="AE121" i="2" s="1"/>
  <c r="AI121" i="2"/>
  <c r="AF122" i="2"/>
  <c r="W122" i="2"/>
  <c r="AE122" i="2" s="1"/>
  <c r="AI122" i="2"/>
  <c r="AF123" i="2"/>
  <c r="AI123" i="2"/>
  <c r="AF114" i="2"/>
  <c r="W114" i="2"/>
  <c r="AE114" i="2" s="1"/>
  <c r="AG114" i="2" s="1"/>
  <c r="AI114" i="2"/>
  <c r="AF118" i="2"/>
  <c r="W118" i="2"/>
  <c r="AE118" i="2" s="1"/>
  <c r="AI118" i="2"/>
  <c r="AI120" i="2"/>
  <c r="W120" i="2"/>
  <c r="AE120" i="2" s="1"/>
  <c r="AF120" i="2"/>
  <c r="AI113" i="2"/>
  <c r="W113" i="2"/>
  <c r="AE113" i="2" s="1"/>
  <c r="AF113" i="2"/>
  <c r="AF112" i="2"/>
  <c r="W112" i="2"/>
  <c r="AE112" i="2" s="1"/>
  <c r="AI112" i="2"/>
  <c r="AF117" i="2"/>
  <c r="W117" i="2"/>
  <c r="AE117" i="2" s="1"/>
  <c r="AI117" i="2"/>
  <c r="AF119" i="2"/>
  <c r="W119" i="2"/>
  <c r="AE119" i="2" s="1"/>
  <c r="AI119" i="2"/>
  <c r="AI115" i="2"/>
  <c r="W115" i="2"/>
  <c r="AE115" i="2" s="1"/>
  <c r="AF115" i="2"/>
  <c r="AI116" i="2"/>
  <c r="W116" i="2"/>
  <c r="AE116" i="2" s="1"/>
  <c r="AF116" i="2"/>
  <c r="W123" i="2"/>
  <c r="AE123" i="2" s="1"/>
  <c r="AG123" i="2" l="1"/>
  <c r="AG121" i="2"/>
  <c r="AG113" i="2"/>
  <c r="AG112" i="2"/>
  <c r="AG122" i="2"/>
  <c r="AG119" i="2"/>
  <c r="AG120" i="2"/>
  <c r="AG116" i="2"/>
  <c r="AG117" i="2"/>
  <c r="AG115" i="2"/>
  <c r="AG118" i="2"/>
  <c r="AI136" i="2"/>
  <c r="AF136" i="2"/>
  <c r="AF139" i="2"/>
  <c r="W139" i="2"/>
  <c r="AE139" i="2" s="1"/>
  <c r="AI139" i="2"/>
  <c r="AI135" i="2"/>
  <c r="W135" i="2"/>
  <c r="AE135" i="2" s="1"/>
  <c r="AF135" i="2"/>
  <c r="W136" i="2"/>
  <c r="AE136" i="2" s="1"/>
  <c r="AF138" i="2"/>
  <c r="W138" i="2"/>
  <c r="AE138" i="2" s="1"/>
  <c r="AI138" i="2"/>
  <c r="AF137" i="2"/>
  <c r="W137" i="2"/>
  <c r="AE137" i="2" s="1"/>
  <c r="AI137" i="2"/>
  <c r="AF134" i="2"/>
  <c r="W134" i="2"/>
  <c r="AE134" i="2" s="1"/>
  <c r="AI134" i="2"/>
  <c r="AG138" i="2" l="1"/>
  <c r="AG137" i="2"/>
  <c r="AG139" i="2"/>
  <c r="AG136" i="2"/>
  <c r="AG134" i="2"/>
  <c r="AG135" i="2"/>
  <c r="AF173" i="2"/>
  <c r="AI173" i="2"/>
  <c r="AI177" i="2"/>
  <c r="AF177" i="2"/>
  <c r="AI174" i="2"/>
  <c r="W174" i="2"/>
  <c r="AE174" i="2" s="1"/>
  <c r="AF174" i="2"/>
  <c r="AF172" i="2"/>
  <c r="W172" i="2"/>
  <c r="AE172" i="2" s="1"/>
  <c r="AI172" i="2"/>
  <c r="AF175" i="2"/>
  <c r="W175" i="2"/>
  <c r="AE175" i="2" s="1"/>
  <c r="AI175" i="2"/>
  <c r="W173" i="2"/>
  <c r="AE173" i="2" s="1"/>
  <c r="AI176" i="2"/>
  <c r="W176" i="2"/>
  <c r="AE176" i="2" s="1"/>
  <c r="AF176" i="2"/>
  <c r="W177" i="2"/>
  <c r="AE177" i="2" s="1"/>
  <c r="AF180" i="2"/>
  <c r="AI180" i="2"/>
  <c r="AI182" i="2"/>
  <c r="W182" i="2"/>
  <c r="AE182" i="2" s="1"/>
  <c r="AF182" i="2"/>
  <c r="W180" i="2"/>
  <c r="AE180" i="2" s="1"/>
  <c r="AI181" i="2"/>
  <c r="W181" i="2"/>
  <c r="AE181" i="2" s="1"/>
  <c r="AF181" i="2"/>
  <c r="AI179" i="2"/>
  <c r="AF179" i="2"/>
  <c r="W179" i="2"/>
  <c r="AE179" i="2" s="1"/>
  <c r="AI178" i="2"/>
  <c r="W178" i="2"/>
  <c r="AE178" i="2" s="1"/>
  <c r="AF178" i="2"/>
  <c r="AG175" i="2" l="1"/>
  <c r="AG172" i="2"/>
  <c r="AG173" i="2"/>
  <c r="AG174" i="2"/>
  <c r="AG177" i="2"/>
  <c r="AG178" i="2"/>
  <c r="AG181" i="2"/>
  <c r="AG176" i="2"/>
  <c r="AG179" i="2"/>
  <c r="AG182" i="2"/>
  <c r="AG180" i="2"/>
  <c r="AF185" i="2"/>
  <c r="W185" i="2"/>
  <c r="AE185" i="2" s="1"/>
  <c r="AI185" i="2"/>
  <c r="AF183" i="2"/>
  <c r="W183" i="2"/>
  <c r="AE183" i="2" s="1"/>
  <c r="AG183" i="2" s="1"/>
  <c r="AI183" i="2"/>
  <c r="AF189" i="2"/>
  <c r="W189" i="2"/>
  <c r="AE189" i="2" s="1"/>
  <c r="AI189" i="2"/>
  <c r="AF187" i="2"/>
  <c r="AI187" i="2"/>
  <c r="AI186" i="2"/>
  <c r="AF186" i="2"/>
  <c r="AI184" i="2"/>
  <c r="W184" i="2"/>
  <c r="AE184" i="2" s="1"/>
  <c r="AF184" i="2"/>
  <c r="AF188" i="2"/>
  <c r="W188" i="2"/>
  <c r="AE188" i="2" s="1"/>
  <c r="AI188" i="2"/>
  <c r="AI190" i="2"/>
  <c r="W190" i="2"/>
  <c r="AE190" i="2" s="1"/>
  <c r="AF190" i="2"/>
  <c r="W187" i="2"/>
  <c r="AE187" i="2" s="1"/>
  <c r="W186" i="2"/>
  <c r="AE186" i="2" s="1"/>
  <c r="AG187" i="2" l="1"/>
  <c r="AG186" i="2"/>
  <c r="AG189" i="2"/>
  <c r="AG190" i="2"/>
  <c r="AG185" i="2"/>
  <c r="AG184" i="2"/>
  <c r="AG18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I1" authorId="0" shapeId="0" xr:uid="{45704D92-FE80-42D7-9D0F-A7B1FFAD8EC9}">
      <text>
        <r>
          <rPr>
            <sz val="9"/>
            <color indexed="81"/>
            <rFont val="Tahoma"/>
            <family val="2"/>
          </rPr>
          <t>* Stress amplitude at 2E6 cycles at R=-1</t>
        </r>
      </text>
    </comment>
    <comment ref="J1" authorId="0" shapeId="0" xr:uid="{D4E9C955-5769-4B56-A84F-DD85E574B1C6}">
      <text>
        <r>
          <rPr>
            <sz val="9"/>
            <color indexed="81"/>
            <rFont val="Tahoma"/>
            <family val="2"/>
          </rPr>
          <t>* Shear stress amplitude at 2E6 cycles at R=-1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L1" authorId="0" shapeId="0" xr:uid="{1CC4F29A-57B3-44F7-965B-DA237098AC81}">
      <text>
        <r>
          <rPr>
            <b/>
            <sz val="9"/>
            <color indexed="81"/>
            <rFont val="Tahoma"/>
            <family val="2"/>
          </rPr>
          <t>Net</t>
        </r>
        <r>
          <rPr>
            <sz val="9"/>
            <color indexed="81"/>
            <rFont val="Tahoma"/>
            <family val="2"/>
          </rPr>
          <t xml:space="preserve"> or </t>
        </r>
        <r>
          <rPr>
            <b/>
            <sz val="9"/>
            <color indexed="81"/>
            <rFont val="Tahoma"/>
            <family val="2"/>
          </rPr>
          <t>gross</t>
        </r>
        <r>
          <rPr>
            <sz val="9"/>
            <color indexed="81"/>
            <rFont val="Tahoma"/>
            <family val="2"/>
          </rPr>
          <t xml:space="preserve"> area depending on what the author used to evaluate the nominal stresses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<sst xmlns="http://schemas.openxmlformats.org/spreadsheetml/2006/main" count="2299" uniqueCount="257">
  <si>
    <t>Article DOI</t>
  </si>
  <si>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</si>
  <si>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</si>
  <si>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</si>
  <si>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</si>
  <si>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</si>
  <si>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</si>
  <si>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</si>
  <si>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</si>
  <si>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</si>
  <si>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AXIAL stress  (MPa)</t>
  </si>
  <si>
    <t>Amplitute AXIAL stress  (MPa)</t>
  </si>
  <si>
    <t>Mean SHEAR stress  (MPa)</t>
  </si>
  <si>
    <t>Amplitute SHEAR stress  (MPa)</t>
  </si>
  <si>
    <t>Mean internal pressure  (MPa)</t>
  </si>
  <si>
    <t>Amplitute internal pressure  (MPa)</t>
  </si>
  <si>
    <t>Maximum internal pressure  (MPa)</t>
  </si>
  <si>
    <t>Mean AXIAL force (N)</t>
  </si>
  <si>
    <t>Amplitude AXIAL force (N)</t>
  </si>
  <si>
    <t>Maximum AXIAL force (N)</t>
  </si>
  <si>
    <t>Maximum TORQUE (Nmm)</t>
  </si>
  <si>
    <t>Amplitude TORQUE (Nmm)</t>
  </si>
  <si>
    <t>Mean TORQUE (Nmm)</t>
  </si>
  <si>
    <t>Lambda (tauA/sigmaA)</t>
  </si>
  <si>
    <t>Phase radial load (°)</t>
  </si>
  <si>
    <t>Phase torsional load (°)</t>
  </si>
  <si>
    <t>Load ratio (RADIAL)</t>
  </si>
  <si>
    <t>Load ratio (AXIAL)</t>
  </si>
  <si>
    <t>Load ratio (TORSIONAL)</t>
  </si>
  <si>
    <t>Geometry picture</t>
  </si>
  <si>
    <t>Diameter (mm)</t>
  </si>
  <si>
    <t>Polar momento of inertia (mm^4)</t>
  </si>
  <si>
    <t>Failure type (complete rupture/stiffness decrease)</t>
  </si>
  <si>
    <t>Specimen name</t>
  </si>
  <si>
    <t>No</t>
  </si>
  <si>
    <t>Null</t>
  </si>
  <si>
    <t>Young's modulus (MPa)</t>
  </si>
  <si>
    <t>Tensile fatigue limit* (MPa)</t>
  </si>
  <si>
    <t>Standard deviation</t>
  </si>
  <si>
    <t>Average</t>
  </si>
  <si>
    <t>Torsional fatigue limit* (MPa)</t>
  </si>
  <si>
    <t>Article year</t>
  </si>
  <si>
    <t>Authors</t>
  </si>
  <si>
    <t>complete rupture</t>
  </si>
  <si>
    <t>Geometry type (flat/cylindrical)</t>
  </si>
  <si>
    <t>cylindrical</t>
  </si>
  <si>
    <t>Notched</t>
  </si>
  <si>
    <t>no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</si>
  <si>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</si>
  <si>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</si>
  <si>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</si>
  <si>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10.1016/j.ijmecsci.2025.109961</t>
  </si>
  <si>
    <t>Pedranz et al.</t>
  </si>
  <si>
    <t>Al 7075-T6511</t>
  </si>
  <si>
    <t>7.3</t>
  </si>
  <si>
    <t>10.1111/ffe.13530</t>
  </si>
  <si>
    <t>Benedetti et al.</t>
  </si>
  <si>
    <t>Plain_axial_1</t>
  </si>
  <si>
    <t>Plain_axial_2</t>
  </si>
  <si>
    <t>Plain_axial_3</t>
  </si>
  <si>
    <t>Plain_axial_4</t>
  </si>
  <si>
    <t>Plain_axial_5</t>
  </si>
  <si>
    <t>Plain_axial_6</t>
  </si>
  <si>
    <t>Plain_axial_7</t>
  </si>
  <si>
    <t>Plain_axial_8</t>
  </si>
  <si>
    <t>Plain_axial_9</t>
  </si>
  <si>
    <t>Plain_axial_10</t>
  </si>
  <si>
    <t>Plain_axial_11</t>
  </si>
  <si>
    <t>Plain_axial_12</t>
  </si>
  <si>
    <t>Plain_axial_13</t>
  </si>
  <si>
    <t>Yes</t>
  </si>
  <si>
    <t>Plain_axial_14</t>
  </si>
  <si>
    <t>Plain_axial_15</t>
  </si>
  <si>
    <t>Plain_axial_16</t>
  </si>
  <si>
    <t>Plain_axial_17</t>
  </si>
  <si>
    <t>Plain_axial_18</t>
  </si>
  <si>
    <t>Plain_axial_19</t>
  </si>
  <si>
    <t>Plain_axial_20</t>
  </si>
  <si>
    <t>Plain_axial_21</t>
  </si>
  <si>
    <t>Plain_axial_22</t>
  </si>
  <si>
    <t>Plain_axial_23</t>
  </si>
  <si>
    <t>Plain_axial_24</t>
  </si>
  <si>
    <t>Plain_axial_25</t>
  </si>
  <si>
    <t>Plain_axial_26</t>
  </si>
  <si>
    <t>Plain_axial_27</t>
  </si>
  <si>
    <t>Plain_axial_28</t>
  </si>
  <si>
    <t>Sharp_axial_1</t>
  </si>
  <si>
    <t>Sharp_axial_2</t>
  </si>
  <si>
    <t>Sharp_axial_3</t>
  </si>
  <si>
    <t>Sharp_axial_4</t>
  </si>
  <si>
    <t>Sharp_axial_5</t>
  </si>
  <si>
    <t>Sharp_axial_6</t>
  </si>
  <si>
    <t>Sharp_axial_7</t>
  </si>
  <si>
    <t>Sharp_axial_8</t>
  </si>
  <si>
    <t>Sharp_axial_9</t>
  </si>
  <si>
    <t>Sharp_axial_10</t>
  </si>
  <si>
    <t>Sharp_axial_11</t>
  </si>
  <si>
    <t>Sharp_axial_12</t>
  </si>
  <si>
    <t>Sharp_axial_13</t>
  </si>
  <si>
    <t>Sharp_axial_14</t>
  </si>
  <si>
    <t>Sharp_axial_15</t>
  </si>
  <si>
    <t>Sharp_axial_16</t>
  </si>
  <si>
    <t>Sharp_axial_17</t>
  </si>
  <si>
    <t>Sharp_axial_18</t>
  </si>
  <si>
    <t>Sharp_axial_19</t>
  </si>
  <si>
    <t>Sharp_axial_20</t>
  </si>
  <si>
    <t>Sharp_axial_21</t>
  </si>
  <si>
    <t>Sharp_axial_22</t>
  </si>
  <si>
    <t>Sharp_axial_23</t>
  </si>
  <si>
    <t>Sharp_axial_24</t>
  </si>
  <si>
    <t>Sharp_axial_25</t>
  </si>
  <si>
    <t>Sharp_axial_26</t>
  </si>
  <si>
    <t>Sharp_axial_27</t>
  </si>
  <si>
    <t>Sharp_axial_28</t>
  </si>
  <si>
    <t>Sharp_axial_29</t>
  </si>
  <si>
    <t>Sharp_axial_30</t>
  </si>
  <si>
    <t>Sharp_axial_31</t>
  </si>
  <si>
    <t>Sharp_axial_32</t>
  </si>
  <si>
    <t>Sharp_axial_33</t>
  </si>
  <si>
    <t>Plain_torsional_1</t>
  </si>
  <si>
    <t>Plain_torsional_2</t>
  </si>
  <si>
    <t>Plain_torsional_3</t>
  </si>
  <si>
    <t>Plain_torsional_4</t>
  </si>
  <si>
    <t>Plain_torsional_5</t>
  </si>
  <si>
    <t>Plain_torsional_6</t>
  </si>
  <si>
    <t>Plain_torsional_7</t>
  </si>
  <si>
    <t>Plain_torsional_8</t>
  </si>
  <si>
    <t>Plain_torsional_9</t>
  </si>
  <si>
    <t>Plain_torsional_10</t>
  </si>
  <si>
    <t>Plain_torsional_11</t>
  </si>
  <si>
    <t>Plain_torsional_12</t>
  </si>
  <si>
    <t>Plain_torsional_13</t>
  </si>
  <si>
    <t>Plain_torsional_14</t>
  </si>
  <si>
    <t>Plain_torsional_15</t>
  </si>
  <si>
    <t>Plain_torsional_16</t>
  </si>
  <si>
    <t>Plain_torsional_17</t>
  </si>
  <si>
    <t>Plain_torsional_18</t>
  </si>
  <si>
    <t>Plain_torsional_19</t>
  </si>
  <si>
    <t>Plain_torsional_20</t>
  </si>
  <si>
    <t>Plain_torsional_21</t>
  </si>
  <si>
    <t>Plain_torsional_22</t>
  </si>
  <si>
    <t>Plain_torsional_23</t>
  </si>
  <si>
    <t>Plain_torsional_24</t>
  </si>
  <si>
    <t>Plain_torsional_25</t>
  </si>
  <si>
    <t>Plain_torsional_26</t>
  </si>
  <si>
    <t>Sharp_torsional_1</t>
  </si>
  <si>
    <t>Sharp_torsional_2</t>
  </si>
  <si>
    <t>Sharp_torsional_3</t>
  </si>
  <si>
    <t>Sharp_torsional_4</t>
  </si>
  <si>
    <t>Sharp_torsional_5</t>
  </si>
  <si>
    <t>Sharp_torsional_6</t>
  </si>
  <si>
    <t>Sharp_torsional_7</t>
  </si>
  <si>
    <t>Sharp_torsional_8</t>
  </si>
  <si>
    <t>Sharp_torsional_9</t>
  </si>
  <si>
    <t>Sharp_torsional_10</t>
  </si>
  <si>
    <t>Sharp_torsional_11</t>
  </si>
  <si>
    <t>Sharp_torsional_12</t>
  </si>
  <si>
    <t>Sharp_torsional_13</t>
  </si>
  <si>
    <t>Blunt_torsional_1</t>
  </si>
  <si>
    <t>Blunt_torsional_2</t>
  </si>
  <si>
    <t>Blunt_torsional_3</t>
  </si>
  <si>
    <t>Blunt_torsional_4</t>
  </si>
  <si>
    <t>Blunt_torsional_5</t>
  </si>
  <si>
    <t>Blunt_torsional_6</t>
  </si>
  <si>
    <t>Blunt_torsional_7</t>
  </si>
  <si>
    <t>Blunt_torsional_8</t>
  </si>
  <si>
    <t>Blunt_torsional_9</t>
  </si>
  <si>
    <t>Blunt_torsional_10</t>
  </si>
  <si>
    <t>Plain_multi_1</t>
  </si>
  <si>
    <t>Plain_multi_2</t>
  </si>
  <si>
    <t>Plain_multi_3</t>
  </si>
  <si>
    <t>Plain_multi_4</t>
  </si>
  <si>
    <t>Plain_multi_5</t>
  </si>
  <si>
    <t>Plain_multi_6</t>
  </si>
  <si>
    <t>Plain_multi_7</t>
  </si>
  <si>
    <t>Plain_multi_8</t>
  </si>
  <si>
    <t>Plain_multi_9</t>
  </si>
  <si>
    <t>Plain_multi_10</t>
  </si>
  <si>
    <t>Plain_multi_11</t>
  </si>
  <si>
    <t>Plain_multi_12</t>
  </si>
  <si>
    <t>Plain_multi_13</t>
  </si>
  <si>
    <t>Plain_multi_14</t>
  </si>
  <si>
    <t>Plain_multi_15</t>
  </si>
  <si>
    <t>Plain_multi_16</t>
  </si>
  <si>
    <t>Plain_multi_17</t>
  </si>
  <si>
    <t>Plain_multi_18</t>
  </si>
  <si>
    <t>Plain_multi_19</t>
  </si>
  <si>
    <t>Plain_multi_20</t>
  </si>
  <si>
    <t>Plain_multi_21</t>
  </si>
  <si>
    <t>Plain_multi_22</t>
  </si>
  <si>
    <t>Plain_multi_23</t>
  </si>
  <si>
    <t>Plain_multi_24</t>
  </si>
  <si>
    <t>Plain_multi_25</t>
  </si>
  <si>
    <t>Plain_multi_26</t>
  </si>
  <si>
    <t>Plain_multi_27</t>
  </si>
  <si>
    <t>Plain_multi_28</t>
  </si>
  <si>
    <t>Sharp_multi_1</t>
  </si>
  <si>
    <t>Sharp_multi_2</t>
  </si>
  <si>
    <t>Sharp_multi_3</t>
  </si>
  <si>
    <t>Sharp_multi_4</t>
  </si>
  <si>
    <t>Sharp_multi_5</t>
  </si>
  <si>
    <t>Sharp_multi_6</t>
  </si>
  <si>
    <t>Sharp_multi_7</t>
  </si>
  <si>
    <t>Sharp_multi_8</t>
  </si>
  <si>
    <t>Sharp_multi_9</t>
  </si>
  <si>
    <t>Sharp_multi_10</t>
  </si>
  <si>
    <t>Sharp_multi_11</t>
  </si>
  <si>
    <t>Sharp_multi_12</t>
  </si>
  <si>
    <t>Sharp_multi_13</t>
  </si>
  <si>
    <t>Sharp_multi_14</t>
  </si>
  <si>
    <t>Sharp_multi_15</t>
  </si>
  <si>
    <t>Sharp_multi_16</t>
  </si>
  <si>
    <t>Sharp_multi_17</t>
  </si>
  <si>
    <t>Sharp_multi_18</t>
  </si>
  <si>
    <t>Sharp_multi_19</t>
  </si>
  <si>
    <t>Plain_multi_29</t>
  </si>
  <si>
    <t>Plain_multi_30</t>
  </si>
  <si>
    <t>Plain_multi_31</t>
  </si>
  <si>
    <t>Plain_multi_32</t>
  </si>
  <si>
    <t>Plain_multi_33</t>
  </si>
  <si>
    <t>Plain_multi_34</t>
  </si>
  <si>
    <t>Plain_multi_35</t>
  </si>
  <si>
    <t>Plain_multi_36</t>
  </si>
  <si>
    <t>Plain_multi_37</t>
  </si>
  <si>
    <t>Plain_multi_38</t>
  </si>
  <si>
    <t>Plain_multi_39</t>
  </si>
  <si>
    <t>Plain_multi_40</t>
  </si>
  <si>
    <t>Plain_multi_41</t>
  </si>
  <si>
    <t>Plain_multi_42</t>
  </si>
  <si>
    <t>Plain_multi_43</t>
  </si>
  <si>
    <t>Plain_multi_44</t>
  </si>
  <si>
    <t>Plain_multi_45</t>
  </si>
  <si>
    <t>Plain_multi_46</t>
  </si>
  <si>
    <t>Plain_multi_47</t>
  </si>
  <si>
    <t>Sharp_multi_20</t>
  </si>
  <si>
    <t>Sharp_multi_21</t>
  </si>
  <si>
    <t>Sharp_multi_22</t>
  </si>
  <si>
    <t>Sharp_multi_23</t>
  </si>
  <si>
    <t>Sharp_multi_24</t>
  </si>
  <si>
    <t>Sharp_multi_25</t>
  </si>
  <si>
    <t>Sharp_multi_26</t>
  </si>
  <si>
    <t>Sharp_multi_27</t>
  </si>
  <si>
    <t>Sharp_multi_28</t>
  </si>
  <si>
    <t>Sharp_multi_29</t>
  </si>
  <si>
    <t>Sharp_multi_30</t>
  </si>
  <si>
    <t>Sharp_multi_31</t>
  </si>
  <si>
    <t>Sharp_multi_32</t>
  </si>
  <si>
    <t>Area (mm^2)</t>
  </si>
  <si>
    <t>Amplitude von Mises (MPa)</t>
  </si>
  <si>
    <t>Data count</t>
  </si>
  <si>
    <t>k FS (-)</t>
  </si>
  <si>
    <t>k FI (-)</t>
  </si>
  <si>
    <t>L_LI</t>
  </si>
  <si>
    <t>k_MGSE</t>
  </si>
  <si>
    <t>a_MSWT</t>
  </si>
  <si>
    <t>alpha_w</t>
  </si>
  <si>
    <t>xi_ZHU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</si>
</sst>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e" xfId="0" builtinId="0"/>
  </cellStyles>
  <dxfs count="5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Dataset!$E$2:$E$200</c:f>
              <c:numCache>
                <c:formatCode>General</c:formatCode>
                <c:ptCount val="199"/>
                <c:pt idx="0">
                  <c:v>322262</c:v>
                </c:pt>
                <c:pt idx="1">
                  <c:v>133766</c:v>
                </c:pt>
                <c:pt idx="2">
                  <c:v>529531</c:v>
                </c:pt>
                <c:pt idx="3">
                  <c:v>419980</c:v>
                </c:pt>
                <c:pt idx="4">
                  <c:v>5000000</c:v>
                </c:pt>
                <c:pt idx="5">
                  <c:v>356775</c:v>
                </c:pt>
                <c:pt idx="6">
                  <c:v>645187</c:v>
                </c:pt>
                <c:pt idx="7">
                  <c:v>2807604</c:v>
                </c:pt>
                <c:pt idx="8">
                  <c:v>3722394</c:v>
                </c:pt>
                <c:pt idx="9">
                  <c:v>5000000</c:v>
                </c:pt>
                <c:pt idx="10">
                  <c:v>125000</c:v>
                </c:pt>
                <c:pt idx="11">
                  <c:v>73200</c:v>
                </c:pt>
                <c:pt idx="12">
                  <c:v>40400</c:v>
                </c:pt>
                <c:pt idx="13">
                  <c:v>422385</c:v>
                </c:pt>
                <c:pt idx="14">
                  <c:v>672504</c:v>
                </c:pt>
                <c:pt idx="15">
                  <c:v>5000000</c:v>
                </c:pt>
                <c:pt idx="16">
                  <c:v>117457</c:v>
                </c:pt>
                <c:pt idx="17">
                  <c:v>73000</c:v>
                </c:pt>
                <c:pt idx="18">
                  <c:v>372589</c:v>
                </c:pt>
                <c:pt idx="19">
                  <c:v>5000000</c:v>
                </c:pt>
                <c:pt idx="20">
                  <c:v>64383</c:v>
                </c:pt>
                <c:pt idx="21">
                  <c:v>5000000</c:v>
                </c:pt>
                <c:pt idx="22">
                  <c:v>36000</c:v>
                </c:pt>
                <c:pt idx="23">
                  <c:v>913000</c:v>
                </c:pt>
                <c:pt idx="24">
                  <c:v>5000000</c:v>
                </c:pt>
                <c:pt idx="25">
                  <c:v>55100</c:v>
                </c:pt>
                <c:pt idx="26">
                  <c:v>1660000</c:v>
                </c:pt>
                <c:pt idx="27">
                  <c:v>43900</c:v>
                </c:pt>
                <c:pt idx="28">
                  <c:v>200091</c:v>
                </c:pt>
                <c:pt idx="29">
                  <c:v>239445</c:v>
                </c:pt>
                <c:pt idx="30">
                  <c:v>1539178</c:v>
                </c:pt>
                <c:pt idx="31">
                  <c:v>3798648</c:v>
                </c:pt>
                <c:pt idx="32">
                  <c:v>5000000</c:v>
                </c:pt>
                <c:pt idx="33">
                  <c:v>129877</c:v>
                </c:pt>
                <c:pt idx="34">
                  <c:v>5000000</c:v>
                </c:pt>
                <c:pt idx="35">
                  <c:v>1446603</c:v>
                </c:pt>
                <c:pt idx="36">
                  <c:v>5000000</c:v>
                </c:pt>
                <c:pt idx="37">
                  <c:v>2134461</c:v>
                </c:pt>
                <c:pt idx="38">
                  <c:v>349731</c:v>
                </c:pt>
                <c:pt idx="39">
                  <c:v>349532</c:v>
                </c:pt>
                <c:pt idx="40">
                  <c:v>46145</c:v>
                </c:pt>
                <c:pt idx="41">
                  <c:v>43174</c:v>
                </c:pt>
                <c:pt idx="42">
                  <c:v>56022</c:v>
                </c:pt>
                <c:pt idx="43">
                  <c:v>5000000</c:v>
                </c:pt>
                <c:pt idx="44">
                  <c:v>416000</c:v>
                </c:pt>
                <c:pt idx="45">
                  <c:v>476513</c:v>
                </c:pt>
                <c:pt idx="46">
                  <c:v>5000000</c:v>
                </c:pt>
                <c:pt idx="47">
                  <c:v>85032</c:v>
                </c:pt>
                <c:pt idx="48">
                  <c:v>125179</c:v>
                </c:pt>
                <c:pt idx="49">
                  <c:v>33290</c:v>
                </c:pt>
                <c:pt idx="50">
                  <c:v>3429719</c:v>
                </c:pt>
                <c:pt idx="51">
                  <c:v>5000000</c:v>
                </c:pt>
                <c:pt idx="52">
                  <c:v>38639</c:v>
                </c:pt>
                <c:pt idx="53">
                  <c:v>1729712</c:v>
                </c:pt>
                <c:pt idx="54">
                  <c:v>5000000</c:v>
                </c:pt>
                <c:pt idx="55">
                  <c:v>40702</c:v>
                </c:pt>
                <c:pt idx="56">
                  <c:v>5000000</c:v>
                </c:pt>
                <c:pt idx="57">
                  <c:v>102017</c:v>
                </c:pt>
                <c:pt idx="58">
                  <c:v>1930430</c:v>
                </c:pt>
                <c:pt idx="59">
                  <c:v>5000000</c:v>
                </c:pt>
                <c:pt idx="60">
                  <c:v>1057233</c:v>
                </c:pt>
                <c:pt idx="61">
                  <c:v>143808</c:v>
                </c:pt>
                <c:pt idx="62">
                  <c:v>5000000</c:v>
                </c:pt>
                <c:pt idx="63">
                  <c:v>2058247</c:v>
                </c:pt>
                <c:pt idx="64">
                  <c:v>777084</c:v>
                </c:pt>
                <c:pt idx="65">
                  <c:v>533834</c:v>
                </c:pt>
                <c:pt idx="66">
                  <c:v>718065</c:v>
                </c:pt>
                <c:pt idx="67">
                  <c:v>988380</c:v>
                </c:pt>
                <c:pt idx="68">
                  <c:v>511810</c:v>
                </c:pt>
                <c:pt idx="69">
                  <c:v>653299</c:v>
                </c:pt>
                <c:pt idx="70">
                  <c:v>258105</c:v>
                </c:pt>
                <c:pt idx="71">
                  <c:v>70916</c:v>
                </c:pt>
                <c:pt idx="72">
                  <c:v>68178</c:v>
                </c:pt>
                <c:pt idx="73">
                  <c:v>1748831</c:v>
                </c:pt>
                <c:pt idx="74">
                  <c:v>882194</c:v>
                </c:pt>
                <c:pt idx="75">
                  <c:v>2190698</c:v>
                </c:pt>
                <c:pt idx="76">
                  <c:v>3951740</c:v>
                </c:pt>
                <c:pt idx="77">
                  <c:v>299734</c:v>
                </c:pt>
                <c:pt idx="78">
                  <c:v>5000000</c:v>
                </c:pt>
                <c:pt idx="79">
                  <c:v>159624</c:v>
                </c:pt>
                <c:pt idx="80">
                  <c:v>1281142</c:v>
                </c:pt>
                <c:pt idx="81">
                  <c:v>5000000</c:v>
                </c:pt>
                <c:pt idx="82">
                  <c:v>151113</c:v>
                </c:pt>
                <c:pt idx="83">
                  <c:v>435526</c:v>
                </c:pt>
                <c:pt idx="84">
                  <c:v>232899</c:v>
                </c:pt>
                <c:pt idx="85">
                  <c:v>427542</c:v>
                </c:pt>
                <c:pt idx="86">
                  <c:v>463062</c:v>
                </c:pt>
                <c:pt idx="87">
                  <c:v>237991</c:v>
                </c:pt>
                <c:pt idx="88">
                  <c:v>2086761</c:v>
                </c:pt>
                <c:pt idx="89">
                  <c:v>3315839</c:v>
                </c:pt>
                <c:pt idx="90">
                  <c:v>4058399</c:v>
                </c:pt>
                <c:pt idx="91">
                  <c:v>2140815</c:v>
                </c:pt>
                <c:pt idx="92">
                  <c:v>534262</c:v>
                </c:pt>
                <c:pt idx="93">
                  <c:v>91485</c:v>
                </c:pt>
                <c:pt idx="94">
                  <c:v>145178</c:v>
                </c:pt>
                <c:pt idx="95">
                  <c:v>414021</c:v>
                </c:pt>
                <c:pt idx="96">
                  <c:v>489592</c:v>
                </c:pt>
                <c:pt idx="97">
                  <c:v>5000000</c:v>
                </c:pt>
                <c:pt idx="98">
                  <c:v>158091</c:v>
                </c:pt>
                <c:pt idx="99">
                  <c:v>125436</c:v>
                </c:pt>
                <c:pt idx="100">
                  <c:v>220411</c:v>
                </c:pt>
                <c:pt idx="101">
                  <c:v>243185</c:v>
                </c:pt>
                <c:pt idx="102">
                  <c:v>1051773</c:v>
                </c:pt>
                <c:pt idx="103">
                  <c:v>4134564</c:v>
                </c:pt>
                <c:pt idx="104">
                  <c:v>796520</c:v>
                </c:pt>
                <c:pt idx="105">
                  <c:v>744063</c:v>
                </c:pt>
                <c:pt idx="106">
                  <c:v>569659</c:v>
                </c:pt>
                <c:pt idx="107">
                  <c:v>639835</c:v>
                </c:pt>
                <c:pt idx="108">
                  <c:v>5000000</c:v>
                </c:pt>
                <c:pt idx="109">
                  <c:v>100836</c:v>
                </c:pt>
                <c:pt idx="110">
                  <c:v>792001</c:v>
                </c:pt>
                <c:pt idx="111">
                  <c:v>1075519</c:v>
                </c:pt>
                <c:pt idx="112">
                  <c:v>1605801</c:v>
                </c:pt>
                <c:pt idx="113">
                  <c:v>5000000</c:v>
                </c:pt>
                <c:pt idx="114">
                  <c:v>318867</c:v>
                </c:pt>
                <c:pt idx="115">
                  <c:v>355812</c:v>
                </c:pt>
                <c:pt idx="116">
                  <c:v>4311055</c:v>
                </c:pt>
                <c:pt idx="117">
                  <c:v>193439</c:v>
                </c:pt>
                <c:pt idx="118">
                  <c:v>68777</c:v>
                </c:pt>
                <c:pt idx="119">
                  <c:v>162022</c:v>
                </c:pt>
                <c:pt idx="120">
                  <c:v>667210</c:v>
                </c:pt>
                <c:pt idx="121">
                  <c:v>2146853</c:v>
                </c:pt>
                <c:pt idx="122">
                  <c:v>539150</c:v>
                </c:pt>
                <c:pt idx="123">
                  <c:v>284880</c:v>
                </c:pt>
                <c:pt idx="124">
                  <c:v>2795292</c:v>
                </c:pt>
                <c:pt idx="125">
                  <c:v>1659597</c:v>
                </c:pt>
                <c:pt idx="126">
                  <c:v>5000000</c:v>
                </c:pt>
                <c:pt idx="127">
                  <c:v>5000000</c:v>
                </c:pt>
                <c:pt idx="128">
                  <c:v>1054036</c:v>
                </c:pt>
                <c:pt idx="129">
                  <c:v>105266</c:v>
                </c:pt>
                <c:pt idx="130">
                  <c:v>180306</c:v>
                </c:pt>
                <c:pt idx="131">
                  <c:v>95224</c:v>
                </c:pt>
                <c:pt idx="132">
                  <c:v>1713825</c:v>
                </c:pt>
                <c:pt idx="133">
                  <c:v>5000000</c:v>
                </c:pt>
                <c:pt idx="134">
                  <c:v>169671</c:v>
                </c:pt>
                <c:pt idx="135">
                  <c:v>112468</c:v>
                </c:pt>
                <c:pt idx="136">
                  <c:v>272000</c:v>
                </c:pt>
                <c:pt idx="137">
                  <c:v>177000</c:v>
                </c:pt>
                <c:pt idx="138">
                  <c:v>1220000</c:v>
                </c:pt>
                <c:pt idx="139">
                  <c:v>623622</c:v>
                </c:pt>
                <c:pt idx="140">
                  <c:v>5000000</c:v>
                </c:pt>
                <c:pt idx="141">
                  <c:v>3330264</c:v>
                </c:pt>
                <c:pt idx="142">
                  <c:v>564220</c:v>
                </c:pt>
                <c:pt idx="143">
                  <c:v>475486</c:v>
                </c:pt>
                <c:pt idx="144">
                  <c:v>252093</c:v>
                </c:pt>
                <c:pt idx="145">
                  <c:v>291176</c:v>
                </c:pt>
                <c:pt idx="146">
                  <c:v>127321</c:v>
                </c:pt>
                <c:pt idx="147">
                  <c:v>148710</c:v>
                </c:pt>
                <c:pt idx="148">
                  <c:v>5000000</c:v>
                </c:pt>
                <c:pt idx="149">
                  <c:v>280203</c:v>
                </c:pt>
                <c:pt idx="150">
                  <c:v>46408</c:v>
                </c:pt>
                <c:pt idx="151">
                  <c:v>775583</c:v>
                </c:pt>
                <c:pt idx="152">
                  <c:v>110191</c:v>
                </c:pt>
                <c:pt idx="153">
                  <c:v>718099</c:v>
                </c:pt>
                <c:pt idx="154">
                  <c:v>138788</c:v>
                </c:pt>
                <c:pt idx="155">
                  <c:v>5000000</c:v>
                </c:pt>
                <c:pt idx="156">
                  <c:v>70660</c:v>
                </c:pt>
                <c:pt idx="157">
                  <c:v>1368315</c:v>
                </c:pt>
                <c:pt idx="158">
                  <c:v>2073749</c:v>
                </c:pt>
                <c:pt idx="159">
                  <c:v>611726</c:v>
                </c:pt>
                <c:pt idx="160">
                  <c:v>46307</c:v>
                </c:pt>
                <c:pt idx="161">
                  <c:v>91386</c:v>
                </c:pt>
                <c:pt idx="162">
                  <c:v>59589</c:v>
                </c:pt>
                <c:pt idx="163">
                  <c:v>1266396</c:v>
                </c:pt>
                <c:pt idx="164">
                  <c:v>93527</c:v>
                </c:pt>
                <c:pt idx="165">
                  <c:v>120839</c:v>
                </c:pt>
                <c:pt idx="166">
                  <c:v>1941849</c:v>
                </c:pt>
                <c:pt idx="167">
                  <c:v>110757</c:v>
                </c:pt>
                <c:pt idx="168">
                  <c:v>1769744</c:v>
                </c:pt>
                <c:pt idx="169">
                  <c:v>1900000</c:v>
                </c:pt>
                <c:pt idx="170">
                  <c:v>45434</c:v>
                </c:pt>
                <c:pt idx="171">
                  <c:v>302351</c:v>
                </c:pt>
                <c:pt idx="172">
                  <c:v>2651327</c:v>
                </c:pt>
                <c:pt idx="173">
                  <c:v>3781937</c:v>
                </c:pt>
                <c:pt idx="174">
                  <c:v>191000</c:v>
                </c:pt>
                <c:pt idx="175">
                  <c:v>59200</c:v>
                </c:pt>
                <c:pt idx="176">
                  <c:v>2692413</c:v>
                </c:pt>
                <c:pt idx="177">
                  <c:v>2000000</c:v>
                </c:pt>
                <c:pt idx="178">
                  <c:v>495182</c:v>
                </c:pt>
                <c:pt idx="179">
                  <c:v>85876</c:v>
                </c:pt>
                <c:pt idx="180">
                  <c:v>2593469</c:v>
                </c:pt>
                <c:pt idx="181">
                  <c:v>2407000</c:v>
                </c:pt>
                <c:pt idx="182">
                  <c:v>112292</c:v>
                </c:pt>
                <c:pt idx="183">
                  <c:v>5000000</c:v>
                </c:pt>
                <c:pt idx="184">
                  <c:v>2685655</c:v>
                </c:pt>
                <c:pt idx="185">
                  <c:v>145399</c:v>
                </c:pt>
                <c:pt idx="186">
                  <c:v>1844078</c:v>
                </c:pt>
                <c:pt idx="187">
                  <c:v>54379</c:v>
                </c:pt>
                <c:pt idx="188">
                  <c:v>100201</c:v>
                </c:pt>
              </c:numCache>
            </c:numRef>
          </c:xVal>
          <c:yVal>
            <c:numRef>
              <c:f>Dataset!$AH$2:$AH$200</c:f>
              <c:numCache>
                <c:formatCode>General</c:formatCode>
                <c:ptCount val="199"/>
                <c:pt idx="0">
                  <c:v>190</c:v>
                </c:pt>
                <c:pt idx="1">
                  <c:v>190</c:v>
                </c:pt>
                <c:pt idx="2">
                  <c:v>170</c:v>
                </c:pt>
                <c:pt idx="3">
                  <c:v>170</c:v>
                </c:pt>
                <c:pt idx="4">
                  <c:v>150</c:v>
                </c:pt>
                <c:pt idx="5">
                  <c:v>190</c:v>
                </c:pt>
                <c:pt idx="6">
                  <c:v>170</c:v>
                </c:pt>
                <c:pt idx="7">
                  <c:v>150</c:v>
                </c:pt>
                <c:pt idx="8">
                  <c:v>150</c:v>
                </c:pt>
                <c:pt idx="9">
                  <c:v>140</c:v>
                </c:pt>
                <c:pt idx="10">
                  <c:v>230</c:v>
                </c:pt>
                <c:pt idx="11">
                  <c:v>230</c:v>
                </c:pt>
                <c:pt idx="12">
                  <c:v>230</c:v>
                </c:pt>
                <c:pt idx="13">
                  <c:v>120</c:v>
                </c:pt>
                <c:pt idx="14">
                  <c:v>120</c:v>
                </c:pt>
                <c:pt idx="15">
                  <c:v>100</c:v>
                </c:pt>
                <c:pt idx="16">
                  <c:v>140</c:v>
                </c:pt>
                <c:pt idx="17">
                  <c:v>140</c:v>
                </c:pt>
                <c:pt idx="18">
                  <c:v>110</c:v>
                </c:pt>
                <c:pt idx="19">
                  <c:v>100</c:v>
                </c:pt>
                <c:pt idx="20">
                  <c:v>140</c:v>
                </c:pt>
                <c:pt idx="21">
                  <c:v>100</c:v>
                </c:pt>
                <c:pt idx="22">
                  <c:v>160</c:v>
                </c:pt>
                <c:pt idx="23">
                  <c:v>120</c:v>
                </c:pt>
                <c:pt idx="24">
                  <c:v>110</c:v>
                </c:pt>
                <c:pt idx="25">
                  <c:v>160</c:v>
                </c:pt>
                <c:pt idx="26">
                  <c:v>110</c:v>
                </c:pt>
                <c:pt idx="27">
                  <c:v>160</c:v>
                </c:pt>
                <c:pt idx="28">
                  <c:v>60</c:v>
                </c:pt>
                <c:pt idx="29">
                  <c:v>60</c:v>
                </c:pt>
                <c:pt idx="30">
                  <c:v>40</c:v>
                </c:pt>
                <c:pt idx="31">
                  <c:v>40</c:v>
                </c:pt>
                <c:pt idx="32">
                  <c:v>35</c:v>
                </c:pt>
                <c:pt idx="33">
                  <c:v>60</c:v>
                </c:pt>
                <c:pt idx="34">
                  <c:v>35</c:v>
                </c:pt>
                <c:pt idx="35">
                  <c:v>37.5</c:v>
                </c:pt>
                <c:pt idx="36">
                  <c:v>37.5</c:v>
                </c:pt>
                <c:pt idx="37">
                  <c:v>37.5</c:v>
                </c:pt>
                <c:pt idx="38">
                  <c:v>50</c:v>
                </c:pt>
                <c:pt idx="39">
                  <c:v>50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40</c:v>
                </c:pt>
                <c:pt idx="44">
                  <c:v>30</c:v>
                </c:pt>
                <c:pt idx="45">
                  <c:v>30</c:v>
                </c:pt>
                <c:pt idx="46">
                  <c:v>20</c:v>
                </c:pt>
                <c:pt idx="47">
                  <c:v>40</c:v>
                </c:pt>
                <c:pt idx="48">
                  <c:v>40</c:v>
                </c:pt>
                <c:pt idx="49">
                  <c:v>50</c:v>
                </c:pt>
                <c:pt idx="50">
                  <c:v>25</c:v>
                </c:pt>
                <c:pt idx="51">
                  <c:v>20</c:v>
                </c:pt>
                <c:pt idx="52">
                  <c:v>50</c:v>
                </c:pt>
                <c:pt idx="53">
                  <c:v>25</c:v>
                </c:pt>
                <c:pt idx="54">
                  <c:v>22.5</c:v>
                </c:pt>
                <c:pt idx="55">
                  <c:v>50</c:v>
                </c:pt>
                <c:pt idx="56">
                  <c:v>22.5</c:v>
                </c:pt>
                <c:pt idx="57">
                  <c:v>40</c:v>
                </c:pt>
                <c:pt idx="58">
                  <c:v>25</c:v>
                </c:pt>
                <c:pt idx="59">
                  <c:v>22.5</c:v>
                </c:pt>
                <c:pt idx="60">
                  <c:v>30</c:v>
                </c:pt>
                <c:pt idx="61">
                  <c:v>207.84609690826528</c:v>
                </c:pt>
                <c:pt idx="62">
                  <c:v>173.20508075688772</c:v>
                </c:pt>
                <c:pt idx="63">
                  <c:v>190.52558883257649</c:v>
                </c:pt>
                <c:pt idx="64">
                  <c:v>190.52558883257649</c:v>
                </c:pt>
                <c:pt idx="65">
                  <c:v>190.52558883257649</c:v>
                </c:pt>
                <c:pt idx="66">
                  <c:v>207.84609690826528</c:v>
                </c:pt>
                <c:pt idx="67">
                  <c:v>207.84609690826528</c:v>
                </c:pt>
                <c:pt idx="68">
                  <c:v>225.16660498395404</c:v>
                </c:pt>
                <c:pt idx="69">
                  <c:v>225.16660498395404</c:v>
                </c:pt>
                <c:pt idx="70">
                  <c:v>242.48711305964281</c:v>
                </c:pt>
                <c:pt idx="71">
                  <c:v>242.48711305964281</c:v>
                </c:pt>
                <c:pt idx="72">
                  <c:v>259.8076211353316</c:v>
                </c:pt>
                <c:pt idx="73">
                  <c:v>181.86533479473212</c:v>
                </c:pt>
                <c:pt idx="74">
                  <c:v>173.20508075688772</c:v>
                </c:pt>
                <c:pt idx="75">
                  <c:v>173.20508075688772</c:v>
                </c:pt>
                <c:pt idx="76">
                  <c:v>155.88457268119896</c:v>
                </c:pt>
                <c:pt idx="77">
                  <c:v>190.52558883257649</c:v>
                </c:pt>
                <c:pt idx="78">
                  <c:v>155.88457268119896</c:v>
                </c:pt>
                <c:pt idx="79">
                  <c:v>207.84609690826528</c:v>
                </c:pt>
                <c:pt idx="80">
                  <c:v>173.20508075688772</c:v>
                </c:pt>
                <c:pt idx="81">
                  <c:v>155.88457268119896</c:v>
                </c:pt>
                <c:pt idx="82">
                  <c:v>207.84609690826528</c:v>
                </c:pt>
                <c:pt idx="83">
                  <c:v>190.52558883257649</c:v>
                </c:pt>
                <c:pt idx="84">
                  <c:v>207.84609690826528</c:v>
                </c:pt>
                <c:pt idx="85">
                  <c:v>190.52558883257649</c:v>
                </c:pt>
                <c:pt idx="86">
                  <c:v>190.52558883257649</c:v>
                </c:pt>
                <c:pt idx="87">
                  <c:v>112.58330249197702</c:v>
                </c:pt>
                <c:pt idx="88">
                  <c:v>86.602540378443862</c:v>
                </c:pt>
                <c:pt idx="89">
                  <c:v>86.602540378443862</c:v>
                </c:pt>
                <c:pt idx="90">
                  <c:v>77.94228634059948</c:v>
                </c:pt>
                <c:pt idx="91">
                  <c:v>86.602540378443862</c:v>
                </c:pt>
                <c:pt idx="92">
                  <c:v>103.92304845413264</c:v>
                </c:pt>
                <c:pt idx="93">
                  <c:v>121.2435565298214</c:v>
                </c:pt>
                <c:pt idx="94">
                  <c:v>121.2435565298214</c:v>
                </c:pt>
                <c:pt idx="95">
                  <c:v>103.92304845413264</c:v>
                </c:pt>
                <c:pt idx="96">
                  <c:v>103.92304845413264</c:v>
                </c:pt>
                <c:pt idx="97">
                  <c:v>69.282032302755098</c:v>
                </c:pt>
                <c:pt idx="98">
                  <c:v>121.2435565298214</c:v>
                </c:pt>
                <c:pt idx="99">
                  <c:v>112.58330249197702</c:v>
                </c:pt>
                <c:pt idx="100">
                  <c:v>112.58330249197702</c:v>
                </c:pt>
                <c:pt idx="101">
                  <c:v>95.262794416288244</c:v>
                </c:pt>
                <c:pt idx="102">
                  <c:v>95.262794416288244</c:v>
                </c:pt>
                <c:pt idx="103">
                  <c:v>86.602540378443862</c:v>
                </c:pt>
                <c:pt idx="104">
                  <c:v>95.262794416288244</c:v>
                </c:pt>
                <c:pt idx="105">
                  <c:v>95.262794416288244</c:v>
                </c:pt>
                <c:pt idx="106">
                  <c:v>112.58330249197702</c:v>
                </c:pt>
                <c:pt idx="107">
                  <c:v>112.58330249197702</c:v>
                </c:pt>
                <c:pt idx="108">
                  <c:v>86.602540378443862</c:v>
                </c:pt>
                <c:pt idx="109">
                  <c:v>129.9038105676658</c:v>
                </c:pt>
                <c:pt idx="110">
                  <c:v>169.70562748477141</c:v>
                </c:pt>
                <c:pt idx="111">
                  <c:v>183.84776310850236</c:v>
                </c:pt>
                <c:pt idx="112">
                  <c:v>155.56349186104046</c:v>
                </c:pt>
                <c:pt idx="113">
                  <c:v>155.56349186104046</c:v>
                </c:pt>
                <c:pt idx="114">
                  <c:v>183.84776310850236</c:v>
                </c:pt>
                <c:pt idx="115">
                  <c:v>183.84776310850236</c:v>
                </c:pt>
                <c:pt idx="116">
                  <c:v>155.56349186104046</c:v>
                </c:pt>
                <c:pt idx="117">
                  <c:v>212.13203435596427</c:v>
                </c:pt>
                <c:pt idx="118">
                  <c:v>212.13203435596427</c:v>
                </c:pt>
                <c:pt idx="119">
                  <c:v>212.13203435596427</c:v>
                </c:pt>
                <c:pt idx="120">
                  <c:v>169.70562748477141</c:v>
                </c:pt>
                <c:pt idx="121">
                  <c:v>169.70562748477141</c:v>
                </c:pt>
                <c:pt idx="122">
                  <c:v>180</c:v>
                </c:pt>
                <c:pt idx="123">
                  <c:v>180</c:v>
                </c:pt>
                <c:pt idx="124">
                  <c:v>140</c:v>
                </c:pt>
                <c:pt idx="125">
                  <c:v>140</c:v>
                </c:pt>
                <c:pt idx="126">
                  <c:v>120</c:v>
                </c:pt>
                <c:pt idx="127">
                  <c:v>140</c:v>
                </c:pt>
                <c:pt idx="128">
                  <c:v>180</c:v>
                </c:pt>
                <c:pt idx="129">
                  <c:v>220</c:v>
                </c:pt>
                <c:pt idx="130">
                  <c:v>220</c:v>
                </c:pt>
                <c:pt idx="131">
                  <c:v>220</c:v>
                </c:pt>
                <c:pt idx="132">
                  <c:v>120</c:v>
                </c:pt>
                <c:pt idx="133">
                  <c:v>120</c:v>
                </c:pt>
                <c:pt idx="134">
                  <c:v>160</c:v>
                </c:pt>
                <c:pt idx="135">
                  <c:v>160</c:v>
                </c:pt>
                <c:pt idx="136">
                  <c:v>140</c:v>
                </c:pt>
                <c:pt idx="137">
                  <c:v>140</c:v>
                </c:pt>
                <c:pt idx="138">
                  <c:v>49.497474683058329</c:v>
                </c:pt>
                <c:pt idx="139">
                  <c:v>63.639610306789287</c:v>
                </c:pt>
                <c:pt idx="140">
                  <c:v>49.497474683058329</c:v>
                </c:pt>
                <c:pt idx="141">
                  <c:v>49.497474683058329</c:v>
                </c:pt>
                <c:pt idx="142">
                  <c:v>63.639610306789287</c:v>
                </c:pt>
                <c:pt idx="143">
                  <c:v>63.639610306789287</c:v>
                </c:pt>
                <c:pt idx="144">
                  <c:v>77.781745930520231</c:v>
                </c:pt>
                <c:pt idx="145">
                  <c:v>77.781745930520231</c:v>
                </c:pt>
                <c:pt idx="146">
                  <c:v>91.923881554251182</c:v>
                </c:pt>
                <c:pt idx="147">
                  <c:v>91.923881554251182</c:v>
                </c:pt>
                <c:pt idx="148">
                  <c:v>42.426406871192853</c:v>
                </c:pt>
                <c:pt idx="149">
                  <c:v>77.781745930520231</c:v>
                </c:pt>
                <c:pt idx="150">
                  <c:v>91.923881554251182</c:v>
                </c:pt>
                <c:pt idx="151">
                  <c:v>35.355339059327378</c:v>
                </c:pt>
                <c:pt idx="152">
                  <c:v>49.497474683058329</c:v>
                </c:pt>
                <c:pt idx="153">
                  <c:v>35.355339059327378</c:v>
                </c:pt>
                <c:pt idx="154">
                  <c:v>49.497474683058329</c:v>
                </c:pt>
                <c:pt idx="155">
                  <c:v>28.284271247461902</c:v>
                </c:pt>
                <c:pt idx="156">
                  <c:v>56.568542494923804</c:v>
                </c:pt>
                <c:pt idx="157">
                  <c:v>197.98989873223331</c:v>
                </c:pt>
                <c:pt idx="158">
                  <c:v>197.98989873223331</c:v>
                </c:pt>
                <c:pt idx="159">
                  <c:v>197.98989873223331</c:v>
                </c:pt>
                <c:pt idx="160">
                  <c:v>226.27416997969522</c:v>
                </c:pt>
                <c:pt idx="161">
                  <c:v>226.27416997969522</c:v>
                </c:pt>
                <c:pt idx="162">
                  <c:v>226.27416997969522</c:v>
                </c:pt>
                <c:pt idx="163">
                  <c:v>183.84776310850236</c:v>
                </c:pt>
                <c:pt idx="164">
                  <c:v>212.13203435596427</c:v>
                </c:pt>
                <c:pt idx="165">
                  <c:v>212.13203435596427</c:v>
                </c:pt>
                <c:pt idx="166">
                  <c:v>183.84776310850236</c:v>
                </c:pt>
                <c:pt idx="167">
                  <c:v>212.13203435596427</c:v>
                </c:pt>
                <c:pt idx="168">
                  <c:v>183.84776310850236</c:v>
                </c:pt>
                <c:pt idx="169">
                  <c:v>169.70562748477141</c:v>
                </c:pt>
                <c:pt idx="170">
                  <c:v>160</c:v>
                </c:pt>
                <c:pt idx="171">
                  <c:v>140</c:v>
                </c:pt>
                <c:pt idx="172">
                  <c:v>120</c:v>
                </c:pt>
                <c:pt idx="173">
                  <c:v>120</c:v>
                </c:pt>
                <c:pt idx="174">
                  <c:v>140</c:v>
                </c:pt>
                <c:pt idx="175">
                  <c:v>160</c:v>
                </c:pt>
                <c:pt idx="176">
                  <c:v>35.355339059327378</c:v>
                </c:pt>
                <c:pt idx="177">
                  <c:v>49.497474683058329</c:v>
                </c:pt>
                <c:pt idx="178">
                  <c:v>49.497474683058329</c:v>
                </c:pt>
                <c:pt idx="179">
                  <c:v>63.639610306789287</c:v>
                </c:pt>
                <c:pt idx="180">
                  <c:v>35.355339059327378</c:v>
                </c:pt>
                <c:pt idx="181">
                  <c:v>35.355339059327378</c:v>
                </c:pt>
                <c:pt idx="182">
                  <c:v>49.497474683058329</c:v>
                </c:pt>
                <c:pt idx="183">
                  <c:v>35.355339059327378</c:v>
                </c:pt>
                <c:pt idx="184">
                  <c:v>49.497474683058329</c:v>
                </c:pt>
                <c:pt idx="185">
                  <c:v>49.497474683058329</c:v>
                </c:pt>
                <c:pt idx="186">
                  <c:v>56.568542494923804</c:v>
                </c:pt>
                <c:pt idx="187">
                  <c:v>63.639610306789287</c:v>
                </c:pt>
                <c:pt idx="188">
                  <c:v>56.568542494923804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3D-4EFE-8BDE-488CF8FD5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1</xdr:col>
      <xdr:colOff>2926080</xdr:colOff>
      <xdr:row>38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B15026C-3607-4250-A71E-97ABF8706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K3" totalsRowShown="0" headerRowDxfId="56" dataDxfId="55">
  <autoFilter ref="A1:K3" xr:uid="{7EB9CA7B-F9F7-4B65-BAF9-0554C4DD3A3C}"/>
  <tableColumns count="11">
    <tableColumn id="1" xr3:uid="{8E3D1E9D-FBEE-441F-8710-5037CD4F23F4}" name="Article DOI" dataDxfId="54"/>
    <tableColumn id="11" xr3:uid="{DB748F3A-E0FD-40A7-AD76-C03A14000D6D}" name="Authors" dataDxfId="53"/>
    <tableColumn id="8" xr3:uid="{5AA73CAD-51B7-41DD-94EB-F60F774B9687}" name="Article year" dataDxfId="52"/>
    <tableColumn id="2" xr3:uid="{06FA6682-59D0-409F-9A0C-E6CD1808F355}" name="Material name" dataDxfId="51"/>
    <tableColumn id="3" xr3:uid="{576FC30A-97BD-425F-92F2-9A2823474F7C}" name="Young's modulus (MPa)" dataDxfId="50"/>
    <tableColumn id="4" xr3:uid="{63CF6BC0-ABE3-408E-84A9-EDA0B421D7E2}" name="Poisson's ratio (-)" dataDxfId="49"/>
    <tableColumn id="5" xr3:uid="{BF08D467-4D62-4CAB-A94F-0030F94E8A2E}" name="Tensile strength (MPa)" dataDxfId="48"/>
    <tableColumn id="6" xr3:uid="{CDCD2563-ECD7-4843-B859-5F7762FE830B}" name="Yield strength (MPa)" dataDxfId="47"/>
    <tableColumn id="7" xr3:uid="{7991DD6F-6040-4C6F-AEB4-2211698F999C}" name="Tensile fatigue limit* (MPa)" dataDxfId="46"/>
    <tableColumn id="9" xr3:uid="{C339353B-B530-41A6-97D0-BD9E3EFB3E1B}" name="Torsional fatigue limit* (MPa)" dataDxfId="45"/>
    <tableColumn id="10" xr3:uid="{EC242BA9-DE01-42A2-8C6C-75459CDE529E}" name="K" dataDxfId="44">
      <calculatedColumnFormula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I190" totalsRowShown="0" headerRowDxfId="41" dataDxfId="40">
  <autoFilter ref="A1:AI190" xr:uid="{86243907-AA5D-4F4D-8699-490D77B21127}"/>
  <tableColumns count="35">
    <tableColumn id="31" xr3:uid="{05937513-BC98-44D1-A5DC-F19589B15DDF}" name="Authors" dataDxfId="39"/>
    <tableColumn id="32" xr3:uid="{DCBCBA66-A67E-429B-A752-67A81643133E}" name="Article year" dataDxfId="38"/>
    <tableColumn id="1" xr3:uid="{3EF58343-2BF6-4DB2-9106-D379EEF2D80C}" name="Article DOI" dataDxfId="37">
      <calculatedColumnFormula>Summary!#REF!</calculatedColumnFormula>
    </tableColumn>
    <tableColumn id="30" xr3:uid="{FA5CACDD-A594-4207-9BA7-C7F165153D5B}" name="Specimen name" dataDxfId="36"/>
    <tableColumn id="2" xr3:uid="{19DD8629-B305-4804-A689-1057FBADF71C}" name="Number of cycles to failure" dataDxfId="35"/>
    <tableColumn id="4" xr3:uid="{27575528-FAA3-4B4C-8860-7A7CFCB79DBE}" name="Run out (Yes/No)" dataDxfId="34"/>
    <tableColumn id="3" xr3:uid="{0CF78E1F-0EC3-474A-B3FD-519C01702157}" name="Failure type (complete rupture/stiffness decrease)" dataDxfId="33"/>
    <tableColumn id="26" xr3:uid="{05D9D755-9B11-40C9-8DCB-B9E39E20FA04}" name="Geometry picture" dataDxfId="32"/>
    <tableColumn id="33" xr3:uid="{936299CD-E030-4427-B1AB-D5CB204A04BE}" name="Geometry type (flat/cylindrical)" dataDxfId="31"/>
    <tableColumn id="34" xr3:uid="{09266E8F-9B14-40D4-88AB-80CC92F93BA2}" name="Notched" dataDxfId="30"/>
    <tableColumn id="27" xr3:uid="{D5A8CCC0-542A-450B-8F88-B47472F29E40}" name="Diameter (mm)" dataDxfId="29"/>
    <tableColumn id="28" xr3:uid="{36725B61-E4CB-4B7E-AF40-7F3BC6BE6CB3}" name="Area (mm^2)" dataDxfId="28">
      <calculatedColumnFormula>PI()*(Tabella2[[#This Row],[Diameter (mm)]]/2)^2</calculatedColumnFormula>
    </tableColumn>
    <tableColumn id="29" xr3:uid="{ADA51E38-565E-4B07-AA7F-4531D7FB559A}" name="Polar momento of inertia (mm^4)" dataDxfId="27">
      <calculatedColumnFormula>(PI()*Tabella2[[#This Row],[Diameter (mm)]]^4)/32</calculatedColumnFormula>
    </tableColumn>
    <tableColumn id="21" xr3:uid="{C8363B8B-B0C3-4670-AE9B-A3DF1F1D9748}" name="Phase radial load (°)" dataDxfId="26"/>
    <tableColumn id="22" xr3:uid="{9A8358C3-645B-4F7B-A800-BF2013564F31}" name="Phase torsional load (°)" dataDxfId="25"/>
    <tableColumn id="23" xr3:uid="{9724DA05-688A-43E5-9AAC-5035994CD3C7}" name="Load ratio (RADIAL)" dataDxfId="24"/>
    <tableColumn id="24" xr3:uid="{5794A9BC-D825-4DEA-82F2-22B1FB825367}" name="Load ratio (AXIAL)" dataDxfId="23"/>
    <tableColumn id="25" xr3:uid="{A209A6A1-8B94-4DAE-9AD9-68A32BB08635}" name="Load ratio (TORSIONAL)" dataDxfId="22"/>
    <tableColumn id="5" xr3:uid="{A0FF1031-7EB5-4BFE-B59F-07965E377818}" name="Mean RADIAL stress  (MPa)" dataDxfId="21">
      <calculatedColumnFormula>IF(ISNUMBER(Tabella2[[#This Row],[Amplitute RADIAL stress  (MPa)]]), (1+Tabella2[[#This Row],[Load ratio (RADIAL)]])*Tabella2[[#This Row],[Amplitute RADIAL stress  (MPa)]]/(1-Tabella2[[#This Row],[Load ratio (RADIAL)]]), "Null")</calculatedColumnFormula>
    </tableColumn>
    <tableColumn id="6" xr3:uid="{CFA41242-20EF-4D5D-9025-FC3F232CBE04}" name="Amplitute RADIAL stress  (MPa)" dataDxfId="20"/>
    <tableColumn id="7" xr3:uid="{5CAC5608-D280-45C3-AE90-509A4A6A1487}" name="Mean AXIAL stress  (MPa)" dataDxfId="19">
      <calculatedColumnFormula>IF(ISNUMBER(Tabella2[[#This Row],[Amplitute AXIAL stress  (MPa)]]), (1+Tabella2[[#This Row],[Load ratio (AXIAL)]])*Tabella2[[#This Row],[Amplitute AXIAL stress  (MPa)]]/(1-Tabella2[[#This Row],[Load ratio (AXIAL)]]), "Null")</calculatedColumnFormula>
    </tableColumn>
    <tableColumn id="8" xr3:uid="{933ACC34-FA80-47BE-87CF-5D7D742564A2}" name="Amplitute AXIAL stress  (MPa)" dataDxfId="18"/>
    <tableColumn id="9" xr3:uid="{A6A7850B-F861-49F2-8B93-D445639EFEC2}" name="Mean SHEAR stress  (MPa)" dataDxfId="17">
      <calculatedColumnFormula>IF(ISNUMBER(Tabella2[[#This Row],[Amplitute SHEAR stress  (MPa)]]), (1+Tabella2[[#This Row],[Load ratio (TORSIONAL)]])*Tabella2[[#This Row],[Amplitute SHEAR stress  (MPa)]]/(1-Tabella2[[#This Row],[Load ratio (TORSIONAL)]]), "Null")</calculatedColumnFormula>
    </tableColumn>
    <tableColumn id="10" xr3:uid="{2FCDB52E-3BD8-4D04-8689-303C003D64AE}" name="Amplitute SHEAR stress  (MPa)" dataDxfId="16"/>
    <tableColumn id="11" xr3:uid="{55A815C1-60F5-4742-964D-FCD9116BB3D3}" name="Mean internal pressure  (MPa)" dataDxfId="15">
      <calculatedColumnFormula>Tabella2[[#This Row],[Mean RADIAL stress  (MPa)]]</calculatedColumnFormula>
    </tableColumn>
    <tableColumn id="12" xr3:uid="{A3A206A7-7207-472E-A9D8-013B3CFCAFCB}" name="Amplitute internal pressure  (MPa)" dataDxfId="14">
      <calculatedColumnFormula>Tabella2[[#This Row],[Amplitute RADIAL stress  (MPa)]]</calculatedColumnFormula>
    </tableColumn>
    <tableColumn id="13" xr3:uid="{59F23F77-C462-42EF-A7B8-BCE0399B2282}" name="Maximum internal pressure  (MPa)" dataDxfId="13">
      <calculatedColumnFormula>IF( AND(ISNUMBER(Tabella2[[#This Row],[Mean internal pressure  (MPa)]]), ISNUMBER(Tabella2[[#This Row],[Amplitute internal pressure  (MPa)]])),Tabella2[[#This Row],[Mean internal pressure  (MPa)]]+Tabella2[[#This Row],[Amplitute internal pressure  (MPa)]],"Null")</calculatedColumnFormula>
    </tableColumn>
    <tableColumn id="14" xr3:uid="{B1691BE1-3E2F-4716-9F3A-1870C13BFA59}" name="Mean AXIAL force (N)" dataDxfId="12">
      <calculatedColumnFormula>IF( AND(ISNUMBER(Tabella2[[#This Row],[Mean AXIAL stress  (MPa)]]), ISNUMBER(Tabella2[[#This Row],[Area (mm^2)]])), Tabella2[[#This Row],[Mean AXIAL stress  (MPa)]]*Tabella2[[#This Row],[Area (mm^2)]], "Null")</calculatedColumnFormula>
    </tableColumn>
    <tableColumn id="15" xr3:uid="{39679A56-909C-45C5-BD65-6A002D6E966C}" name="Amplitude AXIAL force (N)" dataDxfId="11">
      <calculatedColumnFormula>IF( AND(ISNUMBER(Tabella2[[#This Row],[Amplitute AXIAL stress  (MPa)]]), ISNUMBER(Tabella2[[#This Row],[Area (mm^2)]])), Tabella2[[#This Row],[Amplitute AXIAL stress  (MPa)]]*Tabella2[[#This Row],[Area (mm^2)]],"Null")</calculatedColumnFormula>
    </tableColumn>
    <tableColumn id="16" xr3:uid="{BA732604-A227-4A18-87FA-051A485B9FD0}" name="Maximum AXIAL force (N)" dataDxfId="10">
      <calculatedColumnFormula>IF( AND(ISNUMBER(Tabella2[[#This Row],[Amplitude AXIAL force (N)]]), ISNUMBER(Tabella2[[#This Row],[Mean AXIAL force (N)]])), Tabella2[[#This Row],[Amplitude AXIAL force (N)]]+Tabella2[[#This Row],[Mean AXIAL force (N)]],"Null")</calculatedColumnFormula>
    </tableColumn>
    <tableColumn id="17" xr3:uid="{B9FCDDAE-82CF-4FB8-907C-A1558D43EF84}" name="Mean TORQUE (Nmm)" dataDxfId="9">
      <calculatedColumnFormula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calculatedColumnFormula>
    </tableColumn>
    <tableColumn id="18" xr3:uid="{C66D42EC-66DD-4028-A153-9A90E5649F9D}" name="Amplitude TORQUE (Nmm)" dataDxfId="8">
      <calculatedColumnFormula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calculatedColumnFormula>
    </tableColumn>
    <tableColumn id="19" xr3:uid="{F5448A01-6717-4E64-935F-BD7FC3289F3F}" name="Maximum TORQUE (Nmm)" dataDxfId="7">
      <calculatedColumnFormula>IF(
   AND(ISNUMBER(Tabella2[[#This Row],[Mean TORQUE (Nmm)]]), ISNUMBER(Tabella2[[#This Row],[Amplitude TORQUE (Nmm)]])),
   Tabella2[[#This Row],[Mean TORQUE (Nmm)]]+Tabella2[[#This Row],[Amplitude TORQUE (Nmm)]],
   "Null"
)</calculatedColumnFormula>
    </tableColumn>
    <tableColumn id="35" xr3:uid="{AFF99AC6-68A3-4FB0-9D2C-34416BD07DF3}" name="Amplitude von Mises (MPa)" dataDxfId="6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  <tableColumn id="20" xr3:uid="{D27EA8AC-AA88-4708-8985-FCB1FE48E26F}" name="Lambda (tauA/sigmaA)" dataDxfId="5">
      <calculatedColumnFormula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I1" workbookViewId="0">
      <selection activeCell="R8" sqref="R8"/>
    </sheetView>
  </sheetViews>
  <sheetFormatPr defaultRowHeight="15" x14ac:dyDescent="0.25"/>
  <cols>
    <col min="1" max="1" width="30.140625" bestFit="1" customWidth="1"/>
    <col min="2" max="2" width="42.85546875" bestFit="1" customWidth="1"/>
    <col min="3" max="3" width="42.28515625" bestFit="1" customWidth="1"/>
    <col min="4" max="4" width="17.7109375" bestFit="1" customWidth="1"/>
    <col min="5" max="5" width="25.7109375" bestFit="1" customWidth="1"/>
    <col min="6" max="6" width="20" bestFit="1" customWidth="1"/>
    <col min="7" max="7" width="24.5703125" bestFit="1" customWidth="1"/>
    <col min="8" max="8" width="22.7109375" bestFit="1" customWidth="1"/>
    <col min="9" max="9" width="28.7109375" bestFit="1" customWidth="1"/>
    <col min="10" max="10" width="30.7109375" bestFit="1" customWidth="1"/>
    <col min="11" max="11" width="9.28515625" bestFit="1" customWidth="1"/>
  </cols>
  <sheetData>
    <row r="1" spans="1:18" x14ac:dyDescent="0.25">
      <c r="A1" s="2" t="s">
        <v>0</v>
      </c>
      <c r="B1" s="2" t="s">
        <v>42</v>
      </c>
      <c r="C1" s="2" t="s">
        <v>41</v>
      </c>
      <c r="D1" s="2" t="s">
        <v>1</v>
      </c>
      <c r="E1" s="2" t="s">
        <v>36</v>
      </c>
      <c r="F1" s="2" t="s">
        <v>2</v>
      </c>
      <c r="G1" s="2" t="s">
        <v>3</v>
      </c>
      <c r="H1" s="2" t="s">
        <v>4</v>
      </c>
      <c r="I1" s="2" t="s">
        <v>37</v>
      </c>
      <c r="J1" s="2" t="s">
        <v>40</v>
      </c>
      <c r="K1" s="1" t="s">
        <v>5</v>
      </c>
    </row>
    <row r="2" spans="1:18" x14ac:dyDescent="0.25">
      <c r="A2" s="1" t="s">
        <v>55</v>
      </c>
      <c r="B2" s="1" t="s">
        <v>56</v>
      </c>
      <c r="C2" s="1">
        <v>2021</v>
      </c>
      <c r="D2" s="1" t="s">
        <v>53</v>
      </c>
      <c r="E2" s="1">
        <v>70500</v>
      </c>
      <c r="F2" s="1">
        <v>0.33</v>
      </c>
      <c r="G2" s="1">
        <v>595</v>
      </c>
      <c r="H2" s="1">
        <v>531</v>
      </c>
      <c r="I2" s="1" t="s">
        <v>35</v>
      </c>
      <c r="J2" s="1" t="s">
        <v>35</v>
      </c>
      <c r="K2" s="1" t="str">
        <f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f>
        <v>Null</v>
      </c>
    </row>
    <row r="3" spans="1:18" ht="15.75" thickBot="1" x14ac:dyDescent="0.3">
      <c r="A3" s="1" t="s">
        <v>51</v>
      </c>
      <c r="B3" s="1" t="s">
        <v>52</v>
      </c>
      <c r="C3" s="1">
        <v>2025</v>
      </c>
      <c r="D3" s="1" t="s">
        <v>53</v>
      </c>
      <c r="E3" s="1" t="s">
        <v>35</v>
      </c>
      <c r="F3" s="1" t="s">
        <v>35</v>
      </c>
      <c r="G3" s="1" t="s">
        <v>35</v>
      </c>
      <c r="H3" s="1" t="s">
        <v>35</v>
      </c>
      <c r="I3" s="1">
        <v>150</v>
      </c>
      <c r="J3" s="1">
        <v>100</v>
      </c>
      <c r="K3" s="1">
        <f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f>
        <v>1.5</v>
      </c>
    </row>
    <row r="4" spans="1:18" x14ac:dyDescent="0.25">
      <c r="A4" s="14" t="s">
        <v>39</v>
      </c>
      <c r="B4" s="15"/>
      <c r="C4" s="15"/>
      <c r="D4" s="16"/>
      <c r="E4" s="3">
        <f>IF(COUNT(Tabella1[Young''s modulus (MPa)])=0, "Null", AVERAGE(Tabella1[Young''s modulus (MPa)]))</f>
        <v>70500</v>
      </c>
      <c r="F4" s="3">
        <f>IF(COUNT(Tabella1[Poisson''s ratio (-)])=0, "Null", AVERAGE(Tabella1[Poisson''s ratio (-)]))</f>
        <v>0.33</v>
      </c>
      <c r="G4" s="3">
        <f>IF(COUNT(Tabella1[Tensile strength (MPa)])=0, "Null", AVERAGE(Tabella1[Tensile strength (MPa)]))</f>
        <v>595</v>
      </c>
      <c r="H4" s="3">
        <f>IF(COUNT(Tabella1[Yield strength (MPa)])=0, "Null", AVERAGE(Tabella1[Yield strength (MPa)]))</f>
        <v>531</v>
      </c>
      <c r="I4" s="3">
        <f>IF(COUNT(Tabella1[Tensile fatigue limit* (MPa)])=0, "Null", AVERAGE(Tabella1[Tensile fatigue limit* (MPa)]))</f>
        <v>150</v>
      </c>
      <c r="J4" s="3">
        <f>IF(COUNT(Tabella1[Torsional fatigue limit* (MPa)])=0, "Null", AVERAGE(Tabella1[Torsional fatigue limit* (MPa)]))</f>
        <v>100</v>
      </c>
      <c r="K4" s="4">
        <f>IF(COUNT(Tabella1[K])=0, "Null", AVERAGE(Tabella1[K]))</f>
        <v>1.5</v>
      </c>
    </row>
    <row r="5" spans="1:18" ht="15.75" thickBot="1" x14ac:dyDescent="0.3">
      <c r="A5" s="17" t="s">
        <v>38</v>
      </c>
      <c r="B5" s="18"/>
      <c r="C5" s="18"/>
      <c r="D5" s="19"/>
      <c r="E5" s="5">
        <v>200</v>
      </c>
      <c r="F5" s="5">
        <f>IF(COUNT(Tabella1[Poisson''s ratio (-)])=0, "Null", _xlfn.STDEV.P(Tabella1[Poisson''s ratio (-)]))</f>
        <v>0</v>
      </c>
      <c r="G5" s="5">
        <v>5.9</v>
      </c>
      <c r="H5" s="5" t="s">
        <v>54</v>
      </c>
      <c r="I5" s="5">
        <f>IF(COUNT(Tabella1[Tensile fatigue limit* (MPa)])=0, "Null", _xlfn.STDEV.P(Tabella1[Tensile fatigue limit* (MPa)]))</f>
        <v>0</v>
      </c>
      <c r="J5" s="5">
        <f>IF(COUNT(Tabella1[Torsional fatigue limit* (MPa)])=0, "Null", _xlfn.STDEV.P(Tabella1[Torsional fatigue limit* (MPa)]))</f>
        <v>0</v>
      </c>
      <c r="K5" s="6">
        <f>IF(COUNT(Tabella1[K])=0, "Null", _xlfn.STDEV.P(Tabella1[K]))</f>
        <v>0</v>
      </c>
    </row>
    <row r="10" spans="1:18" ht="15.75" thickBot="1" x14ac:dyDescent="0.3"/>
    <row r="11" spans="1:18" x14ac:dyDescent="0.25">
      <c r="A11" s="20" t="s">
        <v>48</v>
      </c>
      <c r="B11" s="9" t="s">
        <v>49</v>
      </c>
    </row>
    <row r="12" spans="1:18" ht="15.75" thickBot="1" x14ac:dyDescent="0.3">
      <c r="A12" s="21"/>
      <c r="B12" s="10" t="s">
        <v>50</v>
      </c>
    </row>
    <row r="24" spans="3:3" x14ac:dyDescent="0.25">
      <c r="C24" s="12" t="s">
        <v>249</v>
      </c>
    </row>
    <row r="25" spans="3:3" x14ac:dyDescent="0.25">
      <c r="C25" s="13">
        <f>COUNTA(Tabella2[Authors])</f>
        <v>189</v>
      </c>
    </row>
  </sheetData>
  <mergeCells count="3">
    <mergeCell ref="A4:D4"/>
    <mergeCell ref="A5:D5"/>
    <mergeCell ref="A11:A12"/>
  </mergeCells>
  <phoneticPr fontId="6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J190"/>
  <sheetViews>
    <sheetView topLeftCell="F1" zoomScale="70" zoomScaleNormal="70" workbookViewId="0">
      <selection activeCell="A194" sqref="A194:B223"/>
    </sheetView>
  </sheetViews>
  <sheetFormatPr defaultRowHeight="15" x14ac:dyDescent="0.25"/>
  <cols>
    <col min="1" max="1" width="30.140625" bestFit="1" customWidth="1"/>
    <col min="2" max="3" width="30.140625" customWidth="1"/>
    <col min="4" max="4" width="19" bestFit="1" customWidth="1"/>
    <col min="5" max="5" width="28.28515625" bestFit="1" customWidth="1"/>
    <col min="6" max="6" width="48.28515625" bestFit="1" customWidth="1"/>
    <col min="7" max="7" width="20.140625" bestFit="1" customWidth="1"/>
    <col min="8" max="8" width="25.7109375" customWidth="1"/>
    <col min="9" max="9" width="29.140625" customWidth="1"/>
    <col min="10" max="10" width="24.42578125" customWidth="1"/>
    <col min="11" max="11" width="27.85546875" customWidth="1"/>
    <col min="12" max="12" width="34.28515625" bestFit="1" customWidth="1"/>
    <col min="13" max="13" width="37.42578125" bestFit="1" customWidth="1"/>
    <col min="14" max="14" width="28.28515625" customWidth="1"/>
    <col min="15" max="15" width="31.7109375" customWidth="1"/>
    <col min="16" max="16" width="35.140625" bestFit="1" customWidth="1"/>
    <col min="17" max="17" width="23.85546875" bestFit="1" customWidth="1"/>
    <col min="18" max="18" width="27.85546875" bestFit="1" customWidth="1"/>
    <col min="19" max="19" width="27.7109375" bestFit="1" customWidth="1"/>
    <col min="20" max="20" width="32.140625" bestFit="1" customWidth="1"/>
    <col min="21" max="21" width="27.28515625" bestFit="1" customWidth="1"/>
    <col min="22" max="22" width="30.85546875" bestFit="1" customWidth="1"/>
    <col min="23" max="23" width="27.85546875" bestFit="1" customWidth="1"/>
    <col min="24" max="24" width="31.42578125" bestFit="1" customWidth="1"/>
    <col min="25" max="25" width="31.28515625" bestFit="1" customWidth="1"/>
    <col min="26" max="26" width="34.85546875" bestFit="1" customWidth="1"/>
    <col min="27" max="27" width="35.140625" bestFit="1" customWidth="1"/>
    <col min="28" max="28" width="25.7109375" bestFit="1" customWidth="1"/>
    <col min="29" max="29" width="27.85546875" bestFit="1" customWidth="1"/>
    <col min="30" max="30" width="33.7109375" bestFit="1" customWidth="1"/>
    <col min="31" max="31" width="33.7109375" customWidth="1"/>
    <col min="32" max="32" width="28.5703125" bestFit="1" customWidth="1"/>
    <col min="33" max="33" width="28.28515625" bestFit="1" customWidth="1"/>
    <col min="34" max="34" width="28.28515625" customWidth="1"/>
    <col min="35" max="35" width="34.28515625" bestFit="1" customWidth="1"/>
    <col min="36" max="36" width="18.5703125" bestFit="1" customWidth="1"/>
  </cols>
  <sheetData>
    <row r="1" spans="1:36" x14ac:dyDescent="0.25">
      <c r="A1" s="2" t="s">
        <v>42</v>
      </c>
      <c r="B1" s="2" t="s">
        <v>41</v>
      </c>
      <c r="C1" s="2" t="s">
        <v>0</v>
      </c>
      <c r="D1" s="2" t="s">
        <v>33</v>
      </c>
      <c r="E1" s="2" t="s">
        <v>6</v>
      </c>
      <c r="F1" s="2" t="s">
        <v>7</v>
      </c>
      <c r="G1" s="2" t="s">
        <v>32</v>
      </c>
      <c r="H1" s="2" t="s">
        <v>29</v>
      </c>
      <c r="I1" s="2" t="s">
        <v>44</v>
      </c>
      <c r="J1" s="2" t="s">
        <v>46</v>
      </c>
      <c r="K1" s="2" t="s">
        <v>30</v>
      </c>
      <c r="L1" s="2" t="s">
        <v>247</v>
      </c>
      <c r="M1" s="2" t="s">
        <v>31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1" t="s">
        <v>8</v>
      </c>
      <c r="T1" s="2" t="s">
        <v>9</v>
      </c>
      <c r="U1" s="1" t="s">
        <v>10</v>
      </c>
      <c r="V1" s="2" t="s">
        <v>11</v>
      </c>
      <c r="W1" s="1" t="s">
        <v>12</v>
      </c>
      <c r="X1" s="2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22</v>
      </c>
      <c r="AF1" s="1" t="s">
        <v>21</v>
      </c>
      <c r="AG1" s="1" t="s">
        <v>20</v>
      </c>
      <c r="AH1" s="1" t="s">
        <v>248</v>
      </c>
      <c r="AI1" s="1" t="s">
        <v>23</v>
      </c>
    </row>
    <row r="2" spans="1:36" ht="15.6" customHeight="1" x14ac:dyDescent="0.25">
      <c r="A2" s="1" t="s">
        <v>52</v>
      </c>
      <c r="B2" s="1">
        <v>2025</v>
      </c>
      <c r="C2" s="1" t="s">
        <v>51</v>
      </c>
      <c r="D2" s="1" t="s">
        <v>57</v>
      </c>
      <c r="E2" s="1">
        <v>322262</v>
      </c>
      <c r="F2" s="1" t="s">
        <v>34</v>
      </c>
      <c r="G2" s="1" t="s">
        <v>43</v>
      </c>
      <c r="H2" s="1" t="e" vm="1">
        <v>#VALUE!</v>
      </c>
      <c r="I2" s="1" t="s">
        <v>45</v>
      </c>
      <c r="J2" s="1" t="s">
        <v>47</v>
      </c>
      <c r="K2" s="1">
        <v>5</v>
      </c>
      <c r="L2" s="8">
        <f>PI()*(Tabella2[[#This Row],[Diameter (mm)]]/2)^2</f>
        <v>19.634954084936208</v>
      </c>
      <c r="M2" s="8">
        <f>(PI()*Tabella2[[#This Row],[Diameter (mm)]]^4)/32</f>
        <v>61.359231515425648</v>
      </c>
      <c r="N2" s="1" t="s">
        <v>35</v>
      </c>
      <c r="O2" s="1" t="s">
        <v>35</v>
      </c>
      <c r="P2" s="1" t="s">
        <v>35</v>
      </c>
      <c r="Q2" s="1">
        <v>-1</v>
      </c>
      <c r="R2" s="1" t="s">
        <v>35</v>
      </c>
      <c r="S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" s="1" t="s">
        <v>35</v>
      </c>
      <c r="U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" s="1">
        <v>190</v>
      </c>
      <c r="W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" s="7" t="s">
        <v>35</v>
      </c>
      <c r="Y2" s="7" t="str">
        <f>Tabella2[[#This Row],[Mean RADIAL stress  (MPa)]]</f>
        <v>Null</v>
      </c>
      <c r="Z2" s="7" t="str">
        <f>Tabella2[[#This Row],[Amplitute RADIAL stress  (MPa)]]</f>
        <v>Null</v>
      </c>
      <c r="AA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" s="8">
        <f>IF( AND(ISNUMBER(Tabella2[[#This Row],[Mean AXIAL stress  (MPa)]]), ISNUMBER(Tabella2[[#This Row],[Area (mm^2)]])), Tabella2[[#This Row],[Mean AXIAL stress  (MPa)]]*Tabella2[[#This Row],[Area (mm^2)]], "Null")</f>
        <v>0</v>
      </c>
      <c r="AC2" s="8">
        <f>IF( AND(ISNUMBER(Tabella2[[#This Row],[Amplitute AXIAL stress  (MPa)]]), ISNUMBER(Tabella2[[#This Row],[Area (mm^2)]])), Tabella2[[#This Row],[Amplitute AXIAL stress  (MPa)]]*Tabella2[[#This Row],[Area (mm^2)]],"Null")</f>
        <v>3730.6412761378797</v>
      </c>
      <c r="AD2" s="8">
        <f>IF( AND(ISNUMBER(Tabella2[[#This Row],[Amplitude AXIAL force (N)]]), ISNUMBER(Tabella2[[#This Row],[Mean AXIAL force (N)]])), Tabella2[[#This Row],[Amplitude AXIAL force (N)]]+Tabella2[[#This Row],[Mean AXIAL force (N)]],"Null")</f>
        <v>3730.6412761378797</v>
      </c>
      <c r="AE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</v>
      </c>
      <c r="AI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2" s="1"/>
    </row>
    <row r="3" spans="1:36" x14ac:dyDescent="0.25">
      <c r="A3" s="1" t="s">
        <v>52</v>
      </c>
      <c r="B3" s="1">
        <v>2025</v>
      </c>
      <c r="C3" s="1" t="s">
        <v>51</v>
      </c>
      <c r="D3" s="1" t="s">
        <v>58</v>
      </c>
      <c r="E3" s="1">
        <v>133766</v>
      </c>
      <c r="F3" s="1" t="s">
        <v>34</v>
      </c>
      <c r="G3" s="1" t="s">
        <v>43</v>
      </c>
      <c r="H3" s="1" t="e" vm="1">
        <v>#VALUE!</v>
      </c>
      <c r="I3" s="1" t="s">
        <v>45</v>
      </c>
      <c r="J3" s="1" t="s">
        <v>47</v>
      </c>
      <c r="K3" s="1">
        <v>5</v>
      </c>
      <c r="L3" s="8">
        <f>PI()*(Tabella2[[#This Row],[Diameter (mm)]]/2)^2</f>
        <v>19.634954084936208</v>
      </c>
      <c r="M3" s="8">
        <f>(PI()*Tabella2[[#This Row],[Diameter (mm)]]^4)/32</f>
        <v>61.359231515425648</v>
      </c>
      <c r="N3" s="1" t="s">
        <v>35</v>
      </c>
      <c r="O3" s="1" t="s">
        <v>35</v>
      </c>
      <c r="P3" s="1" t="s">
        <v>35</v>
      </c>
      <c r="Q3" s="1">
        <v>-1</v>
      </c>
      <c r="R3" s="1" t="s">
        <v>35</v>
      </c>
      <c r="S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" s="1" t="s">
        <v>35</v>
      </c>
      <c r="U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" s="1">
        <v>190</v>
      </c>
      <c r="W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" s="7" t="s">
        <v>35</v>
      </c>
      <c r="Y3" s="7" t="str">
        <f>Tabella2[[#This Row],[Mean RADIAL stress  (MPa)]]</f>
        <v>Null</v>
      </c>
      <c r="Z3" s="7" t="str">
        <f>Tabella2[[#This Row],[Amplitute RADIAL stress  (MPa)]]</f>
        <v>Null</v>
      </c>
      <c r="AA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" s="8">
        <f>IF( AND(ISNUMBER(Tabella2[[#This Row],[Mean AXIAL stress  (MPa)]]), ISNUMBER(Tabella2[[#This Row],[Area (mm^2)]])), Tabella2[[#This Row],[Mean AXIAL stress  (MPa)]]*Tabella2[[#This Row],[Area (mm^2)]], "Null")</f>
        <v>0</v>
      </c>
      <c r="AC3" s="8">
        <f>IF( AND(ISNUMBER(Tabella2[[#This Row],[Amplitute AXIAL stress  (MPa)]]), ISNUMBER(Tabella2[[#This Row],[Area (mm^2)]])), Tabella2[[#This Row],[Amplitute AXIAL stress  (MPa)]]*Tabella2[[#This Row],[Area (mm^2)]],"Null")</f>
        <v>3730.6412761378797</v>
      </c>
      <c r="AD3" s="8">
        <f>IF( AND(ISNUMBER(Tabella2[[#This Row],[Amplitude AXIAL force (N)]]), ISNUMBER(Tabella2[[#This Row],[Mean AXIAL force (N)]])), Tabella2[[#This Row],[Amplitude AXIAL force (N)]]+Tabella2[[#This Row],[Mean AXIAL force (N)]],"Null")</f>
        <v>3730.6412761378797</v>
      </c>
      <c r="AE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</v>
      </c>
      <c r="AI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3" s="1"/>
    </row>
    <row r="4" spans="1:36" x14ac:dyDescent="0.25">
      <c r="A4" s="1" t="s">
        <v>52</v>
      </c>
      <c r="B4" s="1">
        <v>2025</v>
      </c>
      <c r="C4" s="1" t="s">
        <v>51</v>
      </c>
      <c r="D4" s="1" t="s">
        <v>59</v>
      </c>
      <c r="E4" s="1">
        <v>529531</v>
      </c>
      <c r="F4" s="1" t="s">
        <v>34</v>
      </c>
      <c r="G4" s="1" t="s">
        <v>43</v>
      </c>
      <c r="H4" s="1" t="e" vm="1">
        <v>#VALUE!</v>
      </c>
      <c r="I4" s="1" t="s">
        <v>45</v>
      </c>
      <c r="J4" s="1" t="s">
        <v>47</v>
      </c>
      <c r="K4" s="1">
        <v>5</v>
      </c>
      <c r="L4" s="8">
        <f>PI()*(Tabella2[[#This Row],[Diameter (mm)]]/2)^2</f>
        <v>19.634954084936208</v>
      </c>
      <c r="M4" s="8">
        <f>(PI()*Tabella2[[#This Row],[Diameter (mm)]]^4)/32</f>
        <v>61.359231515425648</v>
      </c>
      <c r="N4" s="1" t="s">
        <v>35</v>
      </c>
      <c r="O4" s="1" t="s">
        <v>35</v>
      </c>
      <c r="P4" s="1" t="s">
        <v>35</v>
      </c>
      <c r="Q4" s="1">
        <v>-1</v>
      </c>
      <c r="R4" s="1" t="s">
        <v>35</v>
      </c>
      <c r="S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" s="1" t="s">
        <v>35</v>
      </c>
      <c r="U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" s="1">
        <v>170</v>
      </c>
      <c r="W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" s="7" t="s">
        <v>35</v>
      </c>
      <c r="Y4" s="7" t="str">
        <f>Tabella2[[#This Row],[Mean RADIAL stress  (MPa)]]</f>
        <v>Null</v>
      </c>
      <c r="Z4" s="7" t="str">
        <f>Tabella2[[#This Row],[Amplitute RADIAL stress  (MPa)]]</f>
        <v>Null</v>
      </c>
      <c r="AA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" s="8">
        <f>IF( AND(ISNUMBER(Tabella2[[#This Row],[Mean AXIAL stress  (MPa)]]), ISNUMBER(Tabella2[[#This Row],[Area (mm^2)]])), Tabella2[[#This Row],[Mean AXIAL stress  (MPa)]]*Tabella2[[#This Row],[Area (mm^2)]], "Null")</f>
        <v>0</v>
      </c>
      <c r="AC4" s="8">
        <f>IF( AND(ISNUMBER(Tabella2[[#This Row],[Amplitute AXIAL stress  (MPa)]]), ISNUMBER(Tabella2[[#This Row],[Area (mm^2)]])), Tabella2[[#This Row],[Amplitute AXIAL stress  (MPa)]]*Tabella2[[#This Row],[Area (mm^2)]],"Null")</f>
        <v>3337.9421944391552</v>
      </c>
      <c r="AD4" s="8">
        <f>IF( AND(ISNUMBER(Tabella2[[#This Row],[Amplitude AXIAL force (N)]]), ISNUMBER(Tabella2[[#This Row],[Mean AXIAL force (N)]])), Tabella2[[#This Row],[Amplitude AXIAL force (N)]]+Tabella2[[#This Row],[Mean AXIAL force (N)]],"Null")</f>
        <v>3337.9421944391552</v>
      </c>
      <c r="AE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170</v>
      </c>
      <c r="AI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4" s="1"/>
    </row>
    <row r="5" spans="1:36" x14ac:dyDescent="0.25">
      <c r="A5" s="1" t="s">
        <v>52</v>
      </c>
      <c r="B5" s="1">
        <v>2025</v>
      </c>
      <c r="C5" s="1" t="s">
        <v>51</v>
      </c>
      <c r="D5" s="1" t="s">
        <v>60</v>
      </c>
      <c r="E5" s="1">
        <v>419980</v>
      </c>
      <c r="F5" s="1" t="s">
        <v>34</v>
      </c>
      <c r="G5" s="1" t="s">
        <v>43</v>
      </c>
      <c r="H5" s="1" t="e" vm="1">
        <v>#VALUE!</v>
      </c>
      <c r="I5" s="1" t="s">
        <v>45</v>
      </c>
      <c r="J5" s="1" t="s">
        <v>47</v>
      </c>
      <c r="K5" s="1">
        <v>5</v>
      </c>
      <c r="L5" s="8">
        <f>PI()*(Tabella2[[#This Row],[Diameter (mm)]]/2)^2</f>
        <v>19.634954084936208</v>
      </c>
      <c r="M5" s="8">
        <f>(PI()*Tabella2[[#This Row],[Diameter (mm)]]^4)/32</f>
        <v>61.359231515425648</v>
      </c>
      <c r="N5" s="1" t="s">
        <v>35</v>
      </c>
      <c r="O5" s="1" t="s">
        <v>35</v>
      </c>
      <c r="P5" s="1" t="s">
        <v>35</v>
      </c>
      <c r="Q5" s="1">
        <v>-1</v>
      </c>
      <c r="R5" s="1" t="s">
        <v>35</v>
      </c>
      <c r="S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" s="1" t="s">
        <v>35</v>
      </c>
      <c r="U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" s="1">
        <v>170</v>
      </c>
      <c r="W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" s="7" t="s">
        <v>35</v>
      </c>
      <c r="Y5" s="7" t="str">
        <f>Tabella2[[#This Row],[Mean RADIAL stress  (MPa)]]</f>
        <v>Null</v>
      </c>
      <c r="Z5" s="7" t="str">
        <f>Tabella2[[#This Row],[Amplitute RADIAL stress  (MPa)]]</f>
        <v>Null</v>
      </c>
      <c r="AA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" s="8">
        <f>IF( AND(ISNUMBER(Tabella2[[#This Row],[Mean AXIAL stress  (MPa)]]), ISNUMBER(Tabella2[[#This Row],[Area (mm^2)]])), Tabella2[[#This Row],[Mean AXIAL stress  (MPa)]]*Tabella2[[#This Row],[Area (mm^2)]], "Null")</f>
        <v>0</v>
      </c>
      <c r="AC5" s="8">
        <f>IF( AND(ISNUMBER(Tabella2[[#This Row],[Amplitute AXIAL stress  (MPa)]]), ISNUMBER(Tabella2[[#This Row],[Area (mm^2)]])), Tabella2[[#This Row],[Amplitute AXIAL stress  (MPa)]]*Tabella2[[#This Row],[Area (mm^2)]],"Null")</f>
        <v>3337.9421944391552</v>
      </c>
      <c r="AD5" s="8">
        <f>IF( AND(ISNUMBER(Tabella2[[#This Row],[Amplitude AXIAL force (N)]]), ISNUMBER(Tabella2[[#This Row],[Mean AXIAL force (N)]])), Tabella2[[#This Row],[Amplitude AXIAL force (N)]]+Tabella2[[#This Row],[Mean AXIAL force (N)]],"Null")</f>
        <v>3337.9421944391552</v>
      </c>
      <c r="AE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170</v>
      </c>
      <c r="AI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5" s="1"/>
    </row>
    <row r="6" spans="1:36" x14ac:dyDescent="0.25">
      <c r="A6" s="1" t="s">
        <v>52</v>
      </c>
      <c r="B6" s="1">
        <v>2025</v>
      </c>
      <c r="C6" s="1" t="s">
        <v>51</v>
      </c>
      <c r="D6" s="1" t="s">
        <v>61</v>
      </c>
      <c r="E6" s="1">
        <v>5000000</v>
      </c>
      <c r="F6" s="1" t="s">
        <v>70</v>
      </c>
      <c r="G6" s="1" t="s">
        <v>43</v>
      </c>
      <c r="H6" s="1" t="e" vm="1">
        <v>#VALUE!</v>
      </c>
      <c r="I6" s="1" t="s">
        <v>45</v>
      </c>
      <c r="J6" s="1" t="s">
        <v>47</v>
      </c>
      <c r="K6" s="1">
        <v>5</v>
      </c>
      <c r="L6" s="8">
        <f>PI()*(Tabella2[[#This Row],[Diameter (mm)]]/2)^2</f>
        <v>19.634954084936208</v>
      </c>
      <c r="M6" s="8">
        <f>(PI()*Tabella2[[#This Row],[Diameter (mm)]]^4)/32</f>
        <v>61.359231515425648</v>
      </c>
      <c r="N6" s="1" t="s">
        <v>35</v>
      </c>
      <c r="O6" s="1" t="s">
        <v>35</v>
      </c>
      <c r="P6" s="1" t="s">
        <v>35</v>
      </c>
      <c r="Q6" s="1">
        <v>-1</v>
      </c>
      <c r="R6" s="1" t="s">
        <v>35</v>
      </c>
      <c r="S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" s="1" t="s">
        <v>35</v>
      </c>
      <c r="U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6" s="1">
        <v>150</v>
      </c>
      <c r="W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" s="7" t="s">
        <v>35</v>
      </c>
      <c r="Y6" s="7" t="str">
        <f>Tabella2[[#This Row],[Mean RADIAL stress  (MPa)]]</f>
        <v>Null</v>
      </c>
      <c r="Z6" s="7" t="str">
        <f>Tabella2[[#This Row],[Amplitute RADIAL stress  (MPa)]]</f>
        <v>Null</v>
      </c>
      <c r="AA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" s="8">
        <f>IF( AND(ISNUMBER(Tabella2[[#This Row],[Mean AXIAL stress  (MPa)]]), ISNUMBER(Tabella2[[#This Row],[Area (mm^2)]])), Tabella2[[#This Row],[Mean AXIAL stress  (MPa)]]*Tabella2[[#This Row],[Area (mm^2)]], "Null")</f>
        <v>0</v>
      </c>
      <c r="AC6" s="8">
        <f>IF( AND(ISNUMBER(Tabella2[[#This Row],[Amplitute AXIAL stress  (MPa)]]), ISNUMBER(Tabella2[[#This Row],[Area (mm^2)]])), Tabella2[[#This Row],[Amplitute AXIAL stress  (MPa)]]*Tabella2[[#This Row],[Area (mm^2)]],"Null")</f>
        <v>2945.2431127404311</v>
      </c>
      <c r="AD6" s="8">
        <f>IF( AND(ISNUMBER(Tabella2[[#This Row],[Amplitude AXIAL force (N)]]), ISNUMBER(Tabella2[[#This Row],[Mean AXIAL force (N)]])), Tabella2[[#This Row],[Amplitude AXIAL force (N)]]+Tabella2[[#This Row],[Mean AXIAL force (N)]],"Null")</f>
        <v>2945.2431127404311</v>
      </c>
      <c r="AE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6" s="1"/>
    </row>
    <row r="7" spans="1:36" x14ac:dyDescent="0.25">
      <c r="A7" s="1" t="s">
        <v>52</v>
      </c>
      <c r="B7" s="1">
        <v>2025</v>
      </c>
      <c r="C7" s="1" t="s">
        <v>51</v>
      </c>
      <c r="D7" s="1" t="s">
        <v>62</v>
      </c>
      <c r="E7" s="1">
        <v>356775</v>
      </c>
      <c r="F7" s="1" t="s">
        <v>34</v>
      </c>
      <c r="G7" s="1" t="s">
        <v>43</v>
      </c>
      <c r="H7" s="1" t="e" vm="1">
        <v>#VALUE!</v>
      </c>
      <c r="I7" s="1" t="s">
        <v>45</v>
      </c>
      <c r="J7" s="1" t="s">
        <v>47</v>
      </c>
      <c r="K7" s="1">
        <v>5</v>
      </c>
      <c r="L7" s="8">
        <f>PI()*(Tabella2[[#This Row],[Diameter (mm)]]/2)^2</f>
        <v>19.634954084936208</v>
      </c>
      <c r="M7" s="8">
        <f>(PI()*Tabella2[[#This Row],[Diameter (mm)]]^4)/32</f>
        <v>61.359231515425648</v>
      </c>
      <c r="N7" s="1" t="s">
        <v>35</v>
      </c>
      <c r="O7" s="1" t="s">
        <v>35</v>
      </c>
      <c r="P7" s="1" t="s">
        <v>35</v>
      </c>
      <c r="Q7" s="1">
        <v>-1</v>
      </c>
      <c r="R7" s="1" t="s">
        <v>35</v>
      </c>
      <c r="S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" s="1" t="s">
        <v>35</v>
      </c>
      <c r="U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7" s="1">
        <v>190</v>
      </c>
      <c r="W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" s="7" t="s">
        <v>35</v>
      </c>
      <c r="Y7" s="7" t="str">
        <f>Tabella2[[#This Row],[Mean RADIAL stress  (MPa)]]</f>
        <v>Null</v>
      </c>
      <c r="Z7" s="7" t="str">
        <f>Tabella2[[#This Row],[Amplitute RADIAL stress  (MPa)]]</f>
        <v>Null</v>
      </c>
      <c r="AA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" s="8">
        <f>IF( AND(ISNUMBER(Tabella2[[#This Row],[Mean AXIAL stress  (MPa)]]), ISNUMBER(Tabella2[[#This Row],[Area (mm^2)]])), Tabella2[[#This Row],[Mean AXIAL stress  (MPa)]]*Tabella2[[#This Row],[Area (mm^2)]], "Null")</f>
        <v>0</v>
      </c>
      <c r="AC7" s="8">
        <f>IF( AND(ISNUMBER(Tabella2[[#This Row],[Amplitute AXIAL stress  (MPa)]]), ISNUMBER(Tabella2[[#This Row],[Area (mm^2)]])), Tabella2[[#This Row],[Amplitute AXIAL stress  (MPa)]]*Tabella2[[#This Row],[Area (mm^2)]],"Null")</f>
        <v>3730.6412761378797</v>
      </c>
      <c r="AD7" s="8">
        <f>IF( AND(ISNUMBER(Tabella2[[#This Row],[Amplitude AXIAL force (N)]]), ISNUMBER(Tabella2[[#This Row],[Mean AXIAL force (N)]])), Tabella2[[#This Row],[Amplitude AXIAL force (N)]]+Tabella2[[#This Row],[Mean AXIAL force (N)]],"Null")</f>
        <v>3730.6412761378797</v>
      </c>
      <c r="AE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</v>
      </c>
      <c r="AI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7" s="1"/>
    </row>
    <row r="8" spans="1:36" ht="14.45" customHeight="1" x14ac:dyDescent="0.25">
      <c r="A8" s="1" t="s">
        <v>52</v>
      </c>
      <c r="B8" s="1">
        <v>2025</v>
      </c>
      <c r="C8" s="1" t="s">
        <v>51</v>
      </c>
      <c r="D8" s="1" t="s">
        <v>63</v>
      </c>
      <c r="E8" s="1">
        <v>645187</v>
      </c>
      <c r="F8" s="1" t="s">
        <v>34</v>
      </c>
      <c r="G8" s="1" t="s">
        <v>43</v>
      </c>
      <c r="H8" s="1" t="e" vm="1">
        <v>#VALUE!</v>
      </c>
      <c r="I8" s="1" t="s">
        <v>45</v>
      </c>
      <c r="J8" s="1" t="s">
        <v>47</v>
      </c>
      <c r="K8" s="1">
        <v>5</v>
      </c>
      <c r="L8" s="8">
        <f>PI()*(Tabella2[[#This Row],[Diameter (mm)]]/2)^2</f>
        <v>19.634954084936208</v>
      </c>
      <c r="M8" s="8">
        <f>(PI()*Tabella2[[#This Row],[Diameter (mm)]]^4)/32</f>
        <v>61.359231515425648</v>
      </c>
      <c r="N8" s="1" t="s">
        <v>35</v>
      </c>
      <c r="O8" s="1" t="s">
        <v>35</v>
      </c>
      <c r="P8" s="1" t="s">
        <v>35</v>
      </c>
      <c r="Q8" s="1">
        <v>-1</v>
      </c>
      <c r="R8" s="1" t="s">
        <v>35</v>
      </c>
      <c r="S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" s="1" t="s">
        <v>35</v>
      </c>
      <c r="U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8" s="1">
        <v>170</v>
      </c>
      <c r="W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" s="7" t="s">
        <v>35</v>
      </c>
      <c r="Y8" s="7" t="str">
        <f>Tabella2[[#This Row],[Mean RADIAL stress  (MPa)]]</f>
        <v>Null</v>
      </c>
      <c r="Z8" s="7" t="str">
        <f>Tabella2[[#This Row],[Amplitute RADIAL stress  (MPa)]]</f>
        <v>Null</v>
      </c>
      <c r="AA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" s="8">
        <f>IF( AND(ISNUMBER(Tabella2[[#This Row],[Mean AXIAL stress  (MPa)]]), ISNUMBER(Tabella2[[#This Row],[Area (mm^2)]])), Tabella2[[#This Row],[Mean AXIAL stress  (MPa)]]*Tabella2[[#This Row],[Area (mm^2)]], "Null")</f>
        <v>0</v>
      </c>
      <c r="AC8" s="8">
        <f>IF( AND(ISNUMBER(Tabella2[[#This Row],[Amplitute AXIAL stress  (MPa)]]), ISNUMBER(Tabella2[[#This Row],[Area (mm^2)]])), Tabella2[[#This Row],[Amplitute AXIAL stress  (MPa)]]*Tabella2[[#This Row],[Area (mm^2)]],"Null")</f>
        <v>3337.9421944391552</v>
      </c>
      <c r="AD8" s="8">
        <f>IF( AND(ISNUMBER(Tabella2[[#This Row],[Amplitude AXIAL force (N)]]), ISNUMBER(Tabella2[[#This Row],[Mean AXIAL force (N)]])), Tabella2[[#This Row],[Amplitude AXIAL force (N)]]+Tabella2[[#This Row],[Mean AXIAL force (N)]],"Null")</f>
        <v>3337.9421944391552</v>
      </c>
      <c r="AE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170</v>
      </c>
      <c r="AI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8" s="1"/>
    </row>
    <row r="9" spans="1:36" x14ac:dyDescent="0.25">
      <c r="A9" s="1" t="s">
        <v>52</v>
      </c>
      <c r="B9" s="1">
        <v>2025</v>
      </c>
      <c r="C9" s="1" t="s">
        <v>51</v>
      </c>
      <c r="D9" s="1" t="s">
        <v>64</v>
      </c>
      <c r="E9" s="1">
        <v>2807604</v>
      </c>
      <c r="F9" s="1" t="s">
        <v>34</v>
      </c>
      <c r="G9" s="1" t="s">
        <v>43</v>
      </c>
      <c r="H9" s="1" t="e" vm="1">
        <v>#VALUE!</v>
      </c>
      <c r="I9" s="1" t="s">
        <v>45</v>
      </c>
      <c r="J9" s="1" t="s">
        <v>47</v>
      </c>
      <c r="K9" s="1">
        <v>5</v>
      </c>
      <c r="L9" s="8">
        <f>PI()*(Tabella2[[#This Row],[Diameter (mm)]]/2)^2</f>
        <v>19.634954084936208</v>
      </c>
      <c r="M9" s="8">
        <f>(PI()*Tabella2[[#This Row],[Diameter (mm)]]^4)/32</f>
        <v>61.359231515425648</v>
      </c>
      <c r="N9" s="1" t="s">
        <v>35</v>
      </c>
      <c r="O9" s="1" t="s">
        <v>35</v>
      </c>
      <c r="P9" s="1" t="s">
        <v>35</v>
      </c>
      <c r="Q9" s="1">
        <v>-1</v>
      </c>
      <c r="R9" s="1" t="s">
        <v>35</v>
      </c>
      <c r="S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" s="1" t="s">
        <v>35</v>
      </c>
      <c r="U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" s="1">
        <v>150</v>
      </c>
      <c r="W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9" s="7" t="s">
        <v>35</v>
      </c>
      <c r="Y9" s="7" t="str">
        <f>Tabella2[[#This Row],[Mean RADIAL stress  (MPa)]]</f>
        <v>Null</v>
      </c>
      <c r="Z9" s="7" t="str">
        <f>Tabella2[[#This Row],[Amplitute RADIAL stress  (MPa)]]</f>
        <v>Null</v>
      </c>
      <c r="AA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" s="8">
        <f>IF( AND(ISNUMBER(Tabella2[[#This Row],[Mean AXIAL stress  (MPa)]]), ISNUMBER(Tabella2[[#This Row],[Area (mm^2)]])), Tabella2[[#This Row],[Mean AXIAL stress  (MPa)]]*Tabella2[[#This Row],[Area (mm^2)]], "Null")</f>
        <v>0</v>
      </c>
      <c r="AC9" s="8">
        <f>IF( AND(ISNUMBER(Tabella2[[#This Row],[Amplitute AXIAL stress  (MPa)]]), ISNUMBER(Tabella2[[#This Row],[Area (mm^2)]])), Tabella2[[#This Row],[Amplitute AXIAL stress  (MPa)]]*Tabella2[[#This Row],[Area (mm^2)]],"Null")</f>
        <v>2945.2431127404311</v>
      </c>
      <c r="AD9" s="8">
        <f>IF( AND(ISNUMBER(Tabella2[[#This Row],[Amplitude AXIAL force (N)]]), ISNUMBER(Tabella2[[#This Row],[Mean AXIAL force (N)]])), Tabella2[[#This Row],[Amplitude AXIAL force (N)]]+Tabella2[[#This Row],[Mean AXIAL force (N)]],"Null")</f>
        <v>2945.2431127404311</v>
      </c>
      <c r="AE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9" s="1"/>
    </row>
    <row r="10" spans="1:36" x14ac:dyDescent="0.25">
      <c r="A10" s="1" t="s">
        <v>52</v>
      </c>
      <c r="B10" s="1">
        <v>2025</v>
      </c>
      <c r="C10" s="1" t="s">
        <v>51</v>
      </c>
      <c r="D10" s="1" t="s">
        <v>65</v>
      </c>
      <c r="E10" s="1">
        <v>3722394</v>
      </c>
      <c r="F10" s="1" t="s">
        <v>34</v>
      </c>
      <c r="G10" s="1" t="s">
        <v>43</v>
      </c>
      <c r="H10" s="1" t="e" vm="1">
        <v>#VALUE!</v>
      </c>
      <c r="I10" s="1" t="s">
        <v>45</v>
      </c>
      <c r="J10" s="1" t="s">
        <v>47</v>
      </c>
      <c r="K10" s="1">
        <v>5</v>
      </c>
      <c r="L10" s="8">
        <f>PI()*(Tabella2[[#This Row],[Diameter (mm)]]/2)^2</f>
        <v>19.634954084936208</v>
      </c>
      <c r="M10" s="8">
        <f>(PI()*Tabella2[[#This Row],[Diameter (mm)]]^4)/32</f>
        <v>61.359231515425648</v>
      </c>
      <c r="N10" s="1" t="s">
        <v>35</v>
      </c>
      <c r="O10" s="1" t="s">
        <v>35</v>
      </c>
      <c r="P10" s="1" t="s">
        <v>35</v>
      </c>
      <c r="Q10" s="1">
        <v>-1</v>
      </c>
      <c r="R10" s="1" t="s">
        <v>35</v>
      </c>
      <c r="S1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" s="1" t="s">
        <v>35</v>
      </c>
      <c r="U1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" s="1">
        <v>150</v>
      </c>
      <c r="W1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0" s="7" t="s">
        <v>35</v>
      </c>
      <c r="Y10" s="7" t="str">
        <f>Tabella2[[#This Row],[Mean RADIAL stress  (MPa)]]</f>
        <v>Null</v>
      </c>
      <c r="Z10" s="7" t="str">
        <f>Tabella2[[#This Row],[Amplitute RADIAL stress  (MPa)]]</f>
        <v>Null</v>
      </c>
      <c r="AA1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" s="8">
        <f>IF( AND(ISNUMBER(Tabella2[[#This Row],[Mean AXIAL stress  (MPa)]]), ISNUMBER(Tabella2[[#This Row],[Area (mm^2)]])), Tabella2[[#This Row],[Mean AXIAL stress  (MPa)]]*Tabella2[[#This Row],[Area (mm^2)]], "Null")</f>
        <v>0</v>
      </c>
      <c r="AC10" s="8">
        <f>IF( AND(ISNUMBER(Tabella2[[#This Row],[Amplitute AXIAL stress  (MPa)]]), ISNUMBER(Tabella2[[#This Row],[Area (mm^2)]])), Tabella2[[#This Row],[Amplitute AXIAL stress  (MPa)]]*Tabella2[[#This Row],[Area (mm^2)]],"Null")</f>
        <v>2945.2431127404311</v>
      </c>
      <c r="AD10" s="8">
        <f>IF( AND(ISNUMBER(Tabella2[[#This Row],[Amplitude AXIAL force (N)]]), ISNUMBER(Tabella2[[#This Row],[Mean AXIAL force (N)]])), Tabella2[[#This Row],[Amplitude AXIAL force (N)]]+Tabella2[[#This Row],[Mean AXIAL force (N)]],"Null")</f>
        <v>2945.2431127404311</v>
      </c>
      <c r="AE1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1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0" s="1"/>
    </row>
    <row r="11" spans="1:36" ht="15.6" customHeight="1" x14ac:dyDescent="0.25">
      <c r="A11" s="1" t="s">
        <v>52</v>
      </c>
      <c r="B11" s="1">
        <v>2025</v>
      </c>
      <c r="C11" s="1" t="s">
        <v>51</v>
      </c>
      <c r="D11" s="1" t="s">
        <v>66</v>
      </c>
      <c r="E11" s="1">
        <v>5000000</v>
      </c>
      <c r="F11" s="1" t="s">
        <v>70</v>
      </c>
      <c r="G11" s="1" t="s">
        <v>43</v>
      </c>
      <c r="H11" s="1" t="e" vm="1">
        <v>#VALUE!</v>
      </c>
      <c r="I11" s="1" t="s">
        <v>45</v>
      </c>
      <c r="J11" s="1" t="s">
        <v>47</v>
      </c>
      <c r="K11" s="1">
        <v>5</v>
      </c>
      <c r="L11" s="8">
        <f>PI()*(Tabella2[[#This Row],[Diameter (mm)]]/2)^2</f>
        <v>19.634954084936208</v>
      </c>
      <c r="M11" s="8">
        <f>(PI()*Tabella2[[#This Row],[Diameter (mm)]]^4)/32</f>
        <v>61.359231515425648</v>
      </c>
      <c r="N11" s="1" t="s">
        <v>35</v>
      </c>
      <c r="O11" s="1" t="s">
        <v>35</v>
      </c>
      <c r="P11" s="1" t="s">
        <v>35</v>
      </c>
      <c r="Q11" s="1">
        <v>-1</v>
      </c>
      <c r="R11" s="1" t="s">
        <v>35</v>
      </c>
      <c r="S1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" s="1" t="s">
        <v>35</v>
      </c>
      <c r="U1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" s="1">
        <v>140</v>
      </c>
      <c r="W1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" s="7" t="s">
        <v>35</v>
      </c>
      <c r="Y11" s="7" t="str">
        <f>Tabella2[[#This Row],[Mean RADIAL stress  (MPa)]]</f>
        <v>Null</v>
      </c>
      <c r="Z11" s="7" t="str">
        <f>Tabella2[[#This Row],[Amplitute RADIAL stress  (MPa)]]</f>
        <v>Null</v>
      </c>
      <c r="AA1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" s="8">
        <f>IF( AND(ISNUMBER(Tabella2[[#This Row],[Mean AXIAL stress  (MPa)]]), ISNUMBER(Tabella2[[#This Row],[Area (mm^2)]])), Tabella2[[#This Row],[Mean AXIAL stress  (MPa)]]*Tabella2[[#This Row],[Area (mm^2)]], "Null")</f>
        <v>0</v>
      </c>
      <c r="AC11" s="8">
        <f>IF( AND(ISNUMBER(Tabella2[[#This Row],[Amplitute AXIAL stress  (MPa)]]), ISNUMBER(Tabella2[[#This Row],[Area (mm^2)]])), Tabella2[[#This Row],[Amplitute AXIAL stress  (MPa)]]*Tabella2[[#This Row],[Area (mm^2)]],"Null")</f>
        <v>2748.8935718910693</v>
      </c>
      <c r="AD11" s="8">
        <f>IF( AND(ISNUMBER(Tabella2[[#This Row],[Amplitude AXIAL force (N)]]), ISNUMBER(Tabella2[[#This Row],[Mean AXIAL force (N)]])), Tabella2[[#This Row],[Amplitude AXIAL force (N)]]+Tabella2[[#This Row],[Mean AXIAL force (N)]],"Null")</f>
        <v>2748.8935718910693</v>
      </c>
      <c r="AE1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1" s="1"/>
    </row>
    <row r="12" spans="1:36" x14ac:dyDescent="0.25">
      <c r="A12" s="1" t="s">
        <v>52</v>
      </c>
      <c r="B12" s="1">
        <v>2025</v>
      </c>
      <c r="C12" s="1" t="s">
        <v>51</v>
      </c>
      <c r="D12" s="1" t="s">
        <v>67</v>
      </c>
      <c r="E12" s="1">
        <v>125000</v>
      </c>
      <c r="F12" s="1" t="s">
        <v>34</v>
      </c>
      <c r="G12" s="1" t="s">
        <v>43</v>
      </c>
      <c r="H12" s="1" t="e" vm="1">
        <v>#VALUE!</v>
      </c>
      <c r="I12" s="1" t="s">
        <v>45</v>
      </c>
      <c r="J12" s="1" t="s">
        <v>47</v>
      </c>
      <c r="K12" s="1">
        <v>5</v>
      </c>
      <c r="L12" s="8">
        <f>PI()*(Tabella2[[#This Row],[Diameter (mm)]]/2)^2</f>
        <v>19.634954084936208</v>
      </c>
      <c r="M12" s="8">
        <f>(PI()*Tabella2[[#This Row],[Diameter (mm)]]^4)/32</f>
        <v>61.359231515425648</v>
      </c>
      <c r="N12" s="1" t="s">
        <v>35</v>
      </c>
      <c r="O12" s="1" t="s">
        <v>35</v>
      </c>
      <c r="P12" s="1" t="s">
        <v>35</v>
      </c>
      <c r="Q12" s="1">
        <v>-1</v>
      </c>
      <c r="R12" s="1" t="s">
        <v>35</v>
      </c>
      <c r="S1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" s="1" t="s">
        <v>35</v>
      </c>
      <c r="U1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" s="1">
        <v>230</v>
      </c>
      <c r="W1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2" s="7" t="s">
        <v>35</v>
      </c>
      <c r="Y12" s="7" t="str">
        <f>Tabella2[[#This Row],[Mean RADIAL stress  (MPa)]]</f>
        <v>Null</v>
      </c>
      <c r="Z12" s="7" t="str">
        <f>Tabella2[[#This Row],[Amplitute RADIAL stress  (MPa)]]</f>
        <v>Null</v>
      </c>
      <c r="AA1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" s="8">
        <f>IF( AND(ISNUMBER(Tabella2[[#This Row],[Mean AXIAL stress  (MPa)]]), ISNUMBER(Tabella2[[#This Row],[Area (mm^2)]])), Tabella2[[#This Row],[Mean AXIAL stress  (MPa)]]*Tabella2[[#This Row],[Area (mm^2)]], "Null")</f>
        <v>0</v>
      </c>
      <c r="AC12" s="8">
        <f>IF( AND(ISNUMBER(Tabella2[[#This Row],[Amplitute AXIAL stress  (MPa)]]), ISNUMBER(Tabella2[[#This Row],[Area (mm^2)]])), Tabella2[[#This Row],[Amplitute AXIAL stress  (MPa)]]*Tabella2[[#This Row],[Area (mm^2)]],"Null")</f>
        <v>4516.0394395353278</v>
      </c>
      <c r="AD12" s="8">
        <f>IF( AND(ISNUMBER(Tabella2[[#This Row],[Amplitude AXIAL force (N)]]), ISNUMBER(Tabella2[[#This Row],[Mean AXIAL force (N)]])), Tabella2[[#This Row],[Amplitude AXIAL force (N)]]+Tabella2[[#This Row],[Mean AXIAL force (N)]],"Null")</f>
        <v>4516.0394395353278</v>
      </c>
      <c r="AE1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230</v>
      </c>
      <c r="AI1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2" s="1"/>
    </row>
    <row r="13" spans="1:36" x14ac:dyDescent="0.25">
      <c r="A13" s="1" t="s">
        <v>52</v>
      </c>
      <c r="B13" s="1">
        <v>2025</v>
      </c>
      <c r="C13" s="1" t="s">
        <v>51</v>
      </c>
      <c r="D13" s="1" t="s">
        <v>68</v>
      </c>
      <c r="E13" s="1">
        <v>73200</v>
      </c>
      <c r="F13" s="1" t="s">
        <v>34</v>
      </c>
      <c r="G13" s="1" t="s">
        <v>43</v>
      </c>
      <c r="H13" s="1" t="e" vm="1">
        <v>#VALUE!</v>
      </c>
      <c r="I13" s="1" t="s">
        <v>45</v>
      </c>
      <c r="J13" s="1" t="s">
        <v>47</v>
      </c>
      <c r="K13" s="1">
        <v>5</v>
      </c>
      <c r="L13" s="8">
        <f>PI()*(Tabella2[[#This Row],[Diameter (mm)]]/2)^2</f>
        <v>19.634954084936208</v>
      </c>
      <c r="M13" s="8">
        <f>(PI()*Tabella2[[#This Row],[Diameter (mm)]]^4)/32</f>
        <v>61.359231515425648</v>
      </c>
      <c r="N13" s="1" t="s">
        <v>35</v>
      </c>
      <c r="O13" s="1" t="s">
        <v>35</v>
      </c>
      <c r="P13" s="1" t="s">
        <v>35</v>
      </c>
      <c r="Q13" s="1">
        <v>-1</v>
      </c>
      <c r="R13" s="1" t="s">
        <v>35</v>
      </c>
      <c r="S1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" s="1" t="s">
        <v>35</v>
      </c>
      <c r="U1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3" s="1">
        <v>230</v>
      </c>
      <c r="W1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3" s="7" t="s">
        <v>35</v>
      </c>
      <c r="Y13" s="7" t="str">
        <f>Tabella2[[#This Row],[Mean RADIAL stress  (MPa)]]</f>
        <v>Null</v>
      </c>
      <c r="Z13" s="7" t="str">
        <f>Tabella2[[#This Row],[Amplitute RADIAL stress  (MPa)]]</f>
        <v>Null</v>
      </c>
      <c r="AA1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" s="8">
        <f>IF( AND(ISNUMBER(Tabella2[[#This Row],[Mean AXIAL stress  (MPa)]]), ISNUMBER(Tabella2[[#This Row],[Area (mm^2)]])), Tabella2[[#This Row],[Mean AXIAL stress  (MPa)]]*Tabella2[[#This Row],[Area (mm^2)]], "Null")</f>
        <v>0</v>
      </c>
      <c r="AC13" s="8">
        <f>IF( AND(ISNUMBER(Tabella2[[#This Row],[Amplitute AXIAL stress  (MPa)]]), ISNUMBER(Tabella2[[#This Row],[Area (mm^2)]])), Tabella2[[#This Row],[Amplitute AXIAL stress  (MPa)]]*Tabella2[[#This Row],[Area (mm^2)]],"Null")</f>
        <v>4516.0394395353278</v>
      </c>
      <c r="AD13" s="8">
        <f>IF( AND(ISNUMBER(Tabella2[[#This Row],[Amplitude AXIAL force (N)]]), ISNUMBER(Tabella2[[#This Row],[Mean AXIAL force (N)]])), Tabella2[[#This Row],[Amplitude AXIAL force (N)]]+Tabella2[[#This Row],[Mean AXIAL force (N)]],"Null")</f>
        <v>4516.0394395353278</v>
      </c>
      <c r="AE1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230</v>
      </c>
      <c r="AI1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3" s="1"/>
    </row>
    <row r="14" spans="1:36" x14ac:dyDescent="0.25">
      <c r="A14" s="1" t="s">
        <v>52</v>
      </c>
      <c r="B14" s="1">
        <v>2025</v>
      </c>
      <c r="C14" s="1" t="s">
        <v>51</v>
      </c>
      <c r="D14" s="1" t="s">
        <v>69</v>
      </c>
      <c r="E14" s="1">
        <v>40400</v>
      </c>
      <c r="F14" s="1" t="s">
        <v>34</v>
      </c>
      <c r="G14" s="1" t="s">
        <v>43</v>
      </c>
      <c r="H14" s="1" t="e" vm="1">
        <v>#VALUE!</v>
      </c>
      <c r="I14" s="1" t="s">
        <v>45</v>
      </c>
      <c r="J14" s="1" t="s">
        <v>47</v>
      </c>
      <c r="K14" s="1">
        <v>5</v>
      </c>
      <c r="L14" s="8">
        <f>PI()*(Tabella2[[#This Row],[Diameter (mm)]]/2)^2</f>
        <v>19.634954084936208</v>
      </c>
      <c r="M14" s="8">
        <f>(PI()*Tabella2[[#This Row],[Diameter (mm)]]^4)/32</f>
        <v>61.359231515425648</v>
      </c>
      <c r="N14" s="1" t="s">
        <v>35</v>
      </c>
      <c r="O14" s="1" t="s">
        <v>35</v>
      </c>
      <c r="P14" s="1" t="s">
        <v>35</v>
      </c>
      <c r="Q14" s="1">
        <v>-1</v>
      </c>
      <c r="R14" s="1" t="s">
        <v>35</v>
      </c>
      <c r="S1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" s="1" t="s">
        <v>35</v>
      </c>
      <c r="U1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" s="1">
        <v>230</v>
      </c>
      <c r="W1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4" s="7" t="s">
        <v>35</v>
      </c>
      <c r="Y14" s="7" t="str">
        <f>Tabella2[[#This Row],[Mean RADIAL stress  (MPa)]]</f>
        <v>Null</v>
      </c>
      <c r="Z14" s="7" t="str">
        <f>Tabella2[[#This Row],[Amplitute RADIAL stress  (MPa)]]</f>
        <v>Null</v>
      </c>
      <c r="AA1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" s="8">
        <f>IF( AND(ISNUMBER(Tabella2[[#This Row],[Mean AXIAL stress  (MPa)]]), ISNUMBER(Tabella2[[#This Row],[Area (mm^2)]])), Tabella2[[#This Row],[Mean AXIAL stress  (MPa)]]*Tabella2[[#This Row],[Area (mm^2)]], "Null")</f>
        <v>0</v>
      </c>
      <c r="AC14" s="8">
        <f>IF( AND(ISNUMBER(Tabella2[[#This Row],[Amplitute AXIAL stress  (MPa)]]), ISNUMBER(Tabella2[[#This Row],[Area (mm^2)]])), Tabella2[[#This Row],[Amplitute AXIAL stress  (MPa)]]*Tabella2[[#This Row],[Area (mm^2)]],"Null")</f>
        <v>4516.0394395353278</v>
      </c>
      <c r="AD14" s="8">
        <f>IF( AND(ISNUMBER(Tabella2[[#This Row],[Amplitude AXIAL force (N)]]), ISNUMBER(Tabella2[[#This Row],[Mean AXIAL force (N)]])), Tabella2[[#This Row],[Amplitude AXIAL force (N)]]+Tabella2[[#This Row],[Mean AXIAL force (N)]],"Null")</f>
        <v>4516.0394395353278</v>
      </c>
      <c r="AE1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230</v>
      </c>
      <c r="AI1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4" s="1"/>
    </row>
    <row r="15" spans="1:36" x14ac:dyDescent="0.25">
      <c r="A15" s="1" t="s">
        <v>52</v>
      </c>
      <c r="B15" s="1">
        <v>2025</v>
      </c>
      <c r="C15" s="1" t="s">
        <v>51</v>
      </c>
      <c r="D15" s="1" t="s">
        <v>71</v>
      </c>
      <c r="E15" s="1">
        <v>422385</v>
      </c>
      <c r="F15" s="1" t="s">
        <v>34</v>
      </c>
      <c r="G15" s="1" t="s">
        <v>43</v>
      </c>
      <c r="H15" s="1" t="e" vm="1">
        <v>#VALUE!</v>
      </c>
      <c r="I15" s="1" t="s">
        <v>45</v>
      </c>
      <c r="J15" s="1" t="s">
        <v>47</v>
      </c>
      <c r="K15" s="1">
        <v>5</v>
      </c>
      <c r="L15" s="8">
        <f>PI()*(Tabella2[[#This Row],[Diameter (mm)]]/2)^2</f>
        <v>19.634954084936208</v>
      </c>
      <c r="M15" s="8">
        <f>(PI()*Tabella2[[#This Row],[Diameter (mm)]]^4)/32</f>
        <v>61.359231515425648</v>
      </c>
      <c r="N15" s="1" t="s">
        <v>35</v>
      </c>
      <c r="O15" s="1" t="s">
        <v>35</v>
      </c>
      <c r="P15" s="1" t="s">
        <v>35</v>
      </c>
      <c r="Q15" s="1">
        <v>0.1</v>
      </c>
      <c r="R15" s="1" t="s">
        <v>35</v>
      </c>
      <c r="S1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" s="1" t="s">
        <v>35</v>
      </c>
      <c r="U15" s="1">
        <f>IF(ISNUMBER(Tabella2[[#This Row],[Amplitute AXIAL stress  (MPa)]]), (1+Tabella2[[#This Row],[Load ratio (AXIAL)]])*Tabella2[[#This Row],[Amplitute AXIAL stress  (MPa)]]/(1-Tabella2[[#This Row],[Load ratio (AXIAL)]]), "Null")</f>
        <v>146.66666666666666</v>
      </c>
      <c r="V15" s="1">
        <v>120</v>
      </c>
      <c r="W1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5" s="7" t="s">
        <v>35</v>
      </c>
      <c r="Y15" s="7" t="str">
        <f>Tabella2[[#This Row],[Mean RADIAL stress  (MPa)]]</f>
        <v>Null</v>
      </c>
      <c r="Z15" s="7" t="str">
        <f>Tabella2[[#This Row],[Amplitute RADIAL stress  (MPa)]]</f>
        <v>Null</v>
      </c>
      <c r="AA1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" s="8">
        <f>IF( AND(ISNUMBER(Tabella2[[#This Row],[Mean AXIAL stress  (MPa)]]), ISNUMBER(Tabella2[[#This Row],[Area (mm^2)]])), Tabella2[[#This Row],[Mean AXIAL stress  (MPa)]]*Tabella2[[#This Row],[Area (mm^2)]], "Null")</f>
        <v>2879.7932657906435</v>
      </c>
      <c r="AC15" s="8">
        <f>IF( AND(ISNUMBER(Tabella2[[#This Row],[Amplitute AXIAL stress  (MPa)]]), ISNUMBER(Tabella2[[#This Row],[Area (mm^2)]])), Tabella2[[#This Row],[Amplitute AXIAL stress  (MPa)]]*Tabella2[[#This Row],[Area (mm^2)]],"Null")</f>
        <v>2356.1944901923448</v>
      </c>
      <c r="AD15" s="8">
        <f>IF( AND(ISNUMBER(Tabella2[[#This Row],[Amplitude AXIAL force (N)]]), ISNUMBER(Tabella2[[#This Row],[Mean AXIAL force (N)]])), Tabella2[[#This Row],[Amplitude AXIAL force (N)]]+Tabella2[[#This Row],[Mean AXIAL force (N)]],"Null")</f>
        <v>5235.9877559829883</v>
      </c>
      <c r="AE1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1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5" s="1"/>
    </row>
    <row r="16" spans="1:36" x14ac:dyDescent="0.25">
      <c r="A16" s="1" t="s">
        <v>52</v>
      </c>
      <c r="B16" s="1">
        <v>2025</v>
      </c>
      <c r="C16" s="1" t="s">
        <v>51</v>
      </c>
      <c r="D16" s="1" t="s">
        <v>72</v>
      </c>
      <c r="E16" s="1">
        <v>672504</v>
      </c>
      <c r="F16" s="1" t="s">
        <v>34</v>
      </c>
      <c r="G16" s="1" t="s">
        <v>43</v>
      </c>
      <c r="H16" s="1" t="e" vm="1">
        <v>#VALUE!</v>
      </c>
      <c r="I16" s="1" t="s">
        <v>45</v>
      </c>
      <c r="J16" s="1" t="s">
        <v>47</v>
      </c>
      <c r="K16" s="1">
        <v>5</v>
      </c>
      <c r="L16" s="8">
        <f>PI()*(Tabella2[[#This Row],[Diameter (mm)]]/2)^2</f>
        <v>19.634954084936208</v>
      </c>
      <c r="M16" s="8">
        <f>(PI()*Tabella2[[#This Row],[Diameter (mm)]]^4)/32</f>
        <v>61.359231515425648</v>
      </c>
      <c r="N16" s="1" t="s">
        <v>35</v>
      </c>
      <c r="O16" s="1" t="s">
        <v>35</v>
      </c>
      <c r="P16" s="1" t="s">
        <v>35</v>
      </c>
      <c r="Q16" s="1">
        <v>0.1</v>
      </c>
      <c r="R16" s="1" t="s">
        <v>35</v>
      </c>
      <c r="S1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" s="1" t="s">
        <v>35</v>
      </c>
      <c r="U16" s="1">
        <f>IF(ISNUMBER(Tabella2[[#This Row],[Amplitute AXIAL stress  (MPa)]]), (1+Tabella2[[#This Row],[Load ratio (AXIAL)]])*Tabella2[[#This Row],[Amplitute AXIAL stress  (MPa)]]/(1-Tabella2[[#This Row],[Load ratio (AXIAL)]]), "Null")</f>
        <v>146.66666666666666</v>
      </c>
      <c r="V16" s="1">
        <v>120</v>
      </c>
      <c r="W1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6" s="7" t="s">
        <v>35</v>
      </c>
      <c r="Y16" s="7" t="str">
        <f>Tabella2[[#This Row],[Mean RADIAL stress  (MPa)]]</f>
        <v>Null</v>
      </c>
      <c r="Z16" s="7" t="str">
        <f>Tabella2[[#This Row],[Amplitute RADIAL stress  (MPa)]]</f>
        <v>Null</v>
      </c>
      <c r="AA1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" s="8">
        <f>IF( AND(ISNUMBER(Tabella2[[#This Row],[Mean AXIAL stress  (MPa)]]), ISNUMBER(Tabella2[[#This Row],[Area (mm^2)]])), Tabella2[[#This Row],[Mean AXIAL stress  (MPa)]]*Tabella2[[#This Row],[Area (mm^2)]], "Null")</f>
        <v>2879.7932657906435</v>
      </c>
      <c r="AC16" s="8">
        <f>IF( AND(ISNUMBER(Tabella2[[#This Row],[Amplitute AXIAL stress  (MPa)]]), ISNUMBER(Tabella2[[#This Row],[Area (mm^2)]])), Tabella2[[#This Row],[Amplitute AXIAL stress  (MPa)]]*Tabella2[[#This Row],[Area (mm^2)]],"Null")</f>
        <v>2356.1944901923448</v>
      </c>
      <c r="AD16" s="8">
        <f>IF( AND(ISNUMBER(Tabella2[[#This Row],[Amplitude AXIAL force (N)]]), ISNUMBER(Tabella2[[#This Row],[Mean AXIAL force (N)]])), Tabella2[[#This Row],[Amplitude AXIAL force (N)]]+Tabella2[[#This Row],[Mean AXIAL force (N)]],"Null")</f>
        <v>5235.9877559829883</v>
      </c>
      <c r="AE1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1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6" s="1"/>
    </row>
    <row r="17" spans="1:36" x14ac:dyDescent="0.25">
      <c r="A17" s="1" t="s">
        <v>52</v>
      </c>
      <c r="B17" s="1">
        <v>2025</v>
      </c>
      <c r="C17" s="1" t="s">
        <v>51</v>
      </c>
      <c r="D17" s="1" t="s">
        <v>73</v>
      </c>
      <c r="E17" s="1">
        <v>5000000</v>
      </c>
      <c r="F17" s="1" t="s">
        <v>70</v>
      </c>
      <c r="G17" s="1" t="s">
        <v>43</v>
      </c>
      <c r="H17" s="1" t="e" vm="1">
        <v>#VALUE!</v>
      </c>
      <c r="I17" s="1" t="s">
        <v>45</v>
      </c>
      <c r="J17" s="1" t="s">
        <v>47</v>
      </c>
      <c r="K17" s="1">
        <v>5</v>
      </c>
      <c r="L17" s="8">
        <f>PI()*(Tabella2[[#This Row],[Diameter (mm)]]/2)^2</f>
        <v>19.634954084936208</v>
      </c>
      <c r="M17" s="8">
        <f>(PI()*Tabella2[[#This Row],[Diameter (mm)]]^4)/32</f>
        <v>61.359231515425648</v>
      </c>
      <c r="N17" s="1" t="s">
        <v>35</v>
      </c>
      <c r="O17" s="1" t="s">
        <v>35</v>
      </c>
      <c r="P17" s="1" t="s">
        <v>35</v>
      </c>
      <c r="Q17" s="1">
        <v>0.1</v>
      </c>
      <c r="R17" s="1" t="s">
        <v>35</v>
      </c>
      <c r="S1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" s="1" t="s">
        <v>35</v>
      </c>
      <c r="U17" s="1">
        <f>IF(ISNUMBER(Tabella2[[#This Row],[Amplitute AXIAL stress  (MPa)]]), (1+Tabella2[[#This Row],[Load ratio (AXIAL)]])*Tabella2[[#This Row],[Amplitute AXIAL stress  (MPa)]]/(1-Tabella2[[#This Row],[Load ratio (AXIAL)]]), "Null")</f>
        <v>122.22222222222223</v>
      </c>
      <c r="V17" s="1">
        <v>100</v>
      </c>
      <c r="W1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7" s="7" t="s">
        <v>35</v>
      </c>
      <c r="Y17" s="7" t="str">
        <f>Tabella2[[#This Row],[Mean RADIAL stress  (MPa)]]</f>
        <v>Null</v>
      </c>
      <c r="Z17" s="7" t="str">
        <f>Tabella2[[#This Row],[Amplitute RADIAL stress  (MPa)]]</f>
        <v>Null</v>
      </c>
      <c r="AA1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" s="8">
        <f>IF( AND(ISNUMBER(Tabella2[[#This Row],[Mean AXIAL stress  (MPa)]]), ISNUMBER(Tabella2[[#This Row],[Area (mm^2)]])), Tabella2[[#This Row],[Mean AXIAL stress  (MPa)]]*Tabella2[[#This Row],[Area (mm^2)]], "Null")</f>
        <v>2399.8277214922032</v>
      </c>
      <c r="AC17" s="8">
        <f>IF( AND(ISNUMBER(Tabella2[[#This Row],[Amplitute AXIAL stress  (MPa)]]), ISNUMBER(Tabella2[[#This Row],[Area (mm^2)]])), Tabella2[[#This Row],[Amplitute AXIAL stress  (MPa)]]*Tabella2[[#This Row],[Area (mm^2)]],"Null")</f>
        <v>1963.4954084936207</v>
      </c>
      <c r="AD17" s="8">
        <f>IF( AND(ISNUMBER(Tabella2[[#This Row],[Amplitude AXIAL force (N)]]), ISNUMBER(Tabella2[[#This Row],[Mean AXIAL force (N)]])), Tabella2[[#This Row],[Amplitude AXIAL force (N)]]+Tabella2[[#This Row],[Mean AXIAL force (N)]],"Null")</f>
        <v>4363.3231299858235</v>
      </c>
      <c r="AE1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1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7" s="1"/>
    </row>
    <row r="18" spans="1:36" x14ac:dyDescent="0.25">
      <c r="A18" s="1" t="s">
        <v>52</v>
      </c>
      <c r="B18" s="1">
        <v>2025</v>
      </c>
      <c r="C18" s="1" t="s">
        <v>51</v>
      </c>
      <c r="D18" s="1" t="s">
        <v>74</v>
      </c>
      <c r="E18" s="1">
        <v>117457</v>
      </c>
      <c r="F18" s="1" t="s">
        <v>34</v>
      </c>
      <c r="G18" s="1" t="s">
        <v>43</v>
      </c>
      <c r="H18" s="1" t="e" vm="1">
        <v>#VALUE!</v>
      </c>
      <c r="I18" s="1" t="s">
        <v>45</v>
      </c>
      <c r="J18" s="1" t="s">
        <v>47</v>
      </c>
      <c r="K18" s="1">
        <v>5</v>
      </c>
      <c r="L18" s="8">
        <f>PI()*(Tabella2[[#This Row],[Diameter (mm)]]/2)^2</f>
        <v>19.634954084936208</v>
      </c>
      <c r="M18" s="8">
        <f>(PI()*Tabella2[[#This Row],[Diameter (mm)]]^4)/32</f>
        <v>61.359231515425648</v>
      </c>
      <c r="N18" s="1" t="s">
        <v>35</v>
      </c>
      <c r="O18" s="1" t="s">
        <v>35</v>
      </c>
      <c r="P18" s="1" t="s">
        <v>35</v>
      </c>
      <c r="Q18" s="1">
        <v>0.1</v>
      </c>
      <c r="R18" s="1" t="s">
        <v>35</v>
      </c>
      <c r="S1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" s="1" t="s">
        <v>35</v>
      </c>
      <c r="U18" s="1">
        <f>IF(ISNUMBER(Tabella2[[#This Row],[Amplitute AXIAL stress  (MPa)]]), (1+Tabella2[[#This Row],[Load ratio (AXIAL)]])*Tabella2[[#This Row],[Amplitute AXIAL stress  (MPa)]]/(1-Tabella2[[#This Row],[Load ratio (AXIAL)]]), "Null")</f>
        <v>171.11111111111111</v>
      </c>
      <c r="V18" s="1">
        <v>140</v>
      </c>
      <c r="W1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8" s="7" t="s">
        <v>35</v>
      </c>
      <c r="Y18" s="7" t="str">
        <f>Tabella2[[#This Row],[Mean RADIAL stress  (MPa)]]</f>
        <v>Null</v>
      </c>
      <c r="Z18" s="7" t="str">
        <f>Tabella2[[#This Row],[Amplitute RADIAL stress  (MPa)]]</f>
        <v>Null</v>
      </c>
      <c r="AA1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" s="8">
        <f>IF( AND(ISNUMBER(Tabella2[[#This Row],[Mean AXIAL stress  (MPa)]]), ISNUMBER(Tabella2[[#This Row],[Area (mm^2)]])), Tabella2[[#This Row],[Mean AXIAL stress  (MPa)]]*Tabella2[[#This Row],[Area (mm^2)]], "Null")</f>
        <v>3359.7588100890844</v>
      </c>
      <c r="AC18" s="8">
        <f>IF( AND(ISNUMBER(Tabella2[[#This Row],[Amplitute AXIAL stress  (MPa)]]), ISNUMBER(Tabella2[[#This Row],[Area (mm^2)]])), Tabella2[[#This Row],[Amplitute AXIAL stress  (MPa)]]*Tabella2[[#This Row],[Area (mm^2)]],"Null")</f>
        <v>2748.8935718910693</v>
      </c>
      <c r="AD18" s="8">
        <f>IF( AND(ISNUMBER(Tabella2[[#This Row],[Amplitude AXIAL force (N)]]), ISNUMBER(Tabella2[[#This Row],[Mean AXIAL force (N)]])), Tabella2[[#This Row],[Amplitude AXIAL force (N)]]+Tabella2[[#This Row],[Mean AXIAL force (N)]],"Null")</f>
        <v>6108.6523819801532</v>
      </c>
      <c r="AE1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9" spans="1:36" x14ac:dyDescent="0.25">
      <c r="A19" s="1" t="s">
        <v>52</v>
      </c>
      <c r="B19" s="1">
        <v>2025</v>
      </c>
      <c r="C19" s="1" t="s">
        <v>51</v>
      </c>
      <c r="D19" s="1" t="s">
        <v>75</v>
      </c>
      <c r="E19" s="1">
        <v>73000</v>
      </c>
      <c r="F19" s="1" t="s">
        <v>34</v>
      </c>
      <c r="G19" s="1" t="s">
        <v>43</v>
      </c>
      <c r="H19" s="1" t="e" vm="1">
        <v>#VALUE!</v>
      </c>
      <c r="I19" s="1" t="s">
        <v>45</v>
      </c>
      <c r="J19" s="1" t="s">
        <v>47</v>
      </c>
      <c r="K19" s="1">
        <v>5</v>
      </c>
      <c r="L19" s="8">
        <f>PI()*(Tabella2[[#This Row],[Diameter (mm)]]/2)^2</f>
        <v>19.634954084936208</v>
      </c>
      <c r="M19" s="8">
        <f>(PI()*Tabella2[[#This Row],[Diameter (mm)]]^4)/32</f>
        <v>61.359231515425648</v>
      </c>
      <c r="N19" s="1" t="s">
        <v>35</v>
      </c>
      <c r="O19" s="1" t="s">
        <v>35</v>
      </c>
      <c r="P19" s="1" t="s">
        <v>35</v>
      </c>
      <c r="Q19" s="1">
        <v>0.1</v>
      </c>
      <c r="R19" s="1" t="s">
        <v>35</v>
      </c>
      <c r="S1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9" s="1" t="s">
        <v>35</v>
      </c>
      <c r="U19" s="1">
        <f>IF(ISNUMBER(Tabella2[[#This Row],[Amplitute AXIAL stress  (MPa)]]), (1+Tabella2[[#This Row],[Load ratio (AXIAL)]])*Tabella2[[#This Row],[Amplitute AXIAL stress  (MPa)]]/(1-Tabella2[[#This Row],[Load ratio (AXIAL)]]), "Null")</f>
        <v>171.11111111111111</v>
      </c>
      <c r="V19" s="1">
        <v>140</v>
      </c>
      <c r="W1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9" s="7" t="s">
        <v>35</v>
      </c>
      <c r="Y19" s="7" t="str">
        <f>Tabella2[[#This Row],[Mean RADIAL stress  (MPa)]]</f>
        <v>Null</v>
      </c>
      <c r="Z19" s="7" t="str">
        <f>Tabella2[[#This Row],[Amplitute RADIAL stress  (MPa)]]</f>
        <v>Null</v>
      </c>
      <c r="AA1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9" s="8">
        <f>IF( AND(ISNUMBER(Tabella2[[#This Row],[Mean AXIAL stress  (MPa)]]), ISNUMBER(Tabella2[[#This Row],[Area (mm^2)]])), Tabella2[[#This Row],[Mean AXIAL stress  (MPa)]]*Tabella2[[#This Row],[Area (mm^2)]], "Null")</f>
        <v>3359.7588100890844</v>
      </c>
      <c r="AC19" s="8">
        <f>IF( AND(ISNUMBER(Tabella2[[#This Row],[Amplitute AXIAL stress  (MPa)]]), ISNUMBER(Tabella2[[#This Row],[Area (mm^2)]])), Tabella2[[#This Row],[Amplitute AXIAL stress  (MPa)]]*Tabella2[[#This Row],[Area (mm^2)]],"Null")</f>
        <v>2748.8935718910693</v>
      </c>
      <c r="AD19" s="8">
        <f>IF( AND(ISNUMBER(Tabella2[[#This Row],[Amplitude AXIAL force (N)]]), ISNUMBER(Tabella2[[#This Row],[Mean AXIAL force (N)]])), Tabella2[[#This Row],[Amplitude AXIAL force (N)]]+Tabella2[[#This Row],[Mean AXIAL force (N)]],"Null")</f>
        <v>6108.6523819801532</v>
      </c>
      <c r="AE1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0" spans="1:36" x14ac:dyDescent="0.25">
      <c r="A20" s="1" t="s">
        <v>52</v>
      </c>
      <c r="B20" s="1">
        <v>2025</v>
      </c>
      <c r="C20" s="1" t="s">
        <v>51</v>
      </c>
      <c r="D20" s="1" t="s">
        <v>76</v>
      </c>
      <c r="E20" s="1">
        <v>372589</v>
      </c>
      <c r="F20" s="1" t="s">
        <v>34</v>
      </c>
      <c r="G20" s="1" t="s">
        <v>43</v>
      </c>
      <c r="H20" s="1" t="e" vm="1">
        <v>#VALUE!</v>
      </c>
      <c r="I20" s="1" t="s">
        <v>45</v>
      </c>
      <c r="J20" s="1" t="s">
        <v>47</v>
      </c>
      <c r="K20" s="1">
        <v>5</v>
      </c>
      <c r="L20" s="8">
        <f>PI()*(Tabella2[[#This Row],[Diameter (mm)]]/2)^2</f>
        <v>19.634954084936208</v>
      </c>
      <c r="M20" s="8">
        <f>(PI()*Tabella2[[#This Row],[Diameter (mm)]]^4)/32</f>
        <v>61.359231515425648</v>
      </c>
      <c r="N20" s="1" t="s">
        <v>35</v>
      </c>
      <c r="O20" s="1" t="s">
        <v>35</v>
      </c>
      <c r="P20" s="1" t="s">
        <v>35</v>
      </c>
      <c r="Q20" s="1">
        <v>0.1</v>
      </c>
      <c r="R20" s="1" t="s">
        <v>35</v>
      </c>
      <c r="S2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0" s="1" t="s">
        <v>35</v>
      </c>
      <c r="U20" s="1">
        <f>IF(ISNUMBER(Tabella2[[#This Row],[Amplitute AXIAL stress  (MPa)]]), (1+Tabella2[[#This Row],[Load ratio (AXIAL)]])*Tabella2[[#This Row],[Amplitute AXIAL stress  (MPa)]]/(1-Tabella2[[#This Row],[Load ratio (AXIAL)]]), "Null")</f>
        <v>134.44444444444446</v>
      </c>
      <c r="V20" s="1">
        <v>110</v>
      </c>
      <c r="W2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0" s="7" t="s">
        <v>35</v>
      </c>
      <c r="Y20" s="7" t="str">
        <f>Tabella2[[#This Row],[Mean RADIAL stress  (MPa)]]</f>
        <v>Null</v>
      </c>
      <c r="Z20" s="7" t="str">
        <f>Tabella2[[#This Row],[Amplitute RADIAL stress  (MPa)]]</f>
        <v>Null</v>
      </c>
      <c r="AA2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0" s="8">
        <f>IF( AND(ISNUMBER(Tabella2[[#This Row],[Mean AXIAL stress  (MPa)]]), ISNUMBER(Tabella2[[#This Row],[Area (mm^2)]])), Tabella2[[#This Row],[Mean AXIAL stress  (MPa)]]*Tabella2[[#This Row],[Area (mm^2)]], "Null")</f>
        <v>2639.8104936414238</v>
      </c>
      <c r="AC20" s="8">
        <f>IF( AND(ISNUMBER(Tabella2[[#This Row],[Amplitute AXIAL stress  (MPa)]]), ISNUMBER(Tabella2[[#This Row],[Area (mm^2)]])), Tabella2[[#This Row],[Amplitute AXIAL stress  (MPa)]]*Tabella2[[#This Row],[Area (mm^2)]],"Null")</f>
        <v>2159.844949342983</v>
      </c>
      <c r="AD20" s="8">
        <f>IF( AND(ISNUMBER(Tabella2[[#This Row],[Amplitude AXIAL force (N)]]), ISNUMBER(Tabella2[[#This Row],[Mean AXIAL force (N)]])), Tabella2[[#This Row],[Amplitude AXIAL force (N)]]+Tabella2[[#This Row],[Mean AXIAL force (N)]],"Null")</f>
        <v>4799.6554429844073</v>
      </c>
      <c r="AE2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110</v>
      </c>
      <c r="AI2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1" spans="1:36" x14ac:dyDescent="0.25">
      <c r="A21" s="1" t="s">
        <v>52</v>
      </c>
      <c r="B21" s="1">
        <v>2025</v>
      </c>
      <c r="C21" s="1" t="s">
        <v>51</v>
      </c>
      <c r="D21" s="1" t="s">
        <v>77</v>
      </c>
      <c r="E21" s="1">
        <v>5000000</v>
      </c>
      <c r="F21" s="1" t="s">
        <v>70</v>
      </c>
      <c r="G21" s="1" t="s">
        <v>43</v>
      </c>
      <c r="H21" s="1" t="e" vm="1">
        <v>#VALUE!</v>
      </c>
      <c r="I21" s="1" t="s">
        <v>45</v>
      </c>
      <c r="J21" s="1" t="s">
        <v>47</v>
      </c>
      <c r="K21" s="1">
        <v>5</v>
      </c>
      <c r="L21" s="8">
        <f>PI()*(Tabella2[[#This Row],[Diameter (mm)]]/2)^2</f>
        <v>19.634954084936208</v>
      </c>
      <c r="M21" s="8">
        <f>(PI()*Tabella2[[#This Row],[Diameter (mm)]]^4)/32</f>
        <v>61.359231515425648</v>
      </c>
      <c r="N21" s="1" t="s">
        <v>35</v>
      </c>
      <c r="O21" s="1" t="s">
        <v>35</v>
      </c>
      <c r="P21" s="1" t="s">
        <v>35</v>
      </c>
      <c r="Q21" s="1">
        <v>0.1</v>
      </c>
      <c r="R21" s="1" t="s">
        <v>35</v>
      </c>
      <c r="S2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1" s="1" t="s">
        <v>35</v>
      </c>
      <c r="U21" s="1">
        <f>IF(ISNUMBER(Tabella2[[#This Row],[Amplitute AXIAL stress  (MPa)]]), (1+Tabella2[[#This Row],[Load ratio (AXIAL)]])*Tabella2[[#This Row],[Amplitute AXIAL stress  (MPa)]]/(1-Tabella2[[#This Row],[Load ratio (AXIAL)]]), "Null")</f>
        <v>122.22222222222223</v>
      </c>
      <c r="V21" s="1">
        <v>100</v>
      </c>
      <c r="W2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1" s="7" t="s">
        <v>35</v>
      </c>
      <c r="Y21" s="7" t="str">
        <f>Tabella2[[#This Row],[Mean RADIAL stress  (MPa)]]</f>
        <v>Null</v>
      </c>
      <c r="Z21" s="7" t="str">
        <f>Tabella2[[#This Row],[Amplitute RADIAL stress  (MPa)]]</f>
        <v>Null</v>
      </c>
      <c r="AA2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1" s="8">
        <f>IF( AND(ISNUMBER(Tabella2[[#This Row],[Mean AXIAL stress  (MPa)]]), ISNUMBER(Tabella2[[#This Row],[Area (mm^2)]])), Tabella2[[#This Row],[Mean AXIAL stress  (MPa)]]*Tabella2[[#This Row],[Area (mm^2)]], "Null")</f>
        <v>2399.8277214922032</v>
      </c>
      <c r="AC21" s="8">
        <f>IF( AND(ISNUMBER(Tabella2[[#This Row],[Amplitute AXIAL stress  (MPa)]]), ISNUMBER(Tabella2[[#This Row],[Area (mm^2)]])), Tabella2[[#This Row],[Amplitute AXIAL stress  (MPa)]]*Tabella2[[#This Row],[Area (mm^2)]],"Null")</f>
        <v>1963.4954084936207</v>
      </c>
      <c r="AD21" s="8">
        <f>IF( AND(ISNUMBER(Tabella2[[#This Row],[Amplitude AXIAL force (N)]]), ISNUMBER(Tabella2[[#This Row],[Mean AXIAL force (N)]])), Tabella2[[#This Row],[Amplitude AXIAL force (N)]]+Tabella2[[#This Row],[Mean AXIAL force (N)]],"Null")</f>
        <v>4363.3231299858235</v>
      </c>
      <c r="AE2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2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2" spans="1:36" x14ac:dyDescent="0.25">
      <c r="A22" s="1" t="s">
        <v>52</v>
      </c>
      <c r="B22" s="1">
        <v>2025</v>
      </c>
      <c r="C22" s="1" t="s">
        <v>51</v>
      </c>
      <c r="D22" s="1" t="s">
        <v>78</v>
      </c>
      <c r="E22" s="1">
        <v>64383</v>
      </c>
      <c r="F22" s="1" t="s">
        <v>34</v>
      </c>
      <c r="G22" s="1" t="s">
        <v>43</v>
      </c>
      <c r="H22" s="1" t="e" vm="1">
        <v>#VALUE!</v>
      </c>
      <c r="I22" s="1" t="s">
        <v>45</v>
      </c>
      <c r="J22" s="1" t="s">
        <v>47</v>
      </c>
      <c r="K22" s="1">
        <v>5</v>
      </c>
      <c r="L22" s="8">
        <f>PI()*(Tabella2[[#This Row],[Diameter (mm)]]/2)^2</f>
        <v>19.634954084936208</v>
      </c>
      <c r="M22" s="8">
        <f>(PI()*Tabella2[[#This Row],[Diameter (mm)]]^4)/32</f>
        <v>61.359231515425648</v>
      </c>
      <c r="N22" s="1" t="s">
        <v>35</v>
      </c>
      <c r="O22" s="1" t="s">
        <v>35</v>
      </c>
      <c r="P22" s="1" t="s">
        <v>35</v>
      </c>
      <c r="Q22" s="1">
        <v>0.1</v>
      </c>
      <c r="R22" s="1" t="s">
        <v>35</v>
      </c>
      <c r="S2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2" s="1" t="s">
        <v>35</v>
      </c>
      <c r="U22" s="1">
        <f>IF(ISNUMBER(Tabella2[[#This Row],[Amplitute AXIAL stress  (MPa)]]), (1+Tabella2[[#This Row],[Load ratio (AXIAL)]])*Tabella2[[#This Row],[Amplitute AXIAL stress  (MPa)]]/(1-Tabella2[[#This Row],[Load ratio (AXIAL)]]), "Null")</f>
        <v>171.11111111111111</v>
      </c>
      <c r="V22" s="1">
        <v>140</v>
      </c>
      <c r="W2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2" s="7" t="s">
        <v>35</v>
      </c>
      <c r="Y22" s="7" t="str">
        <f>Tabella2[[#This Row],[Mean RADIAL stress  (MPa)]]</f>
        <v>Null</v>
      </c>
      <c r="Z22" s="7" t="str">
        <f>Tabella2[[#This Row],[Amplitute RADIAL stress  (MPa)]]</f>
        <v>Null</v>
      </c>
      <c r="AA2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2" s="8">
        <f>IF( AND(ISNUMBER(Tabella2[[#This Row],[Mean AXIAL stress  (MPa)]]), ISNUMBER(Tabella2[[#This Row],[Area (mm^2)]])), Tabella2[[#This Row],[Mean AXIAL stress  (MPa)]]*Tabella2[[#This Row],[Area (mm^2)]], "Null")</f>
        <v>3359.7588100890844</v>
      </c>
      <c r="AC22" s="8">
        <f>IF( AND(ISNUMBER(Tabella2[[#This Row],[Amplitute AXIAL stress  (MPa)]]), ISNUMBER(Tabella2[[#This Row],[Area (mm^2)]])), Tabella2[[#This Row],[Amplitute AXIAL stress  (MPa)]]*Tabella2[[#This Row],[Area (mm^2)]],"Null")</f>
        <v>2748.8935718910693</v>
      </c>
      <c r="AD22" s="8">
        <f>IF( AND(ISNUMBER(Tabella2[[#This Row],[Amplitude AXIAL force (N)]]), ISNUMBER(Tabella2[[#This Row],[Mean AXIAL force (N)]])), Tabella2[[#This Row],[Amplitude AXIAL force (N)]]+Tabella2[[#This Row],[Mean AXIAL force (N)]],"Null")</f>
        <v>6108.6523819801532</v>
      </c>
      <c r="AE2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2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3" spans="1:36" x14ac:dyDescent="0.25">
      <c r="A23" s="1" t="s">
        <v>52</v>
      </c>
      <c r="B23" s="1">
        <v>2025</v>
      </c>
      <c r="C23" s="1" t="s">
        <v>51</v>
      </c>
      <c r="D23" s="1" t="s">
        <v>79</v>
      </c>
      <c r="E23" s="1">
        <v>5000000</v>
      </c>
      <c r="F23" s="1" t="s">
        <v>70</v>
      </c>
      <c r="G23" s="1" t="s">
        <v>43</v>
      </c>
      <c r="H23" s="1" t="e" vm="1">
        <v>#VALUE!</v>
      </c>
      <c r="I23" s="1" t="s">
        <v>45</v>
      </c>
      <c r="J23" s="1" t="s">
        <v>47</v>
      </c>
      <c r="K23" s="1">
        <v>5</v>
      </c>
      <c r="L23" s="8">
        <f>PI()*(Tabella2[[#This Row],[Diameter (mm)]]/2)^2</f>
        <v>19.634954084936208</v>
      </c>
      <c r="M23" s="8">
        <f>(PI()*Tabella2[[#This Row],[Diameter (mm)]]^4)/32</f>
        <v>61.359231515425648</v>
      </c>
      <c r="N23" s="1" t="s">
        <v>35</v>
      </c>
      <c r="O23" s="1" t="s">
        <v>35</v>
      </c>
      <c r="P23" s="1" t="s">
        <v>35</v>
      </c>
      <c r="Q23" s="1">
        <v>0.1</v>
      </c>
      <c r="R23" s="1" t="s">
        <v>35</v>
      </c>
      <c r="S2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3" s="1" t="s">
        <v>35</v>
      </c>
      <c r="U23" s="1">
        <f>IF(ISNUMBER(Tabella2[[#This Row],[Amplitute AXIAL stress  (MPa)]]), (1+Tabella2[[#This Row],[Load ratio (AXIAL)]])*Tabella2[[#This Row],[Amplitute AXIAL stress  (MPa)]]/(1-Tabella2[[#This Row],[Load ratio (AXIAL)]]), "Null")</f>
        <v>122.22222222222223</v>
      </c>
      <c r="V23" s="1">
        <v>100</v>
      </c>
      <c r="W2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3" s="7" t="s">
        <v>35</v>
      </c>
      <c r="Y23" s="7" t="str">
        <f>Tabella2[[#This Row],[Mean RADIAL stress  (MPa)]]</f>
        <v>Null</v>
      </c>
      <c r="Z23" s="7" t="str">
        <f>Tabella2[[#This Row],[Amplitute RADIAL stress  (MPa)]]</f>
        <v>Null</v>
      </c>
      <c r="AA2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3" s="8">
        <f>IF( AND(ISNUMBER(Tabella2[[#This Row],[Mean AXIAL stress  (MPa)]]), ISNUMBER(Tabella2[[#This Row],[Area (mm^2)]])), Tabella2[[#This Row],[Mean AXIAL stress  (MPa)]]*Tabella2[[#This Row],[Area (mm^2)]], "Null")</f>
        <v>2399.8277214922032</v>
      </c>
      <c r="AC23" s="8">
        <f>IF( AND(ISNUMBER(Tabella2[[#This Row],[Amplitute AXIAL stress  (MPa)]]), ISNUMBER(Tabella2[[#This Row],[Area (mm^2)]])), Tabella2[[#This Row],[Amplitute AXIAL stress  (MPa)]]*Tabella2[[#This Row],[Area (mm^2)]],"Null")</f>
        <v>1963.4954084936207</v>
      </c>
      <c r="AD23" s="8">
        <f>IF( AND(ISNUMBER(Tabella2[[#This Row],[Amplitude AXIAL force (N)]]), ISNUMBER(Tabella2[[#This Row],[Mean AXIAL force (N)]])), Tabella2[[#This Row],[Amplitude AXIAL force (N)]]+Tabella2[[#This Row],[Mean AXIAL force (N)]],"Null")</f>
        <v>4363.3231299858235</v>
      </c>
      <c r="AE2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2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4" spans="1:36" x14ac:dyDescent="0.25">
      <c r="A24" s="1" t="s">
        <v>52</v>
      </c>
      <c r="B24" s="1">
        <v>2025</v>
      </c>
      <c r="C24" s="1" t="s">
        <v>51</v>
      </c>
      <c r="D24" s="1" t="s">
        <v>80</v>
      </c>
      <c r="E24" s="1">
        <v>36000</v>
      </c>
      <c r="F24" s="1" t="s">
        <v>34</v>
      </c>
      <c r="G24" s="1" t="s">
        <v>43</v>
      </c>
      <c r="H24" s="1" t="e" vm="1">
        <v>#VALUE!</v>
      </c>
      <c r="I24" s="1" t="s">
        <v>45</v>
      </c>
      <c r="J24" s="1" t="s">
        <v>47</v>
      </c>
      <c r="K24" s="1">
        <v>5</v>
      </c>
      <c r="L24" s="8">
        <f>PI()*(Tabella2[[#This Row],[Diameter (mm)]]/2)^2</f>
        <v>19.634954084936208</v>
      </c>
      <c r="M24" s="8">
        <f>(PI()*Tabella2[[#This Row],[Diameter (mm)]]^4)/32</f>
        <v>61.359231515425648</v>
      </c>
      <c r="N24" s="1" t="s">
        <v>35</v>
      </c>
      <c r="O24" s="1" t="s">
        <v>35</v>
      </c>
      <c r="P24" s="1" t="s">
        <v>35</v>
      </c>
      <c r="Q24" s="1">
        <v>0.1</v>
      </c>
      <c r="R24" s="1" t="s">
        <v>35</v>
      </c>
      <c r="S2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4" s="1" t="s">
        <v>35</v>
      </c>
      <c r="U24" s="1">
        <f>IF(ISNUMBER(Tabella2[[#This Row],[Amplitute AXIAL stress  (MPa)]]), (1+Tabella2[[#This Row],[Load ratio (AXIAL)]])*Tabella2[[#This Row],[Amplitute AXIAL stress  (MPa)]]/(1-Tabella2[[#This Row],[Load ratio (AXIAL)]]), "Null")</f>
        <v>195.55555555555554</v>
      </c>
      <c r="V24" s="1">
        <v>160</v>
      </c>
      <c r="W2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4" s="7" t="s">
        <v>35</v>
      </c>
      <c r="Y24" s="7" t="str">
        <f>Tabella2[[#This Row],[Mean RADIAL stress  (MPa)]]</f>
        <v>Null</v>
      </c>
      <c r="Z24" s="7" t="str">
        <f>Tabella2[[#This Row],[Amplitute RADIAL stress  (MPa)]]</f>
        <v>Null</v>
      </c>
      <c r="AA2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4" s="8">
        <f>IF( AND(ISNUMBER(Tabella2[[#This Row],[Mean AXIAL stress  (MPa)]]), ISNUMBER(Tabella2[[#This Row],[Area (mm^2)]])), Tabella2[[#This Row],[Mean AXIAL stress  (MPa)]]*Tabella2[[#This Row],[Area (mm^2)]], "Null")</f>
        <v>3839.7243543875247</v>
      </c>
      <c r="AC24" s="8">
        <f>IF( AND(ISNUMBER(Tabella2[[#This Row],[Amplitute AXIAL stress  (MPa)]]), ISNUMBER(Tabella2[[#This Row],[Area (mm^2)]])), Tabella2[[#This Row],[Amplitute AXIAL stress  (MPa)]]*Tabella2[[#This Row],[Area (mm^2)]],"Null")</f>
        <v>3141.5926535897934</v>
      </c>
      <c r="AD24" s="8">
        <f>IF( AND(ISNUMBER(Tabella2[[#This Row],[Amplitude AXIAL force (N)]]), ISNUMBER(Tabella2[[#This Row],[Mean AXIAL force (N)]])), Tabella2[[#This Row],[Amplitude AXIAL force (N)]]+Tabella2[[#This Row],[Mean AXIAL force (N)]],"Null")</f>
        <v>6981.3170079773181</v>
      </c>
      <c r="AE2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  <c r="AI2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5" spans="1:36" x14ac:dyDescent="0.25">
      <c r="A25" s="1" t="s">
        <v>52</v>
      </c>
      <c r="B25" s="1">
        <v>2025</v>
      </c>
      <c r="C25" s="1" t="s">
        <v>51</v>
      </c>
      <c r="D25" s="1" t="s">
        <v>81</v>
      </c>
      <c r="E25" s="1">
        <v>913000</v>
      </c>
      <c r="F25" s="1" t="s">
        <v>34</v>
      </c>
      <c r="G25" s="1" t="s">
        <v>43</v>
      </c>
      <c r="H25" s="1" t="e" vm="1">
        <v>#VALUE!</v>
      </c>
      <c r="I25" s="1" t="s">
        <v>45</v>
      </c>
      <c r="J25" s="1" t="s">
        <v>47</v>
      </c>
      <c r="K25" s="1">
        <v>5</v>
      </c>
      <c r="L25" s="8">
        <f>PI()*(Tabella2[[#This Row],[Diameter (mm)]]/2)^2</f>
        <v>19.634954084936208</v>
      </c>
      <c r="M25" s="8">
        <f>(PI()*Tabella2[[#This Row],[Diameter (mm)]]^4)/32</f>
        <v>61.359231515425648</v>
      </c>
      <c r="N25" s="1" t="s">
        <v>35</v>
      </c>
      <c r="O25" s="1" t="s">
        <v>35</v>
      </c>
      <c r="P25" s="1" t="s">
        <v>35</v>
      </c>
      <c r="Q25" s="1">
        <v>0.1</v>
      </c>
      <c r="R25" s="1" t="s">
        <v>35</v>
      </c>
      <c r="S2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5" s="1" t="s">
        <v>35</v>
      </c>
      <c r="U25" s="1">
        <f>IF(ISNUMBER(Tabella2[[#This Row],[Amplitute AXIAL stress  (MPa)]]), (1+Tabella2[[#This Row],[Load ratio (AXIAL)]])*Tabella2[[#This Row],[Amplitute AXIAL stress  (MPa)]]/(1-Tabella2[[#This Row],[Load ratio (AXIAL)]]), "Null")</f>
        <v>146.66666666666666</v>
      </c>
      <c r="V25" s="1">
        <v>120</v>
      </c>
      <c r="W2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5" s="7" t="s">
        <v>35</v>
      </c>
      <c r="Y25" s="7" t="str">
        <f>Tabella2[[#This Row],[Mean RADIAL stress  (MPa)]]</f>
        <v>Null</v>
      </c>
      <c r="Z25" s="7" t="str">
        <f>Tabella2[[#This Row],[Amplitute RADIAL stress  (MPa)]]</f>
        <v>Null</v>
      </c>
      <c r="AA2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5" s="8">
        <f>IF( AND(ISNUMBER(Tabella2[[#This Row],[Mean AXIAL stress  (MPa)]]), ISNUMBER(Tabella2[[#This Row],[Area (mm^2)]])), Tabella2[[#This Row],[Mean AXIAL stress  (MPa)]]*Tabella2[[#This Row],[Area (mm^2)]], "Null")</f>
        <v>2879.7932657906435</v>
      </c>
      <c r="AC25" s="8">
        <f>IF( AND(ISNUMBER(Tabella2[[#This Row],[Amplitute AXIAL stress  (MPa)]]), ISNUMBER(Tabella2[[#This Row],[Area (mm^2)]])), Tabella2[[#This Row],[Amplitute AXIAL stress  (MPa)]]*Tabella2[[#This Row],[Area (mm^2)]],"Null")</f>
        <v>2356.1944901923448</v>
      </c>
      <c r="AD25" s="8">
        <f>IF( AND(ISNUMBER(Tabella2[[#This Row],[Amplitude AXIAL force (N)]]), ISNUMBER(Tabella2[[#This Row],[Mean AXIAL force (N)]])), Tabella2[[#This Row],[Amplitude AXIAL force (N)]]+Tabella2[[#This Row],[Mean AXIAL force (N)]],"Null")</f>
        <v>5235.9877559829883</v>
      </c>
      <c r="AE2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2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6" spans="1:36" x14ac:dyDescent="0.25">
      <c r="A26" s="1" t="s">
        <v>52</v>
      </c>
      <c r="B26" s="1">
        <v>2025</v>
      </c>
      <c r="C26" s="1" t="s">
        <v>51</v>
      </c>
      <c r="D26" s="1" t="s">
        <v>82</v>
      </c>
      <c r="E26" s="1">
        <v>5000000</v>
      </c>
      <c r="F26" s="1" t="s">
        <v>70</v>
      </c>
      <c r="G26" s="1" t="s">
        <v>43</v>
      </c>
      <c r="H26" s="1" t="e" vm="1">
        <v>#VALUE!</v>
      </c>
      <c r="I26" s="1" t="s">
        <v>45</v>
      </c>
      <c r="J26" s="1" t="s">
        <v>47</v>
      </c>
      <c r="K26" s="1">
        <v>5</v>
      </c>
      <c r="L26" s="8">
        <f>PI()*(Tabella2[[#This Row],[Diameter (mm)]]/2)^2</f>
        <v>19.634954084936208</v>
      </c>
      <c r="M26" s="8">
        <f>(PI()*Tabella2[[#This Row],[Diameter (mm)]]^4)/32</f>
        <v>61.359231515425648</v>
      </c>
      <c r="N26" s="1" t="s">
        <v>35</v>
      </c>
      <c r="O26" s="1" t="s">
        <v>35</v>
      </c>
      <c r="P26" s="1" t="s">
        <v>35</v>
      </c>
      <c r="Q26" s="1">
        <v>0.1</v>
      </c>
      <c r="R26" s="1" t="s">
        <v>35</v>
      </c>
      <c r="S2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6" s="1" t="s">
        <v>35</v>
      </c>
      <c r="U26" s="1">
        <f>IF(ISNUMBER(Tabella2[[#This Row],[Amplitute AXIAL stress  (MPa)]]), (1+Tabella2[[#This Row],[Load ratio (AXIAL)]])*Tabella2[[#This Row],[Amplitute AXIAL stress  (MPa)]]/(1-Tabella2[[#This Row],[Load ratio (AXIAL)]]), "Null")</f>
        <v>134.44444444444446</v>
      </c>
      <c r="V26" s="1">
        <v>110</v>
      </c>
      <c r="W2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6" s="7" t="s">
        <v>35</v>
      </c>
      <c r="Y26" s="7" t="str">
        <f>Tabella2[[#This Row],[Mean RADIAL stress  (MPa)]]</f>
        <v>Null</v>
      </c>
      <c r="Z26" s="7" t="str">
        <f>Tabella2[[#This Row],[Amplitute RADIAL stress  (MPa)]]</f>
        <v>Null</v>
      </c>
      <c r="AA2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6" s="8">
        <f>IF( AND(ISNUMBER(Tabella2[[#This Row],[Mean AXIAL stress  (MPa)]]), ISNUMBER(Tabella2[[#This Row],[Area (mm^2)]])), Tabella2[[#This Row],[Mean AXIAL stress  (MPa)]]*Tabella2[[#This Row],[Area (mm^2)]], "Null")</f>
        <v>2639.8104936414238</v>
      </c>
      <c r="AC26" s="8">
        <f>IF( AND(ISNUMBER(Tabella2[[#This Row],[Amplitute AXIAL stress  (MPa)]]), ISNUMBER(Tabella2[[#This Row],[Area (mm^2)]])), Tabella2[[#This Row],[Amplitute AXIAL stress  (MPa)]]*Tabella2[[#This Row],[Area (mm^2)]],"Null")</f>
        <v>2159.844949342983</v>
      </c>
      <c r="AD26" s="8">
        <f>IF( AND(ISNUMBER(Tabella2[[#This Row],[Amplitude AXIAL force (N)]]), ISNUMBER(Tabella2[[#This Row],[Mean AXIAL force (N)]])), Tabella2[[#This Row],[Amplitude AXIAL force (N)]]+Tabella2[[#This Row],[Mean AXIAL force (N)]],"Null")</f>
        <v>4799.6554429844073</v>
      </c>
      <c r="AE2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110</v>
      </c>
      <c r="AI2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7" spans="1:36" x14ac:dyDescent="0.25">
      <c r="A27" s="1" t="s">
        <v>52</v>
      </c>
      <c r="B27" s="1">
        <v>2025</v>
      </c>
      <c r="C27" s="1" t="s">
        <v>51</v>
      </c>
      <c r="D27" s="1" t="s">
        <v>83</v>
      </c>
      <c r="E27" s="1">
        <v>55100</v>
      </c>
      <c r="F27" s="1" t="s">
        <v>34</v>
      </c>
      <c r="G27" s="1" t="s">
        <v>43</v>
      </c>
      <c r="H27" s="1" t="e" vm="1">
        <v>#VALUE!</v>
      </c>
      <c r="I27" s="1" t="s">
        <v>45</v>
      </c>
      <c r="J27" s="1" t="s">
        <v>47</v>
      </c>
      <c r="K27" s="1">
        <v>5</v>
      </c>
      <c r="L27" s="8">
        <f>PI()*(Tabella2[[#This Row],[Diameter (mm)]]/2)^2</f>
        <v>19.634954084936208</v>
      </c>
      <c r="M27" s="8">
        <f>(PI()*Tabella2[[#This Row],[Diameter (mm)]]^4)/32</f>
        <v>61.359231515425648</v>
      </c>
      <c r="N27" s="1" t="s">
        <v>35</v>
      </c>
      <c r="O27" s="1" t="s">
        <v>35</v>
      </c>
      <c r="P27" s="1" t="s">
        <v>35</v>
      </c>
      <c r="Q27" s="1">
        <v>0.1</v>
      </c>
      <c r="R27" s="1" t="s">
        <v>35</v>
      </c>
      <c r="S2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7" s="1" t="s">
        <v>35</v>
      </c>
      <c r="U27" s="1">
        <f>IF(ISNUMBER(Tabella2[[#This Row],[Amplitute AXIAL stress  (MPa)]]), (1+Tabella2[[#This Row],[Load ratio (AXIAL)]])*Tabella2[[#This Row],[Amplitute AXIAL stress  (MPa)]]/(1-Tabella2[[#This Row],[Load ratio (AXIAL)]]), "Null")</f>
        <v>195.55555555555554</v>
      </c>
      <c r="V27" s="1">
        <v>160</v>
      </c>
      <c r="W2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7" s="7" t="s">
        <v>35</v>
      </c>
      <c r="Y27" s="7" t="str">
        <f>Tabella2[[#This Row],[Mean RADIAL stress  (MPa)]]</f>
        <v>Null</v>
      </c>
      <c r="Z27" s="7" t="str">
        <f>Tabella2[[#This Row],[Amplitute RADIAL stress  (MPa)]]</f>
        <v>Null</v>
      </c>
      <c r="AA2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7" s="8">
        <f>IF( AND(ISNUMBER(Tabella2[[#This Row],[Mean AXIAL stress  (MPa)]]), ISNUMBER(Tabella2[[#This Row],[Area (mm^2)]])), Tabella2[[#This Row],[Mean AXIAL stress  (MPa)]]*Tabella2[[#This Row],[Area (mm^2)]], "Null")</f>
        <v>3839.7243543875247</v>
      </c>
      <c r="AC27" s="8">
        <f>IF( AND(ISNUMBER(Tabella2[[#This Row],[Amplitute AXIAL stress  (MPa)]]), ISNUMBER(Tabella2[[#This Row],[Area (mm^2)]])), Tabella2[[#This Row],[Amplitute AXIAL stress  (MPa)]]*Tabella2[[#This Row],[Area (mm^2)]],"Null")</f>
        <v>3141.5926535897934</v>
      </c>
      <c r="AD27" s="8">
        <f>IF( AND(ISNUMBER(Tabella2[[#This Row],[Amplitude AXIAL force (N)]]), ISNUMBER(Tabella2[[#This Row],[Mean AXIAL force (N)]])), Tabella2[[#This Row],[Amplitude AXIAL force (N)]]+Tabella2[[#This Row],[Mean AXIAL force (N)]],"Null")</f>
        <v>6981.3170079773181</v>
      </c>
      <c r="AE2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  <c r="AI2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8" spans="1:36" x14ac:dyDescent="0.25">
      <c r="A28" s="1" t="s">
        <v>52</v>
      </c>
      <c r="B28" s="1">
        <v>2025</v>
      </c>
      <c r="C28" s="1" t="s">
        <v>51</v>
      </c>
      <c r="D28" s="1" t="s">
        <v>84</v>
      </c>
      <c r="E28" s="1">
        <v>1660000</v>
      </c>
      <c r="F28" s="1" t="s">
        <v>34</v>
      </c>
      <c r="G28" s="1" t="s">
        <v>43</v>
      </c>
      <c r="H28" s="1" t="e" vm="1">
        <v>#VALUE!</v>
      </c>
      <c r="I28" s="1" t="s">
        <v>45</v>
      </c>
      <c r="J28" s="1" t="s">
        <v>47</v>
      </c>
      <c r="K28" s="1">
        <v>5</v>
      </c>
      <c r="L28" s="8">
        <f>PI()*(Tabella2[[#This Row],[Diameter (mm)]]/2)^2</f>
        <v>19.634954084936208</v>
      </c>
      <c r="M28" s="8">
        <f>(PI()*Tabella2[[#This Row],[Diameter (mm)]]^4)/32</f>
        <v>61.359231515425648</v>
      </c>
      <c r="N28" s="1" t="s">
        <v>35</v>
      </c>
      <c r="O28" s="1" t="s">
        <v>35</v>
      </c>
      <c r="P28" s="1" t="s">
        <v>35</v>
      </c>
      <c r="Q28" s="1">
        <v>0.1</v>
      </c>
      <c r="R28" s="1" t="s">
        <v>35</v>
      </c>
      <c r="S2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8" s="1" t="s">
        <v>35</v>
      </c>
      <c r="U28" s="1">
        <f>IF(ISNUMBER(Tabella2[[#This Row],[Amplitute AXIAL stress  (MPa)]]), (1+Tabella2[[#This Row],[Load ratio (AXIAL)]])*Tabella2[[#This Row],[Amplitute AXIAL stress  (MPa)]]/(1-Tabella2[[#This Row],[Load ratio (AXIAL)]]), "Null")</f>
        <v>134.44444444444446</v>
      </c>
      <c r="V28" s="1">
        <v>110</v>
      </c>
      <c r="W2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8" s="7" t="s">
        <v>35</v>
      </c>
      <c r="Y28" s="7" t="str">
        <f>Tabella2[[#This Row],[Mean RADIAL stress  (MPa)]]</f>
        <v>Null</v>
      </c>
      <c r="Z28" s="7" t="str">
        <f>Tabella2[[#This Row],[Amplitute RADIAL stress  (MPa)]]</f>
        <v>Null</v>
      </c>
      <c r="AA2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8" s="8">
        <f>IF( AND(ISNUMBER(Tabella2[[#This Row],[Mean AXIAL stress  (MPa)]]), ISNUMBER(Tabella2[[#This Row],[Area (mm^2)]])), Tabella2[[#This Row],[Mean AXIAL stress  (MPa)]]*Tabella2[[#This Row],[Area (mm^2)]], "Null")</f>
        <v>2639.8104936414238</v>
      </c>
      <c r="AC28" s="8">
        <f>IF( AND(ISNUMBER(Tabella2[[#This Row],[Amplitute AXIAL stress  (MPa)]]), ISNUMBER(Tabella2[[#This Row],[Area (mm^2)]])), Tabella2[[#This Row],[Amplitute AXIAL stress  (MPa)]]*Tabella2[[#This Row],[Area (mm^2)]],"Null")</f>
        <v>2159.844949342983</v>
      </c>
      <c r="AD28" s="8">
        <f>IF( AND(ISNUMBER(Tabella2[[#This Row],[Amplitude AXIAL force (N)]]), ISNUMBER(Tabella2[[#This Row],[Mean AXIAL force (N)]])), Tabella2[[#This Row],[Amplitude AXIAL force (N)]]+Tabella2[[#This Row],[Mean AXIAL force (N)]],"Null")</f>
        <v>4799.6554429844073</v>
      </c>
      <c r="AE2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110</v>
      </c>
      <c r="AI2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9" spans="1:36" x14ac:dyDescent="0.25">
      <c r="A29" s="1" t="s">
        <v>52</v>
      </c>
      <c r="B29" s="1">
        <v>2025</v>
      </c>
      <c r="C29" s="1" t="s">
        <v>51</v>
      </c>
      <c r="D29" s="1" t="s">
        <v>85</v>
      </c>
      <c r="E29" s="1">
        <v>43900</v>
      </c>
      <c r="F29" s="1" t="s">
        <v>34</v>
      </c>
      <c r="G29" s="1" t="s">
        <v>43</v>
      </c>
      <c r="H29" s="1" t="e" vm="1">
        <v>#VALUE!</v>
      </c>
      <c r="I29" s="1" t="s">
        <v>45</v>
      </c>
      <c r="J29" s="1" t="s">
        <v>47</v>
      </c>
      <c r="K29" s="1">
        <v>5</v>
      </c>
      <c r="L29" s="8">
        <f>PI()*(Tabella2[[#This Row],[Diameter (mm)]]/2)^2</f>
        <v>19.634954084936208</v>
      </c>
      <c r="M29" s="8">
        <f>(PI()*Tabella2[[#This Row],[Diameter (mm)]]^4)/32</f>
        <v>61.359231515425648</v>
      </c>
      <c r="N29" s="1" t="s">
        <v>35</v>
      </c>
      <c r="O29" s="1" t="s">
        <v>35</v>
      </c>
      <c r="P29" s="1" t="s">
        <v>35</v>
      </c>
      <c r="Q29" s="1">
        <v>0.1</v>
      </c>
      <c r="R29" s="1" t="s">
        <v>35</v>
      </c>
      <c r="S2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9" s="1" t="s">
        <v>35</v>
      </c>
      <c r="U29" s="1">
        <f>IF(ISNUMBER(Tabella2[[#This Row],[Amplitute AXIAL stress  (MPa)]]), (1+Tabella2[[#This Row],[Load ratio (AXIAL)]])*Tabella2[[#This Row],[Amplitute AXIAL stress  (MPa)]]/(1-Tabella2[[#This Row],[Load ratio (AXIAL)]]), "Null")</f>
        <v>195.55555555555554</v>
      </c>
      <c r="V29" s="1">
        <v>160</v>
      </c>
      <c r="W2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9" s="7" t="s">
        <v>35</v>
      </c>
      <c r="Y29" s="7" t="str">
        <f>Tabella2[[#This Row],[Mean RADIAL stress  (MPa)]]</f>
        <v>Null</v>
      </c>
      <c r="Z29" s="7" t="str">
        <f>Tabella2[[#This Row],[Amplitute RADIAL stress  (MPa)]]</f>
        <v>Null</v>
      </c>
      <c r="AA2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9" s="8">
        <f>IF( AND(ISNUMBER(Tabella2[[#This Row],[Mean AXIAL stress  (MPa)]]), ISNUMBER(Tabella2[[#This Row],[Area (mm^2)]])), Tabella2[[#This Row],[Mean AXIAL stress  (MPa)]]*Tabella2[[#This Row],[Area (mm^2)]], "Null")</f>
        <v>3839.7243543875247</v>
      </c>
      <c r="AC29" s="8">
        <f>IF( AND(ISNUMBER(Tabella2[[#This Row],[Amplitute AXIAL stress  (MPa)]]), ISNUMBER(Tabella2[[#This Row],[Area (mm^2)]])), Tabella2[[#This Row],[Amplitute AXIAL stress  (MPa)]]*Tabella2[[#This Row],[Area (mm^2)]],"Null")</f>
        <v>3141.5926535897934</v>
      </c>
      <c r="AD29" s="8">
        <f>IF( AND(ISNUMBER(Tabella2[[#This Row],[Amplitude AXIAL force (N)]]), ISNUMBER(Tabella2[[#This Row],[Mean AXIAL force (N)]])), Tabella2[[#This Row],[Amplitude AXIAL force (N)]]+Tabella2[[#This Row],[Mean AXIAL force (N)]],"Null")</f>
        <v>6981.3170079773181</v>
      </c>
      <c r="AE2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  <c r="AI2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0" spans="1:36" x14ac:dyDescent="0.25">
      <c r="A30" s="1" t="s">
        <v>52</v>
      </c>
      <c r="B30" s="1">
        <v>2025</v>
      </c>
      <c r="C30" s="1" t="s">
        <v>51</v>
      </c>
      <c r="D30" s="1" t="s">
        <v>86</v>
      </c>
      <c r="E30" s="1">
        <v>200091</v>
      </c>
      <c r="F30" s="1" t="s">
        <v>34</v>
      </c>
      <c r="G30" s="1" t="s">
        <v>43</v>
      </c>
      <c r="H30" s="1" t="e" vm="2">
        <v>#VALUE!</v>
      </c>
      <c r="I30" s="1" t="s">
        <v>45</v>
      </c>
      <c r="J30" s="1" t="s">
        <v>70</v>
      </c>
      <c r="K30" s="1">
        <v>14</v>
      </c>
      <c r="L30" s="8">
        <f>PI()*(Tabella2[[#This Row],[Diameter (mm)]]/2)^2</f>
        <v>153.93804002589985</v>
      </c>
      <c r="M30" s="8">
        <f>(PI()*Tabella2[[#This Row],[Diameter (mm)]]^4)/32</f>
        <v>3771.4819806345467</v>
      </c>
      <c r="N30" s="1" t="s">
        <v>35</v>
      </c>
      <c r="O30" s="1" t="s">
        <v>35</v>
      </c>
      <c r="P30" s="1" t="s">
        <v>35</v>
      </c>
      <c r="Q30" s="1">
        <v>-1</v>
      </c>
      <c r="R30" s="1" t="s">
        <v>35</v>
      </c>
      <c r="S3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0" s="1" t="s">
        <v>35</v>
      </c>
      <c r="U3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0" s="1">
        <v>60</v>
      </c>
      <c r="W3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0" s="7" t="s">
        <v>35</v>
      </c>
      <c r="Y30" s="7" t="str">
        <f>Tabella2[[#This Row],[Mean RADIAL stress  (MPa)]]</f>
        <v>Null</v>
      </c>
      <c r="Z30" s="7" t="str">
        <f>Tabella2[[#This Row],[Amplitute RADIAL stress  (MPa)]]</f>
        <v>Null</v>
      </c>
      <c r="AA3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0" s="8">
        <f>IF( AND(ISNUMBER(Tabella2[[#This Row],[Mean AXIAL stress  (MPa)]]), ISNUMBER(Tabella2[[#This Row],[Area (mm^2)]])), Tabella2[[#This Row],[Mean AXIAL stress  (MPa)]]*Tabella2[[#This Row],[Area (mm^2)]], "Null")</f>
        <v>0</v>
      </c>
      <c r="AC30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30" s="8">
        <f>IF( AND(ISNUMBER(Tabella2[[#This Row],[Amplitude AXIAL force (N)]]), ISNUMBER(Tabella2[[#This Row],[Mean AXIAL force (N)]])), Tabella2[[#This Row],[Amplitude AXIAL force (N)]]+Tabella2[[#This Row],[Mean AXIAL force (N)]],"Null")</f>
        <v>9236.2824015539918</v>
      </c>
      <c r="AE3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</v>
      </c>
      <c r="AI3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1" spans="1:36" x14ac:dyDescent="0.25">
      <c r="A31" s="1" t="s">
        <v>52</v>
      </c>
      <c r="B31" s="1">
        <v>2025</v>
      </c>
      <c r="C31" s="1" t="s">
        <v>51</v>
      </c>
      <c r="D31" s="1" t="s">
        <v>87</v>
      </c>
      <c r="E31" s="1">
        <v>239445</v>
      </c>
      <c r="F31" s="1" t="s">
        <v>34</v>
      </c>
      <c r="G31" s="1" t="s">
        <v>43</v>
      </c>
      <c r="H31" s="1" t="e" vm="2">
        <v>#VALUE!</v>
      </c>
      <c r="I31" s="1" t="s">
        <v>45</v>
      </c>
      <c r="J31" s="1" t="s">
        <v>70</v>
      </c>
      <c r="K31" s="1">
        <v>14</v>
      </c>
      <c r="L31" s="8">
        <f>PI()*(Tabella2[[#This Row],[Diameter (mm)]]/2)^2</f>
        <v>153.93804002589985</v>
      </c>
      <c r="M31" s="8">
        <f>(PI()*Tabella2[[#This Row],[Diameter (mm)]]^4)/32</f>
        <v>3771.4819806345467</v>
      </c>
      <c r="N31" s="1" t="s">
        <v>35</v>
      </c>
      <c r="O31" s="1" t="s">
        <v>35</v>
      </c>
      <c r="P31" s="1" t="s">
        <v>35</v>
      </c>
      <c r="Q31" s="1">
        <v>-1</v>
      </c>
      <c r="R31" s="1" t="s">
        <v>35</v>
      </c>
      <c r="S3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1" s="1" t="s">
        <v>35</v>
      </c>
      <c r="U3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1" s="1">
        <v>60</v>
      </c>
      <c r="W3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1" s="7" t="s">
        <v>35</v>
      </c>
      <c r="Y31" s="7" t="str">
        <f>Tabella2[[#This Row],[Mean RADIAL stress  (MPa)]]</f>
        <v>Null</v>
      </c>
      <c r="Z31" s="7" t="str">
        <f>Tabella2[[#This Row],[Amplitute RADIAL stress  (MPa)]]</f>
        <v>Null</v>
      </c>
      <c r="AA3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1" s="8">
        <f>IF( AND(ISNUMBER(Tabella2[[#This Row],[Mean AXIAL stress  (MPa)]]), ISNUMBER(Tabella2[[#This Row],[Area (mm^2)]])), Tabella2[[#This Row],[Mean AXIAL stress  (MPa)]]*Tabella2[[#This Row],[Area (mm^2)]], "Null")</f>
        <v>0</v>
      </c>
      <c r="AC31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31" s="8">
        <f>IF( AND(ISNUMBER(Tabella2[[#This Row],[Amplitude AXIAL force (N)]]), ISNUMBER(Tabella2[[#This Row],[Mean AXIAL force (N)]])), Tabella2[[#This Row],[Amplitude AXIAL force (N)]]+Tabella2[[#This Row],[Mean AXIAL force (N)]],"Null")</f>
        <v>9236.2824015539918</v>
      </c>
      <c r="AE3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</v>
      </c>
      <c r="AI3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2" spans="1:36" x14ac:dyDescent="0.25">
      <c r="A32" s="1" t="s">
        <v>52</v>
      </c>
      <c r="B32" s="1">
        <v>2025</v>
      </c>
      <c r="C32" s="1" t="s">
        <v>51</v>
      </c>
      <c r="D32" s="1" t="s">
        <v>88</v>
      </c>
      <c r="E32" s="1">
        <v>1539178</v>
      </c>
      <c r="F32" s="1" t="s">
        <v>34</v>
      </c>
      <c r="G32" s="1" t="s">
        <v>43</v>
      </c>
      <c r="H32" s="1" t="e" vm="2">
        <v>#VALUE!</v>
      </c>
      <c r="I32" s="1" t="s">
        <v>45</v>
      </c>
      <c r="J32" s="1" t="s">
        <v>70</v>
      </c>
      <c r="K32" s="1">
        <v>14</v>
      </c>
      <c r="L32" s="8">
        <f>PI()*(Tabella2[[#This Row],[Diameter (mm)]]/2)^2</f>
        <v>153.93804002589985</v>
      </c>
      <c r="M32" s="8">
        <f>(PI()*Tabella2[[#This Row],[Diameter (mm)]]^4)/32</f>
        <v>3771.4819806345467</v>
      </c>
      <c r="N32" s="1" t="s">
        <v>35</v>
      </c>
      <c r="O32" s="1" t="s">
        <v>35</v>
      </c>
      <c r="P32" s="1" t="s">
        <v>35</v>
      </c>
      <c r="Q32" s="1">
        <v>-1</v>
      </c>
      <c r="R32" s="1" t="s">
        <v>35</v>
      </c>
      <c r="S3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2" s="1" t="s">
        <v>35</v>
      </c>
      <c r="U3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2" s="1">
        <v>40</v>
      </c>
      <c r="W3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2" s="7" t="s">
        <v>35</v>
      </c>
      <c r="Y32" s="7" t="str">
        <f>Tabella2[[#This Row],[Mean RADIAL stress  (MPa)]]</f>
        <v>Null</v>
      </c>
      <c r="Z32" s="7" t="str">
        <f>Tabella2[[#This Row],[Amplitute RADIAL stress  (MPa)]]</f>
        <v>Null</v>
      </c>
      <c r="AA3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2" s="8">
        <f>IF( AND(ISNUMBER(Tabella2[[#This Row],[Mean AXIAL stress  (MPa)]]), ISNUMBER(Tabella2[[#This Row],[Area (mm^2)]])), Tabella2[[#This Row],[Mean AXIAL stress  (MPa)]]*Tabella2[[#This Row],[Area (mm^2)]], "Null")</f>
        <v>0</v>
      </c>
      <c r="AC32" s="8">
        <f>IF( AND(ISNUMBER(Tabella2[[#This Row],[Amplitute AXIAL stress  (MPa)]]), ISNUMBER(Tabella2[[#This Row],[Area (mm^2)]])), Tabella2[[#This Row],[Amplitute AXIAL stress  (MPa)]]*Tabella2[[#This Row],[Area (mm^2)]],"Null")</f>
        <v>6157.5216010359945</v>
      </c>
      <c r="AD32" s="8">
        <f>IF( AND(ISNUMBER(Tabella2[[#This Row],[Amplitude AXIAL force (N)]]), ISNUMBER(Tabella2[[#This Row],[Mean AXIAL force (N)]])), Tabella2[[#This Row],[Amplitude AXIAL force (N)]]+Tabella2[[#This Row],[Mean AXIAL force (N)]],"Null")</f>
        <v>6157.5216010359945</v>
      </c>
      <c r="AE3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</v>
      </c>
      <c r="AI3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3" spans="1:35" x14ac:dyDescent="0.25">
      <c r="A33" s="1" t="s">
        <v>52</v>
      </c>
      <c r="B33" s="1">
        <v>2025</v>
      </c>
      <c r="C33" s="1" t="s">
        <v>51</v>
      </c>
      <c r="D33" s="1" t="s">
        <v>89</v>
      </c>
      <c r="E33" s="1">
        <v>3798648</v>
      </c>
      <c r="F33" s="1" t="s">
        <v>34</v>
      </c>
      <c r="G33" s="1" t="s">
        <v>43</v>
      </c>
      <c r="H33" s="1" t="e" vm="2">
        <v>#VALUE!</v>
      </c>
      <c r="I33" s="1" t="s">
        <v>45</v>
      </c>
      <c r="J33" s="1" t="s">
        <v>70</v>
      </c>
      <c r="K33" s="1">
        <v>14</v>
      </c>
      <c r="L33" s="8">
        <f>PI()*(Tabella2[[#This Row],[Diameter (mm)]]/2)^2</f>
        <v>153.93804002589985</v>
      </c>
      <c r="M33" s="8">
        <f>(PI()*Tabella2[[#This Row],[Diameter (mm)]]^4)/32</f>
        <v>3771.4819806345467</v>
      </c>
      <c r="N33" s="1" t="s">
        <v>35</v>
      </c>
      <c r="O33" s="1" t="s">
        <v>35</v>
      </c>
      <c r="P33" s="1" t="s">
        <v>35</v>
      </c>
      <c r="Q33" s="1">
        <v>-1</v>
      </c>
      <c r="R33" s="1" t="s">
        <v>35</v>
      </c>
      <c r="S3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3" s="1" t="s">
        <v>35</v>
      </c>
      <c r="U3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3" s="1">
        <v>40</v>
      </c>
      <c r="W3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3" s="7" t="s">
        <v>35</v>
      </c>
      <c r="Y33" s="7" t="str">
        <f>Tabella2[[#This Row],[Mean RADIAL stress  (MPa)]]</f>
        <v>Null</v>
      </c>
      <c r="Z33" s="7" t="str">
        <f>Tabella2[[#This Row],[Amplitute RADIAL stress  (MPa)]]</f>
        <v>Null</v>
      </c>
      <c r="AA3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3" s="8">
        <f>IF( AND(ISNUMBER(Tabella2[[#This Row],[Mean AXIAL stress  (MPa)]]), ISNUMBER(Tabella2[[#This Row],[Area (mm^2)]])), Tabella2[[#This Row],[Mean AXIAL stress  (MPa)]]*Tabella2[[#This Row],[Area (mm^2)]], "Null")</f>
        <v>0</v>
      </c>
      <c r="AC33" s="8">
        <f>IF( AND(ISNUMBER(Tabella2[[#This Row],[Amplitute AXIAL stress  (MPa)]]), ISNUMBER(Tabella2[[#This Row],[Area (mm^2)]])), Tabella2[[#This Row],[Amplitute AXIAL stress  (MPa)]]*Tabella2[[#This Row],[Area (mm^2)]],"Null")</f>
        <v>6157.5216010359945</v>
      </c>
      <c r="AD33" s="8">
        <f>IF( AND(ISNUMBER(Tabella2[[#This Row],[Amplitude AXIAL force (N)]]), ISNUMBER(Tabella2[[#This Row],[Mean AXIAL force (N)]])), Tabella2[[#This Row],[Amplitude AXIAL force (N)]]+Tabella2[[#This Row],[Mean AXIAL force (N)]],"Null")</f>
        <v>6157.5216010359945</v>
      </c>
      <c r="AE3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</v>
      </c>
      <c r="AI3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4" spans="1:35" x14ac:dyDescent="0.25">
      <c r="A34" s="1" t="s">
        <v>52</v>
      </c>
      <c r="B34" s="1">
        <v>2025</v>
      </c>
      <c r="C34" s="1" t="s">
        <v>51</v>
      </c>
      <c r="D34" s="1" t="s">
        <v>90</v>
      </c>
      <c r="E34" s="1">
        <v>5000000</v>
      </c>
      <c r="F34" s="1" t="s">
        <v>70</v>
      </c>
      <c r="G34" s="1" t="s">
        <v>43</v>
      </c>
      <c r="H34" s="1" t="e" vm="2">
        <v>#VALUE!</v>
      </c>
      <c r="I34" s="1" t="s">
        <v>45</v>
      </c>
      <c r="J34" s="1" t="s">
        <v>70</v>
      </c>
      <c r="K34" s="1">
        <v>14</v>
      </c>
      <c r="L34" s="8">
        <f>PI()*(Tabella2[[#This Row],[Diameter (mm)]]/2)^2</f>
        <v>153.93804002589985</v>
      </c>
      <c r="M34" s="8">
        <f>(PI()*Tabella2[[#This Row],[Diameter (mm)]]^4)/32</f>
        <v>3771.4819806345467</v>
      </c>
      <c r="N34" s="1" t="s">
        <v>35</v>
      </c>
      <c r="O34" s="1" t="s">
        <v>35</v>
      </c>
      <c r="P34" s="1" t="s">
        <v>35</v>
      </c>
      <c r="Q34" s="1">
        <v>-1</v>
      </c>
      <c r="R34" s="1" t="s">
        <v>35</v>
      </c>
      <c r="S3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4" s="1" t="s">
        <v>35</v>
      </c>
      <c r="U3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4" s="1">
        <v>35</v>
      </c>
      <c r="W3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4" s="7" t="s">
        <v>35</v>
      </c>
      <c r="Y34" s="7" t="str">
        <f>Tabella2[[#This Row],[Mean RADIAL stress  (MPa)]]</f>
        <v>Null</v>
      </c>
      <c r="Z34" s="7" t="str">
        <f>Tabella2[[#This Row],[Amplitute RADIAL stress  (MPa)]]</f>
        <v>Null</v>
      </c>
      <c r="AA3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4" s="8">
        <f>IF( AND(ISNUMBER(Tabella2[[#This Row],[Mean AXIAL stress  (MPa)]]), ISNUMBER(Tabella2[[#This Row],[Area (mm^2)]])), Tabella2[[#This Row],[Mean AXIAL stress  (MPa)]]*Tabella2[[#This Row],[Area (mm^2)]], "Null")</f>
        <v>0</v>
      </c>
      <c r="AC34" s="8">
        <f>IF( AND(ISNUMBER(Tabella2[[#This Row],[Amplitute AXIAL stress  (MPa)]]), ISNUMBER(Tabella2[[#This Row],[Area (mm^2)]])), Tabella2[[#This Row],[Amplitute AXIAL stress  (MPa)]]*Tabella2[[#This Row],[Area (mm^2)]],"Null")</f>
        <v>5387.8314009064952</v>
      </c>
      <c r="AD34" s="8">
        <f>IF( AND(ISNUMBER(Tabella2[[#This Row],[Amplitude AXIAL force (N)]]), ISNUMBER(Tabella2[[#This Row],[Mean AXIAL force (N)]])), Tabella2[[#This Row],[Amplitude AXIAL force (N)]]+Tabella2[[#This Row],[Mean AXIAL force (N)]],"Null")</f>
        <v>5387.8314009064952</v>
      </c>
      <c r="AE3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</v>
      </c>
      <c r="AI3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5" spans="1:35" x14ac:dyDescent="0.25">
      <c r="A35" s="1" t="s">
        <v>52</v>
      </c>
      <c r="B35" s="1">
        <v>2025</v>
      </c>
      <c r="C35" s="1" t="s">
        <v>51</v>
      </c>
      <c r="D35" s="1" t="s">
        <v>91</v>
      </c>
      <c r="E35" s="1">
        <v>129877</v>
      </c>
      <c r="F35" s="1" t="s">
        <v>34</v>
      </c>
      <c r="G35" s="1" t="s">
        <v>43</v>
      </c>
      <c r="H35" s="1" t="e" vm="2">
        <v>#VALUE!</v>
      </c>
      <c r="I35" s="1" t="s">
        <v>45</v>
      </c>
      <c r="J35" s="1" t="s">
        <v>70</v>
      </c>
      <c r="K35" s="1">
        <v>14</v>
      </c>
      <c r="L35" s="8">
        <f>PI()*(Tabella2[[#This Row],[Diameter (mm)]]/2)^2</f>
        <v>153.93804002589985</v>
      </c>
      <c r="M35" s="8">
        <f>(PI()*Tabella2[[#This Row],[Diameter (mm)]]^4)/32</f>
        <v>3771.4819806345467</v>
      </c>
      <c r="N35" s="1" t="s">
        <v>35</v>
      </c>
      <c r="O35" s="1" t="s">
        <v>35</v>
      </c>
      <c r="P35" s="1" t="s">
        <v>35</v>
      </c>
      <c r="Q35" s="1">
        <v>-1</v>
      </c>
      <c r="R35" s="1" t="s">
        <v>35</v>
      </c>
      <c r="S3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5" s="1" t="s">
        <v>35</v>
      </c>
      <c r="U3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5" s="1">
        <v>60</v>
      </c>
      <c r="W3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5" s="7" t="s">
        <v>35</v>
      </c>
      <c r="Y35" s="7" t="str">
        <f>Tabella2[[#This Row],[Mean RADIAL stress  (MPa)]]</f>
        <v>Null</v>
      </c>
      <c r="Z35" s="7" t="str">
        <f>Tabella2[[#This Row],[Amplitute RADIAL stress  (MPa)]]</f>
        <v>Null</v>
      </c>
      <c r="AA3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5" s="8">
        <f>IF( AND(ISNUMBER(Tabella2[[#This Row],[Mean AXIAL stress  (MPa)]]), ISNUMBER(Tabella2[[#This Row],[Area (mm^2)]])), Tabella2[[#This Row],[Mean AXIAL stress  (MPa)]]*Tabella2[[#This Row],[Area (mm^2)]], "Null")</f>
        <v>0</v>
      </c>
      <c r="AC35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35" s="8">
        <f>IF( AND(ISNUMBER(Tabella2[[#This Row],[Amplitude AXIAL force (N)]]), ISNUMBER(Tabella2[[#This Row],[Mean AXIAL force (N)]])), Tabella2[[#This Row],[Amplitude AXIAL force (N)]]+Tabella2[[#This Row],[Mean AXIAL force (N)]],"Null")</f>
        <v>9236.2824015539918</v>
      </c>
      <c r="AE3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</v>
      </c>
      <c r="AI3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6" spans="1:35" x14ac:dyDescent="0.25">
      <c r="A36" s="1" t="s">
        <v>52</v>
      </c>
      <c r="B36" s="1">
        <v>2025</v>
      </c>
      <c r="C36" s="1" t="s">
        <v>51</v>
      </c>
      <c r="D36" s="1" t="s">
        <v>92</v>
      </c>
      <c r="E36" s="1">
        <v>5000000</v>
      </c>
      <c r="F36" s="1" t="s">
        <v>70</v>
      </c>
      <c r="G36" s="1" t="s">
        <v>43</v>
      </c>
      <c r="H36" s="1" t="e" vm="2">
        <v>#VALUE!</v>
      </c>
      <c r="I36" s="1" t="s">
        <v>45</v>
      </c>
      <c r="J36" s="1" t="s">
        <v>70</v>
      </c>
      <c r="K36" s="1">
        <v>14</v>
      </c>
      <c r="L36" s="8">
        <f>PI()*(Tabella2[[#This Row],[Diameter (mm)]]/2)^2</f>
        <v>153.93804002589985</v>
      </c>
      <c r="M36" s="8">
        <f>(PI()*Tabella2[[#This Row],[Diameter (mm)]]^4)/32</f>
        <v>3771.4819806345467</v>
      </c>
      <c r="N36" s="1" t="s">
        <v>35</v>
      </c>
      <c r="O36" s="1" t="s">
        <v>35</v>
      </c>
      <c r="P36" s="1" t="s">
        <v>35</v>
      </c>
      <c r="Q36" s="1">
        <v>-1</v>
      </c>
      <c r="R36" s="1" t="s">
        <v>35</v>
      </c>
      <c r="S3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6" s="1" t="s">
        <v>35</v>
      </c>
      <c r="U3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6" s="1">
        <v>35</v>
      </c>
      <c r="W3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6" s="7" t="s">
        <v>35</v>
      </c>
      <c r="Y36" s="7" t="str">
        <f>Tabella2[[#This Row],[Mean RADIAL stress  (MPa)]]</f>
        <v>Null</v>
      </c>
      <c r="Z36" s="7" t="str">
        <f>Tabella2[[#This Row],[Amplitute RADIAL stress  (MPa)]]</f>
        <v>Null</v>
      </c>
      <c r="AA3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6" s="8">
        <f>IF( AND(ISNUMBER(Tabella2[[#This Row],[Mean AXIAL stress  (MPa)]]), ISNUMBER(Tabella2[[#This Row],[Area (mm^2)]])), Tabella2[[#This Row],[Mean AXIAL stress  (MPa)]]*Tabella2[[#This Row],[Area (mm^2)]], "Null")</f>
        <v>0</v>
      </c>
      <c r="AC36" s="8">
        <f>IF( AND(ISNUMBER(Tabella2[[#This Row],[Amplitute AXIAL stress  (MPa)]]), ISNUMBER(Tabella2[[#This Row],[Area (mm^2)]])), Tabella2[[#This Row],[Amplitute AXIAL stress  (MPa)]]*Tabella2[[#This Row],[Area (mm^2)]],"Null")</f>
        <v>5387.8314009064952</v>
      </c>
      <c r="AD36" s="8">
        <f>IF( AND(ISNUMBER(Tabella2[[#This Row],[Amplitude AXIAL force (N)]]), ISNUMBER(Tabella2[[#This Row],[Mean AXIAL force (N)]])), Tabella2[[#This Row],[Amplitude AXIAL force (N)]]+Tabella2[[#This Row],[Mean AXIAL force (N)]],"Null")</f>
        <v>5387.8314009064952</v>
      </c>
      <c r="AE3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</v>
      </c>
      <c r="AI3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7" spans="1:35" x14ac:dyDescent="0.25">
      <c r="A37" s="1" t="s">
        <v>52</v>
      </c>
      <c r="B37" s="1">
        <v>2025</v>
      </c>
      <c r="C37" s="1" t="s">
        <v>51</v>
      </c>
      <c r="D37" s="1" t="s">
        <v>93</v>
      </c>
      <c r="E37" s="1">
        <v>1446603</v>
      </c>
      <c r="F37" s="1" t="s">
        <v>34</v>
      </c>
      <c r="G37" s="1" t="s">
        <v>43</v>
      </c>
      <c r="H37" s="1" t="e" vm="2">
        <v>#VALUE!</v>
      </c>
      <c r="I37" s="1" t="s">
        <v>45</v>
      </c>
      <c r="J37" s="1" t="s">
        <v>70</v>
      </c>
      <c r="K37" s="1">
        <v>14</v>
      </c>
      <c r="L37" s="8">
        <f>PI()*(Tabella2[[#This Row],[Diameter (mm)]]/2)^2</f>
        <v>153.93804002589985</v>
      </c>
      <c r="M37" s="8">
        <f>(PI()*Tabella2[[#This Row],[Diameter (mm)]]^4)/32</f>
        <v>3771.4819806345467</v>
      </c>
      <c r="N37" s="1" t="s">
        <v>35</v>
      </c>
      <c r="O37" s="1" t="s">
        <v>35</v>
      </c>
      <c r="P37" s="1" t="s">
        <v>35</v>
      </c>
      <c r="Q37" s="1">
        <v>-1</v>
      </c>
      <c r="R37" s="1" t="s">
        <v>35</v>
      </c>
      <c r="S3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7" s="1" t="s">
        <v>35</v>
      </c>
      <c r="U3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7" s="1">
        <v>37.5</v>
      </c>
      <c r="W3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7" s="7" t="s">
        <v>35</v>
      </c>
      <c r="Y37" s="7" t="str">
        <f>Tabella2[[#This Row],[Mean RADIAL stress  (MPa)]]</f>
        <v>Null</v>
      </c>
      <c r="Z37" s="7" t="str">
        <f>Tabella2[[#This Row],[Amplitute RADIAL stress  (MPa)]]</f>
        <v>Null</v>
      </c>
      <c r="AA3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7" s="8">
        <f>IF( AND(ISNUMBER(Tabella2[[#This Row],[Mean AXIAL stress  (MPa)]]), ISNUMBER(Tabella2[[#This Row],[Area (mm^2)]])), Tabella2[[#This Row],[Mean AXIAL stress  (MPa)]]*Tabella2[[#This Row],[Area (mm^2)]], "Null")</f>
        <v>0</v>
      </c>
      <c r="AC37" s="8">
        <f>IF( AND(ISNUMBER(Tabella2[[#This Row],[Amplitute AXIAL stress  (MPa)]]), ISNUMBER(Tabella2[[#This Row],[Area (mm^2)]])), Tabella2[[#This Row],[Amplitute AXIAL stress  (MPa)]]*Tabella2[[#This Row],[Area (mm^2)]],"Null")</f>
        <v>5772.6765009712444</v>
      </c>
      <c r="AD37" s="8">
        <f>IF( AND(ISNUMBER(Tabella2[[#This Row],[Amplitude AXIAL force (N)]]), ISNUMBER(Tabella2[[#This Row],[Mean AXIAL force (N)]])), Tabella2[[#This Row],[Amplitude AXIAL force (N)]]+Tabella2[[#This Row],[Mean AXIAL force (N)]],"Null")</f>
        <v>5772.6765009712444</v>
      </c>
      <c r="AE3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37.5</v>
      </c>
      <c r="AI3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8" spans="1:35" x14ac:dyDescent="0.25">
      <c r="A38" s="1" t="s">
        <v>52</v>
      </c>
      <c r="B38" s="1">
        <v>2025</v>
      </c>
      <c r="C38" s="1" t="s">
        <v>51</v>
      </c>
      <c r="D38" s="1" t="s">
        <v>94</v>
      </c>
      <c r="E38" s="1">
        <v>5000000</v>
      </c>
      <c r="F38" s="1" t="s">
        <v>70</v>
      </c>
      <c r="G38" s="1" t="s">
        <v>43</v>
      </c>
      <c r="H38" s="1" t="e" vm="2">
        <v>#VALUE!</v>
      </c>
      <c r="I38" s="1" t="s">
        <v>45</v>
      </c>
      <c r="J38" s="1" t="s">
        <v>70</v>
      </c>
      <c r="K38" s="1">
        <v>14</v>
      </c>
      <c r="L38" s="8">
        <f>PI()*(Tabella2[[#This Row],[Diameter (mm)]]/2)^2</f>
        <v>153.93804002589985</v>
      </c>
      <c r="M38" s="8">
        <f>(PI()*Tabella2[[#This Row],[Diameter (mm)]]^4)/32</f>
        <v>3771.4819806345467</v>
      </c>
      <c r="N38" s="1" t="s">
        <v>35</v>
      </c>
      <c r="O38" s="1" t="s">
        <v>35</v>
      </c>
      <c r="P38" s="1" t="s">
        <v>35</v>
      </c>
      <c r="Q38" s="1">
        <v>-1</v>
      </c>
      <c r="R38" s="1" t="s">
        <v>35</v>
      </c>
      <c r="S3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8" s="1" t="s">
        <v>35</v>
      </c>
      <c r="U3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8" s="1">
        <v>37.5</v>
      </c>
      <c r="W3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8" s="7" t="s">
        <v>35</v>
      </c>
      <c r="Y38" s="7" t="str">
        <f>Tabella2[[#This Row],[Mean RADIAL stress  (MPa)]]</f>
        <v>Null</v>
      </c>
      <c r="Z38" s="7" t="str">
        <f>Tabella2[[#This Row],[Amplitute RADIAL stress  (MPa)]]</f>
        <v>Null</v>
      </c>
      <c r="AA3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8" s="8">
        <f>IF( AND(ISNUMBER(Tabella2[[#This Row],[Mean AXIAL stress  (MPa)]]), ISNUMBER(Tabella2[[#This Row],[Area (mm^2)]])), Tabella2[[#This Row],[Mean AXIAL stress  (MPa)]]*Tabella2[[#This Row],[Area (mm^2)]], "Null")</f>
        <v>0</v>
      </c>
      <c r="AC38" s="8">
        <f>IF( AND(ISNUMBER(Tabella2[[#This Row],[Amplitute AXIAL stress  (MPa)]]), ISNUMBER(Tabella2[[#This Row],[Area (mm^2)]])), Tabella2[[#This Row],[Amplitute AXIAL stress  (MPa)]]*Tabella2[[#This Row],[Area (mm^2)]],"Null")</f>
        <v>5772.6765009712444</v>
      </c>
      <c r="AD38" s="8">
        <f>IF( AND(ISNUMBER(Tabella2[[#This Row],[Amplitude AXIAL force (N)]]), ISNUMBER(Tabella2[[#This Row],[Mean AXIAL force (N)]])), Tabella2[[#This Row],[Amplitude AXIAL force (N)]]+Tabella2[[#This Row],[Mean AXIAL force (N)]],"Null")</f>
        <v>5772.6765009712444</v>
      </c>
      <c r="AE3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37.5</v>
      </c>
      <c r="AI3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9" spans="1:35" x14ac:dyDescent="0.25">
      <c r="A39" s="1" t="s">
        <v>52</v>
      </c>
      <c r="B39" s="1">
        <v>2025</v>
      </c>
      <c r="C39" s="1" t="s">
        <v>51</v>
      </c>
      <c r="D39" s="1" t="s">
        <v>95</v>
      </c>
      <c r="E39" s="1">
        <v>2134461</v>
      </c>
      <c r="F39" s="1" t="s">
        <v>34</v>
      </c>
      <c r="G39" s="1" t="s">
        <v>43</v>
      </c>
      <c r="H39" s="1" t="e" vm="2">
        <v>#VALUE!</v>
      </c>
      <c r="I39" s="1" t="s">
        <v>45</v>
      </c>
      <c r="J39" s="1" t="s">
        <v>70</v>
      </c>
      <c r="K39" s="1">
        <v>14</v>
      </c>
      <c r="L39" s="8">
        <f>PI()*(Tabella2[[#This Row],[Diameter (mm)]]/2)^2</f>
        <v>153.93804002589985</v>
      </c>
      <c r="M39" s="8">
        <f>(PI()*Tabella2[[#This Row],[Diameter (mm)]]^4)/32</f>
        <v>3771.4819806345467</v>
      </c>
      <c r="N39" s="1" t="s">
        <v>35</v>
      </c>
      <c r="O39" s="1" t="s">
        <v>35</v>
      </c>
      <c r="P39" s="1" t="s">
        <v>35</v>
      </c>
      <c r="Q39" s="1">
        <v>-1</v>
      </c>
      <c r="R39" s="1" t="s">
        <v>35</v>
      </c>
      <c r="S3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9" s="1" t="s">
        <v>35</v>
      </c>
      <c r="U3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9" s="1">
        <v>37.5</v>
      </c>
      <c r="W3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9" s="7" t="s">
        <v>35</v>
      </c>
      <c r="Y39" s="7" t="str">
        <f>Tabella2[[#This Row],[Mean RADIAL stress  (MPa)]]</f>
        <v>Null</v>
      </c>
      <c r="Z39" s="7" t="str">
        <f>Tabella2[[#This Row],[Amplitute RADIAL stress  (MPa)]]</f>
        <v>Null</v>
      </c>
      <c r="AA3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9" s="8">
        <f>IF( AND(ISNUMBER(Tabella2[[#This Row],[Mean AXIAL stress  (MPa)]]), ISNUMBER(Tabella2[[#This Row],[Area (mm^2)]])), Tabella2[[#This Row],[Mean AXIAL stress  (MPa)]]*Tabella2[[#This Row],[Area (mm^2)]], "Null")</f>
        <v>0</v>
      </c>
      <c r="AC39" s="8">
        <f>IF( AND(ISNUMBER(Tabella2[[#This Row],[Amplitute AXIAL stress  (MPa)]]), ISNUMBER(Tabella2[[#This Row],[Area (mm^2)]])), Tabella2[[#This Row],[Amplitute AXIAL stress  (MPa)]]*Tabella2[[#This Row],[Area (mm^2)]],"Null")</f>
        <v>5772.6765009712444</v>
      </c>
      <c r="AD39" s="8">
        <f>IF( AND(ISNUMBER(Tabella2[[#This Row],[Amplitude AXIAL force (N)]]), ISNUMBER(Tabella2[[#This Row],[Mean AXIAL force (N)]])), Tabella2[[#This Row],[Amplitude AXIAL force (N)]]+Tabella2[[#This Row],[Mean AXIAL force (N)]],"Null")</f>
        <v>5772.6765009712444</v>
      </c>
      <c r="AE3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37.5</v>
      </c>
      <c r="AI3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0" spans="1:35" x14ac:dyDescent="0.25">
      <c r="A40" s="1" t="s">
        <v>52</v>
      </c>
      <c r="B40" s="1">
        <v>2025</v>
      </c>
      <c r="C40" s="1" t="s">
        <v>51</v>
      </c>
      <c r="D40" s="1" t="s">
        <v>96</v>
      </c>
      <c r="E40" s="1">
        <v>349731</v>
      </c>
      <c r="F40" s="1" t="s">
        <v>34</v>
      </c>
      <c r="G40" s="1" t="s">
        <v>43</v>
      </c>
      <c r="H40" s="1" t="e" vm="2">
        <v>#VALUE!</v>
      </c>
      <c r="I40" s="1" t="s">
        <v>45</v>
      </c>
      <c r="J40" s="1" t="s">
        <v>70</v>
      </c>
      <c r="K40" s="1">
        <v>14</v>
      </c>
      <c r="L40" s="8">
        <f>PI()*(Tabella2[[#This Row],[Diameter (mm)]]/2)^2</f>
        <v>153.93804002589985</v>
      </c>
      <c r="M40" s="8">
        <f>(PI()*Tabella2[[#This Row],[Diameter (mm)]]^4)/32</f>
        <v>3771.4819806345467</v>
      </c>
      <c r="N40" s="1" t="s">
        <v>35</v>
      </c>
      <c r="O40" s="1" t="s">
        <v>35</v>
      </c>
      <c r="P40" s="1" t="s">
        <v>35</v>
      </c>
      <c r="Q40" s="1">
        <v>-1</v>
      </c>
      <c r="R40" s="1" t="s">
        <v>35</v>
      </c>
      <c r="S4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0" s="1" t="s">
        <v>35</v>
      </c>
      <c r="U4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0" s="1">
        <v>50</v>
      </c>
      <c r="W4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0" s="7" t="s">
        <v>35</v>
      </c>
      <c r="Y40" s="7" t="str">
        <f>Tabella2[[#This Row],[Mean RADIAL stress  (MPa)]]</f>
        <v>Null</v>
      </c>
      <c r="Z40" s="7" t="str">
        <f>Tabella2[[#This Row],[Amplitute RADIAL stress  (MPa)]]</f>
        <v>Null</v>
      </c>
      <c r="AA4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0" s="8">
        <f>IF( AND(ISNUMBER(Tabella2[[#This Row],[Mean AXIAL stress  (MPa)]]), ISNUMBER(Tabella2[[#This Row],[Area (mm^2)]])), Tabella2[[#This Row],[Mean AXIAL stress  (MPa)]]*Tabella2[[#This Row],[Area (mm^2)]], "Null")</f>
        <v>0</v>
      </c>
      <c r="AC40" s="8">
        <f>IF( AND(ISNUMBER(Tabella2[[#This Row],[Amplitute AXIAL stress  (MPa)]]), ISNUMBER(Tabella2[[#This Row],[Area (mm^2)]])), Tabella2[[#This Row],[Amplitute AXIAL stress  (MPa)]]*Tabella2[[#This Row],[Area (mm^2)]],"Null")</f>
        <v>7696.9020012949923</v>
      </c>
      <c r="AD40" s="8">
        <f>IF( AND(ISNUMBER(Tabella2[[#This Row],[Amplitude AXIAL force (N)]]), ISNUMBER(Tabella2[[#This Row],[Mean AXIAL force (N)]])), Tabella2[[#This Row],[Amplitude AXIAL force (N)]]+Tabella2[[#This Row],[Mean AXIAL force (N)]],"Null")</f>
        <v>7696.9020012949923</v>
      </c>
      <c r="AE4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</v>
      </c>
      <c r="AI4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1" spans="1:35" x14ac:dyDescent="0.25">
      <c r="A41" s="1" t="s">
        <v>52</v>
      </c>
      <c r="B41" s="1">
        <v>2025</v>
      </c>
      <c r="C41" s="1" t="s">
        <v>51</v>
      </c>
      <c r="D41" s="1" t="s">
        <v>97</v>
      </c>
      <c r="E41" s="1">
        <v>349532</v>
      </c>
      <c r="F41" s="1" t="s">
        <v>34</v>
      </c>
      <c r="G41" s="1" t="s">
        <v>43</v>
      </c>
      <c r="H41" s="1" t="e" vm="2">
        <v>#VALUE!</v>
      </c>
      <c r="I41" s="1" t="s">
        <v>45</v>
      </c>
      <c r="J41" s="1" t="s">
        <v>70</v>
      </c>
      <c r="K41" s="1">
        <v>14</v>
      </c>
      <c r="L41" s="8">
        <f>PI()*(Tabella2[[#This Row],[Diameter (mm)]]/2)^2</f>
        <v>153.93804002589985</v>
      </c>
      <c r="M41" s="8">
        <f>(PI()*Tabella2[[#This Row],[Diameter (mm)]]^4)/32</f>
        <v>3771.4819806345467</v>
      </c>
      <c r="N41" s="1" t="s">
        <v>35</v>
      </c>
      <c r="O41" s="1" t="s">
        <v>35</v>
      </c>
      <c r="P41" s="1" t="s">
        <v>35</v>
      </c>
      <c r="Q41" s="1">
        <v>-1</v>
      </c>
      <c r="R41" s="1" t="s">
        <v>35</v>
      </c>
      <c r="S4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1" s="1" t="s">
        <v>35</v>
      </c>
      <c r="U4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1" s="1">
        <v>50</v>
      </c>
      <c r="W4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1" s="7" t="s">
        <v>35</v>
      </c>
      <c r="Y41" s="7" t="str">
        <f>Tabella2[[#This Row],[Mean RADIAL stress  (MPa)]]</f>
        <v>Null</v>
      </c>
      <c r="Z41" s="7" t="str">
        <f>Tabella2[[#This Row],[Amplitute RADIAL stress  (MPa)]]</f>
        <v>Null</v>
      </c>
      <c r="AA4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1" s="8">
        <f>IF( AND(ISNUMBER(Tabella2[[#This Row],[Mean AXIAL stress  (MPa)]]), ISNUMBER(Tabella2[[#This Row],[Area (mm^2)]])), Tabella2[[#This Row],[Mean AXIAL stress  (MPa)]]*Tabella2[[#This Row],[Area (mm^2)]], "Null")</f>
        <v>0</v>
      </c>
      <c r="AC41" s="8">
        <f>IF( AND(ISNUMBER(Tabella2[[#This Row],[Amplitute AXIAL stress  (MPa)]]), ISNUMBER(Tabella2[[#This Row],[Area (mm^2)]])), Tabella2[[#This Row],[Amplitute AXIAL stress  (MPa)]]*Tabella2[[#This Row],[Area (mm^2)]],"Null")</f>
        <v>7696.9020012949923</v>
      </c>
      <c r="AD41" s="8">
        <f>IF( AND(ISNUMBER(Tabella2[[#This Row],[Amplitude AXIAL force (N)]]), ISNUMBER(Tabella2[[#This Row],[Mean AXIAL force (N)]])), Tabella2[[#This Row],[Amplitude AXIAL force (N)]]+Tabella2[[#This Row],[Mean AXIAL force (N)]],"Null")</f>
        <v>7696.9020012949923</v>
      </c>
      <c r="AE4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</v>
      </c>
      <c r="AI4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2" spans="1:35" x14ac:dyDescent="0.25">
      <c r="A42" s="1" t="s">
        <v>52</v>
      </c>
      <c r="B42" s="1">
        <v>2025</v>
      </c>
      <c r="C42" s="1" t="s">
        <v>51</v>
      </c>
      <c r="D42" s="1" t="s">
        <v>98</v>
      </c>
      <c r="E42" s="1">
        <v>46145</v>
      </c>
      <c r="F42" s="1" t="s">
        <v>34</v>
      </c>
      <c r="G42" s="1" t="s">
        <v>43</v>
      </c>
      <c r="H42" s="1" t="e" vm="2">
        <v>#VALUE!</v>
      </c>
      <c r="I42" s="1" t="s">
        <v>45</v>
      </c>
      <c r="J42" s="1" t="s">
        <v>70</v>
      </c>
      <c r="K42" s="1">
        <v>14</v>
      </c>
      <c r="L42" s="8">
        <f>PI()*(Tabella2[[#This Row],[Diameter (mm)]]/2)^2</f>
        <v>153.93804002589985</v>
      </c>
      <c r="M42" s="8">
        <f>(PI()*Tabella2[[#This Row],[Diameter (mm)]]^4)/32</f>
        <v>3771.4819806345467</v>
      </c>
      <c r="N42" s="1" t="s">
        <v>35</v>
      </c>
      <c r="O42" s="1" t="s">
        <v>35</v>
      </c>
      <c r="P42" s="1" t="s">
        <v>35</v>
      </c>
      <c r="Q42" s="1">
        <v>-1</v>
      </c>
      <c r="R42" s="1" t="s">
        <v>35</v>
      </c>
      <c r="S4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2" s="1" t="s">
        <v>35</v>
      </c>
      <c r="U4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2" s="1">
        <v>80</v>
      </c>
      <c r="W4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2" s="7" t="s">
        <v>35</v>
      </c>
      <c r="Y42" s="7" t="str">
        <f>Tabella2[[#This Row],[Mean RADIAL stress  (MPa)]]</f>
        <v>Null</v>
      </c>
      <c r="Z42" s="7" t="str">
        <f>Tabella2[[#This Row],[Amplitute RADIAL stress  (MPa)]]</f>
        <v>Null</v>
      </c>
      <c r="AA4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2" s="8">
        <f>IF( AND(ISNUMBER(Tabella2[[#This Row],[Mean AXIAL stress  (MPa)]]), ISNUMBER(Tabella2[[#This Row],[Area (mm^2)]])), Tabella2[[#This Row],[Mean AXIAL stress  (MPa)]]*Tabella2[[#This Row],[Area (mm^2)]], "Null")</f>
        <v>0</v>
      </c>
      <c r="AC42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42" s="8">
        <f>IF( AND(ISNUMBER(Tabella2[[#This Row],[Amplitude AXIAL force (N)]]), ISNUMBER(Tabella2[[#This Row],[Mean AXIAL force (N)]])), Tabella2[[#This Row],[Amplitude AXIAL force (N)]]+Tabella2[[#This Row],[Mean AXIAL force (N)]],"Null")</f>
        <v>12315.043202071989</v>
      </c>
      <c r="AE4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  <c r="AI4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3" spans="1:35" x14ac:dyDescent="0.25">
      <c r="A43" s="1" t="s">
        <v>52</v>
      </c>
      <c r="B43" s="1">
        <v>2025</v>
      </c>
      <c r="C43" s="1" t="s">
        <v>51</v>
      </c>
      <c r="D43" s="1" t="s">
        <v>99</v>
      </c>
      <c r="E43" s="1">
        <v>43174</v>
      </c>
      <c r="F43" s="1" t="s">
        <v>34</v>
      </c>
      <c r="G43" s="1" t="s">
        <v>43</v>
      </c>
      <c r="H43" s="1" t="e" vm="2">
        <v>#VALUE!</v>
      </c>
      <c r="I43" s="1" t="s">
        <v>45</v>
      </c>
      <c r="J43" s="1" t="s">
        <v>70</v>
      </c>
      <c r="K43" s="1">
        <v>14</v>
      </c>
      <c r="L43" s="8">
        <f>PI()*(Tabella2[[#This Row],[Diameter (mm)]]/2)^2</f>
        <v>153.93804002589985</v>
      </c>
      <c r="M43" s="8">
        <f>(PI()*Tabella2[[#This Row],[Diameter (mm)]]^4)/32</f>
        <v>3771.4819806345467</v>
      </c>
      <c r="N43" s="1" t="s">
        <v>35</v>
      </c>
      <c r="O43" s="1" t="s">
        <v>35</v>
      </c>
      <c r="P43" s="1" t="s">
        <v>35</v>
      </c>
      <c r="Q43" s="1">
        <v>-1</v>
      </c>
      <c r="R43" s="1" t="s">
        <v>35</v>
      </c>
      <c r="S4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3" s="1" t="s">
        <v>35</v>
      </c>
      <c r="U4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3" s="1">
        <v>80</v>
      </c>
      <c r="W4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3" s="7" t="s">
        <v>35</v>
      </c>
      <c r="Y43" s="7" t="str">
        <f>Tabella2[[#This Row],[Mean RADIAL stress  (MPa)]]</f>
        <v>Null</v>
      </c>
      <c r="Z43" s="7" t="str">
        <f>Tabella2[[#This Row],[Amplitute RADIAL stress  (MPa)]]</f>
        <v>Null</v>
      </c>
      <c r="AA4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3" s="8">
        <f>IF( AND(ISNUMBER(Tabella2[[#This Row],[Mean AXIAL stress  (MPa)]]), ISNUMBER(Tabella2[[#This Row],[Area (mm^2)]])), Tabella2[[#This Row],[Mean AXIAL stress  (MPa)]]*Tabella2[[#This Row],[Area (mm^2)]], "Null")</f>
        <v>0</v>
      </c>
      <c r="AC43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43" s="8">
        <f>IF( AND(ISNUMBER(Tabella2[[#This Row],[Amplitude AXIAL force (N)]]), ISNUMBER(Tabella2[[#This Row],[Mean AXIAL force (N)]])), Tabella2[[#This Row],[Amplitude AXIAL force (N)]]+Tabella2[[#This Row],[Mean AXIAL force (N)]],"Null")</f>
        <v>12315.043202071989</v>
      </c>
      <c r="AE4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  <c r="AI4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4" spans="1:35" x14ac:dyDescent="0.25">
      <c r="A44" s="1" t="s">
        <v>52</v>
      </c>
      <c r="B44" s="1">
        <v>2025</v>
      </c>
      <c r="C44" s="1" t="s">
        <v>51</v>
      </c>
      <c r="D44" s="1" t="s">
        <v>100</v>
      </c>
      <c r="E44" s="1">
        <v>56022</v>
      </c>
      <c r="F44" s="1" t="s">
        <v>34</v>
      </c>
      <c r="G44" s="1" t="s">
        <v>43</v>
      </c>
      <c r="H44" s="1" t="e" vm="2">
        <v>#VALUE!</v>
      </c>
      <c r="I44" s="1" t="s">
        <v>45</v>
      </c>
      <c r="J44" s="1" t="s">
        <v>70</v>
      </c>
      <c r="K44" s="1">
        <v>14</v>
      </c>
      <c r="L44" s="8">
        <f>PI()*(Tabella2[[#This Row],[Diameter (mm)]]/2)^2</f>
        <v>153.93804002589985</v>
      </c>
      <c r="M44" s="8">
        <f>(PI()*Tabella2[[#This Row],[Diameter (mm)]]^4)/32</f>
        <v>3771.4819806345467</v>
      </c>
      <c r="N44" s="1" t="s">
        <v>35</v>
      </c>
      <c r="O44" s="1" t="s">
        <v>35</v>
      </c>
      <c r="P44" s="1" t="s">
        <v>35</v>
      </c>
      <c r="Q44" s="1">
        <v>-1</v>
      </c>
      <c r="R44" s="1" t="s">
        <v>35</v>
      </c>
      <c r="S4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4" s="1" t="s">
        <v>35</v>
      </c>
      <c r="U4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4" s="1">
        <v>80</v>
      </c>
      <c r="W4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4" s="7" t="s">
        <v>35</v>
      </c>
      <c r="Y44" s="7" t="str">
        <f>Tabella2[[#This Row],[Mean RADIAL stress  (MPa)]]</f>
        <v>Null</v>
      </c>
      <c r="Z44" s="7" t="str">
        <f>Tabella2[[#This Row],[Amplitute RADIAL stress  (MPa)]]</f>
        <v>Null</v>
      </c>
      <c r="AA4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4" s="8">
        <f>IF( AND(ISNUMBER(Tabella2[[#This Row],[Mean AXIAL stress  (MPa)]]), ISNUMBER(Tabella2[[#This Row],[Area (mm^2)]])), Tabella2[[#This Row],[Mean AXIAL stress  (MPa)]]*Tabella2[[#This Row],[Area (mm^2)]], "Null")</f>
        <v>0</v>
      </c>
      <c r="AC44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44" s="8">
        <f>IF( AND(ISNUMBER(Tabella2[[#This Row],[Amplitude AXIAL force (N)]]), ISNUMBER(Tabella2[[#This Row],[Mean AXIAL force (N)]])), Tabella2[[#This Row],[Amplitude AXIAL force (N)]]+Tabella2[[#This Row],[Mean AXIAL force (N)]],"Null")</f>
        <v>12315.043202071989</v>
      </c>
      <c r="AE4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  <c r="AI4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5" spans="1:35" x14ac:dyDescent="0.25">
      <c r="A45" s="1" t="s">
        <v>52</v>
      </c>
      <c r="B45" s="1">
        <v>2025</v>
      </c>
      <c r="C45" s="1" t="s">
        <v>51</v>
      </c>
      <c r="D45" s="1" t="s">
        <v>101</v>
      </c>
      <c r="E45" s="1">
        <v>5000000</v>
      </c>
      <c r="F45" s="1" t="s">
        <v>70</v>
      </c>
      <c r="G45" s="1" t="s">
        <v>43</v>
      </c>
      <c r="H45" s="1" t="e" vm="2">
        <v>#VALUE!</v>
      </c>
      <c r="I45" s="1" t="s">
        <v>45</v>
      </c>
      <c r="J45" s="1" t="s">
        <v>70</v>
      </c>
      <c r="K45" s="1">
        <v>14</v>
      </c>
      <c r="L45" s="8">
        <f>PI()*(Tabella2[[#This Row],[Diameter (mm)]]/2)^2</f>
        <v>153.93804002589985</v>
      </c>
      <c r="M45" s="8">
        <f>(PI()*Tabella2[[#This Row],[Diameter (mm)]]^4)/32</f>
        <v>3771.4819806345467</v>
      </c>
      <c r="N45" s="1" t="s">
        <v>35</v>
      </c>
      <c r="O45" s="1" t="s">
        <v>35</v>
      </c>
      <c r="P45" s="1" t="s">
        <v>35</v>
      </c>
      <c r="Q45" s="1">
        <v>-1</v>
      </c>
      <c r="R45" s="1" t="s">
        <v>35</v>
      </c>
      <c r="S4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5" s="1" t="s">
        <v>35</v>
      </c>
      <c r="U4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5" s="1">
        <v>40</v>
      </c>
      <c r="W4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5" s="7" t="s">
        <v>35</v>
      </c>
      <c r="Y45" s="7" t="str">
        <f>Tabella2[[#This Row],[Mean RADIAL stress  (MPa)]]</f>
        <v>Null</v>
      </c>
      <c r="Z45" s="7" t="str">
        <f>Tabella2[[#This Row],[Amplitute RADIAL stress  (MPa)]]</f>
        <v>Null</v>
      </c>
      <c r="AA4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5" s="8">
        <f>IF( AND(ISNUMBER(Tabella2[[#This Row],[Mean AXIAL stress  (MPa)]]), ISNUMBER(Tabella2[[#This Row],[Area (mm^2)]])), Tabella2[[#This Row],[Mean AXIAL stress  (MPa)]]*Tabella2[[#This Row],[Area (mm^2)]], "Null")</f>
        <v>0</v>
      </c>
      <c r="AC45" s="8">
        <f>IF( AND(ISNUMBER(Tabella2[[#This Row],[Amplitute AXIAL stress  (MPa)]]), ISNUMBER(Tabella2[[#This Row],[Area (mm^2)]])), Tabella2[[#This Row],[Amplitute AXIAL stress  (MPa)]]*Tabella2[[#This Row],[Area (mm^2)]],"Null")</f>
        <v>6157.5216010359945</v>
      </c>
      <c r="AD45" s="8">
        <f>IF( AND(ISNUMBER(Tabella2[[#This Row],[Amplitude AXIAL force (N)]]), ISNUMBER(Tabella2[[#This Row],[Mean AXIAL force (N)]])), Tabella2[[#This Row],[Amplitude AXIAL force (N)]]+Tabella2[[#This Row],[Mean AXIAL force (N)]],"Null")</f>
        <v>6157.5216010359945</v>
      </c>
      <c r="AE4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</v>
      </c>
      <c r="AI4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6" spans="1:35" x14ac:dyDescent="0.25">
      <c r="A46" s="1" t="s">
        <v>52</v>
      </c>
      <c r="B46" s="1">
        <v>2025</v>
      </c>
      <c r="C46" s="1" t="s">
        <v>51</v>
      </c>
      <c r="D46" s="1" t="s">
        <v>102</v>
      </c>
      <c r="E46" s="1">
        <v>416000</v>
      </c>
      <c r="F46" s="1" t="s">
        <v>34</v>
      </c>
      <c r="G46" s="1" t="s">
        <v>43</v>
      </c>
      <c r="H46" s="1" t="e" vm="2">
        <v>#VALUE!</v>
      </c>
      <c r="I46" s="1" t="s">
        <v>45</v>
      </c>
      <c r="J46" s="1" t="s">
        <v>70</v>
      </c>
      <c r="K46" s="1">
        <v>14</v>
      </c>
      <c r="L46" s="8">
        <f>PI()*(Tabella2[[#This Row],[Diameter (mm)]]/2)^2</f>
        <v>153.93804002589985</v>
      </c>
      <c r="M46" s="8">
        <f>(PI()*Tabella2[[#This Row],[Diameter (mm)]]^4)/32</f>
        <v>3771.4819806345467</v>
      </c>
      <c r="N46" s="1" t="s">
        <v>35</v>
      </c>
      <c r="O46" s="1" t="s">
        <v>35</v>
      </c>
      <c r="P46" s="1" t="s">
        <v>35</v>
      </c>
      <c r="Q46" s="1">
        <v>0.1</v>
      </c>
      <c r="R46" s="1" t="s">
        <v>35</v>
      </c>
      <c r="S4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6" s="1" t="s">
        <v>35</v>
      </c>
      <c r="U46" s="1">
        <f>IF(ISNUMBER(Tabella2[[#This Row],[Amplitute AXIAL stress  (MPa)]]), (1+Tabella2[[#This Row],[Load ratio (AXIAL)]])*Tabella2[[#This Row],[Amplitute AXIAL stress  (MPa)]]/(1-Tabella2[[#This Row],[Load ratio (AXIAL)]]), "Null")</f>
        <v>36.666666666666664</v>
      </c>
      <c r="V46" s="1">
        <v>30</v>
      </c>
      <c r="W4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6" s="7" t="s">
        <v>35</v>
      </c>
      <c r="Y46" s="7" t="str">
        <f>Tabella2[[#This Row],[Mean RADIAL stress  (MPa)]]</f>
        <v>Null</v>
      </c>
      <c r="Z46" s="7" t="str">
        <f>Tabella2[[#This Row],[Amplitute RADIAL stress  (MPa)]]</f>
        <v>Null</v>
      </c>
      <c r="AA4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6" s="8">
        <f>IF( AND(ISNUMBER(Tabella2[[#This Row],[Mean AXIAL stress  (MPa)]]), ISNUMBER(Tabella2[[#This Row],[Area (mm^2)]])), Tabella2[[#This Row],[Mean AXIAL stress  (MPa)]]*Tabella2[[#This Row],[Area (mm^2)]], "Null")</f>
        <v>5644.3948009496607</v>
      </c>
      <c r="AC46" s="8">
        <f>IF( AND(ISNUMBER(Tabella2[[#This Row],[Amplitute AXIAL stress  (MPa)]]), ISNUMBER(Tabella2[[#This Row],[Area (mm^2)]])), Tabella2[[#This Row],[Amplitute AXIAL stress  (MPa)]]*Tabella2[[#This Row],[Area (mm^2)]],"Null")</f>
        <v>4618.1412007769959</v>
      </c>
      <c r="AD46" s="8">
        <f>IF( AND(ISNUMBER(Tabella2[[#This Row],[Amplitude AXIAL force (N)]]), ISNUMBER(Tabella2[[#This Row],[Mean AXIAL force (N)]])), Tabella2[[#This Row],[Amplitude AXIAL force (N)]]+Tabella2[[#This Row],[Mean AXIAL force (N)]],"Null")</f>
        <v>10262.536001726658</v>
      </c>
      <c r="AE4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</v>
      </c>
      <c r="AI4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7" spans="1:35" x14ac:dyDescent="0.25">
      <c r="A47" s="1" t="s">
        <v>52</v>
      </c>
      <c r="B47" s="1">
        <v>2025</v>
      </c>
      <c r="C47" s="1" t="s">
        <v>51</v>
      </c>
      <c r="D47" s="1" t="s">
        <v>103</v>
      </c>
      <c r="E47" s="1">
        <v>476513</v>
      </c>
      <c r="F47" s="1" t="s">
        <v>34</v>
      </c>
      <c r="G47" s="1" t="s">
        <v>43</v>
      </c>
      <c r="H47" s="1" t="e" vm="2">
        <v>#VALUE!</v>
      </c>
      <c r="I47" s="1" t="s">
        <v>45</v>
      </c>
      <c r="J47" s="1" t="s">
        <v>70</v>
      </c>
      <c r="K47" s="1">
        <v>14</v>
      </c>
      <c r="L47" s="8">
        <f>PI()*(Tabella2[[#This Row],[Diameter (mm)]]/2)^2</f>
        <v>153.93804002589985</v>
      </c>
      <c r="M47" s="8">
        <f>(PI()*Tabella2[[#This Row],[Diameter (mm)]]^4)/32</f>
        <v>3771.4819806345467</v>
      </c>
      <c r="N47" s="1" t="s">
        <v>35</v>
      </c>
      <c r="O47" s="1" t="s">
        <v>35</v>
      </c>
      <c r="P47" s="1" t="s">
        <v>35</v>
      </c>
      <c r="Q47" s="1">
        <v>0.1</v>
      </c>
      <c r="R47" s="1" t="s">
        <v>35</v>
      </c>
      <c r="S4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7" s="1" t="s">
        <v>35</v>
      </c>
      <c r="U47" s="1">
        <f>IF(ISNUMBER(Tabella2[[#This Row],[Amplitute AXIAL stress  (MPa)]]), (1+Tabella2[[#This Row],[Load ratio (AXIAL)]])*Tabella2[[#This Row],[Amplitute AXIAL stress  (MPa)]]/(1-Tabella2[[#This Row],[Load ratio (AXIAL)]]), "Null")</f>
        <v>36.666666666666664</v>
      </c>
      <c r="V47" s="1">
        <v>30</v>
      </c>
      <c r="W4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7" s="7" t="s">
        <v>35</v>
      </c>
      <c r="Y47" s="7" t="str">
        <f>Tabella2[[#This Row],[Mean RADIAL stress  (MPa)]]</f>
        <v>Null</v>
      </c>
      <c r="Z47" s="7" t="str">
        <f>Tabella2[[#This Row],[Amplitute RADIAL stress  (MPa)]]</f>
        <v>Null</v>
      </c>
      <c r="AA4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7" s="8">
        <f>IF( AND(ISNUMBER(Tabella2[[#This Row],[Mean AXIAL stress  (MPa)]]), ISNUMBER(Tabella2[[#This Row],[Area (mm^2)]])), Tabella2[[#This Row],[Mean AXIAL stress  (MPa)]]*Tabella2[[#This Row],[Area (mm^2)]], "Null")</f>
        <v>5644.3948009496607</v>
      </c>
      <c r="AC47" s="8">
        <f>IF( AND(ISNUMBER(Tabella2[[#This Row],[Amplitute AXIAL stress  (MPa)]]), ISNUMBER(Tabella2[[#This Row],[Area (mm^2)]])), Tabella2[[#This Row],[Amplitute AXIAL stress  (MPa)]]*Tabella2[[#This Row],[Area (mm^2)]],"Null")</f>
        <v>4618.1412007769959</v>
      </c>
      <c r="AD47" s="8">
        <f>IF( AND(ISNUMBER(Tabella2[[#This Row],[Amplitude AXIAL force (N)]]), ISNUMBER(Tabella2[[#This Row],[Mean AXIAL force (N)]])), Tabella2[[#This Row],[Amplitude AXIAL force (N)]]+Tabella2[[#This Row],[Mean AXIAL force (N)]],"Null")</f>
        <v>10262.536001726658</v>
      </c>
      <c r="AE4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</v>
      </c>
      <c r="AI4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8" spans="1:35" x14ac:dyDescent="0.25">
      <c r="A48" s="1" t="s">
        <v>52</v>
      </c>
      <c r="B48" s="1">
        <v>2025</v>
      </c>
      <c r="C48" s="1" t="s">
        <v>51</v>
      </c>
      <c r="D48" s="1" t="s">
        <v>104</v>
      </c>
      <c r="E48" s="1">
        <v>5000000</v>
      </c>
      <c r="F48" s="1" t="s">
        <v>70</v>
      </c>
      <c r="G48" s="1" t="s">
        <v>43</v>
      </c>
      <c r="H48" s="1" t="e" vm="2">
        <v>#VALUE!</v>
      </c>
      <c r="I48" s="1" t="s">
        <v>45</v>
      </c>
      <c r="J48" s="1" t="s">
        <v>70</v>
      </c>
      <c r="K48" s="1">
        <v>14</v>
      </c>
      <c r="L48" s="8">
        <f>PI()*(Tabella2[[#This Row],[Diameter (mm)]]/2)^2</f>
        <v>153.93804002589985</v>
      </c>
      <c r="M48" s="8">
        <f>(PI()*Tabella2[[#This Row],[Diameter (mm)]]^4)/32</f>
        <v>3771.4819806345467</v>
      </c>
      <c r="N48" s="1" t="s">
        <v>35</v>
      </c>
      <c r="O48" s="1" t="s">
        <v>35</v>
      </c>
      <c r="P48" s="1" t="s">
        <v>35</v>
      </c>
      <c r="Q48" s="1">
        <v>0.1</v>
      </c>
      <c r="R48" s="1" t="s">
        <v>35</v>
      </c>
      <c r="S4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8" s="1" t="s">
        <v>35</v>
      </c>
      <c r="U48" s="1">
        <f>IF(ISNUMBER(Tabella2[[#This Row],[Amplitute AXIAL stress  (MPa)]]), (1+Tabella2[[#This Row],[Load ratio (AXIAL)]])*Tabella2[[#This Row],[Amplitute AXIAL stress  (MPa)]]/(1-Tabella2[[#This Row],[Load ratio (AXIAL)]]), "Null")</f>
        <v>24.444444444444443</v>
      </c>
      <c r="V48" s="1">
        <v>20</v>
      </c>
      <c r="W4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8" s="7" t="s">
        <v>35</v>
      </c>
      <c r="Y48" s="7" t="str">
        <f>Tabella2[[#This Row],[Mean RADIAL stress  (MPa)]]</f>
        <v>Null</v>
      </c>
      <c r="Z48" s="7" t="str">
        <f>Tabella2[[#This Row],[Amplitute RADIAL stress  (MPa)]]</f>
        <v>Null</v>
      </c>
      <c r="AA4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8" s="8">
        <f>IF( AND(ISNUMBER(Tabella2[[#This Row],[Mean AXIAL stress  (MPa)]]), ISNUMBER(Tabella2[[#This Row],[Area (mm^2)]])), Tabella2[[#This Row],[Mean AXIAL stress  (MPa)]]*Tabella2[[#This Row],[Area (mm^2)]], "Null")</f>
        <v>3762.9298672997738</v>
      </c>
      <c r="AC48" s="8">
        <f>IF( AND(ISNUMBER(Tabella2[[#This Row],[Amplitute AXIAL stress  (MPa)]]), ISNUMBER(Tabella2[[#This Row],[Area (mm^2)]])), Tabella2[[#This Row],[Amplitute AXIAL stress  (MPa)]]*Tabella2[[#This Row],[Area (mm^2)]],"Null")</f>
        <v>3078.7608005179973</v>
      </c>
      <c r="AD48" s="8">
        <f>IF( AND(ISNUMBER(Tabella2[[#This Row],[Amplitude AXIAL force (N)]]), ISNUMBER(Tabella2[[#This Row],[Mean AXIAL force (N)]])), Tabella2[[#This Row],[Amplitude AXIAL force (N)]]+Tabella2[[#This Row],[Mean AXIAL force (N)]],"Null")</f>
        <v>6841.6906678177711</v>
      </c>
      <c r="AE4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</v>
      </c>
      <c r="AI4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9" spans="1:35" x14ac:dyDescent="0.25">
      <c r="A49" s="1" t="s">
        <v>52</v>
      </c>
      <c r="B49" s="1">
        <v>2025</v>
      </c>
      <c r="C49" s="1" t="s">
        <v>51</v>
      </c>
      <c r="D49" s="1" t="s">
        <v>105</v>
      </c>
      <c r="E49" s="1">
        <v>85032</v>
      </c>
      <c r="F49" s="1" t="s">
        <v>34</v>
      </c>
      <c r="G49" s="1" t="s">
        <v>43</v>
      </c>
      <c r="H49" s="1" t="e" vm="2">
        <v>#VALUE!</v>
      </c>
      <c r="I49" s="1" t="s">
        <v>45</v>
      </c>
      <c r="J49" s="1" t="s">
        <v>70</v>
      </c>
      <c r="K49" s="1">
        <v>14</v>
      </c>
      <c r="L49" s="8">
        <f>PI()*(Tabella2[[#This Row],[Diameter (mm)]]/2)^2</f>
        <v>153.93804002589985</v>
      </c>
      <c r="M49" s="8">
        <f>(PI()*Tabella2[[#This Row],[Diameter (mm)]]^4)/32</f>
        <v>3771.4819806345467</v>
      </c>
      <c r="N49" s="1" t="s">
        <v>35</v>
      </c>
      <c r="O49" s="1" t="s">
        <v>35</v>
      </c>
      <c r="P49" s="1" t="s">
        <v>35</v>
      </c>
      <c r="Q49" s="1">
        <v>0.1</v>
      </c>
      <c r="R49" s="1" t="s">
        <v>35</v>
      </c>
      <c r="S4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9" s="1" t="s">
        <v>35</v>
      </c>
      <c r="U49" s="1">
        <f>IF(ISNUMBER(Tabella2[[#This Row],[Amplitute AXIAL stress  (MPa)]]), (1+Tabella2[[#This Row],[Load ratio (AXIAL)]])*Tabella2[[#This Row],[Amplitute AXIAL stress  (MPa)]]/(1-Tabella2[[#This Row],[Load ratio (AXIAL)]]), "Null")</f>
        <v>48.888888888888886</v>
      </c>
      <c r="V49" s="1">
        <v>40</v>
      </c>
      <c r="W4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9" s="7" t="s">
        <v>35</v>
      </c>
      <c r="Y49" s="7" t="str">
        <f>Tabella2[[#This Row],[Mean RADIAL stress  (MPa)]]</f>
        <v>Null</v>
      </c>
      <c r="Z49" s="7" t="str">
        <f>Tabella2[[#This Row],[Amplitute RADIAL stress  (MPa)]]</f>
        <v>Null</v>
      </c>
      <c r="AA4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9" s="8">
        <f>IF( AND(ISNUMBER(Tabella2[[#This Row],[Mean AXIAL stress  (MPa)]]), ISNUMBER(Tabella2[[#This Row],[Area (mm^2)]])), Tabella2[[#This Row],[Mean AXIAL stress  (MPa)]]*Tabella2[[#This Row],[Area (mm^2)]], "Null")</f>
        <v>7525.8597345995477</v>
      </c>
      <c r="AC49" s="8">
        <f>IF( AND(ISNUMBER(Tabella2[[#This Row],[Amplitute AXIAL stress  (MPa)]]), ISNUMBER(Tabella2[[#This Row],[Area (mm^2)]])), Tabella2[[#This Row],[Amplitute AXIAL stress  (MPa)]]*Tabella2[[#This Row],[Area (mm^2)]],"Null")</f>
        <v>6157.5216010359945</v>
      </c>
      <c r="AD49" s="8">
        <f>IF( AND(ISNUMBER(Tabella2[[#This Row],[Amplitude AXIAL force (N)]]), ISNUMBER(Tabella2[[#This Row],[Mean AXIAL force (N)]])), Tabella2[[#This Row],[Amplitude AXIAL force (N)]]+Tabella2[[#This Row],[Mean AXIAL force (N)]],"Null")</f>
        <v>13683.381335635542</v>
      </c>
      <c r="AE4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</v>
      </c>
      <c r="AI4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0" spans="1:35" x14ac:dyDescent="0.25">
      <c r="A50" s="1" t="s">
        <v>52</v>
      </c>
      <c r="B50" s="1">
        <v>2025</v>
      </c>
      <c r="C50" s="1" t="s">
        <v>51</v>
      </c>
      <c r="D50" s="1" t="s">
        <v>106</v>
      </c>
      <c r="E50" s="1">
        <v>125179</v>
      </c>
      <c r="F50" s="1" t="s">
        <v>34</v>
      </c>
      <c r="G50" s="1" t="s">
        <v>43</v>
      </c>
      <c r="H50" s="1" t="e" vm="2">
        <v>#VALUE!</v>
      </c>
      <c r="I50" s="1" t="s">
        <v>45</v>
      </c>
      <c r="J50" s="1" t="s">
        <v>70</v>
      </c>
      <c r="K50" s="1">
        <v>14</v>
      </c>
      <c r="L50" s="8">
        <f>PI()*(Tabella2[[#This Row],[Diameter (mm)]]/2)^2</f>
        <v>153.93804002589985</v>
      </c>
      <c r="M50" s="8">
        <f>(PI()*Tabella2[[#This Row],[Diameter (mm)]]^4)/32</f>
        <v>3771.4819806345467</v>
      </c>
      <c r="N50" s="1" t="s">
        <v>35</v>
      </c>
      <c r="O50" s="1" t="s">
        <v>35</v>
      </c>
      <c r="P50" s="1" t="s">
        <v>35</v>
      </c>
      <c r="Q50" s="1">
        <v>0.1</v>
      </c>
      <c r="R50" s="1" t="s">
        <v>35</v>
      </c>
      <c r="S5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0" s="1" t="s">
        <v>35</v>
      </c>
      <c r="U50" s="1">
        <f>IF(ISNUMBER(Tabella2[[#This Row],[Amplitute AXIAL stress  (MPa)]]), (1+Tabella2[[#This Row],[Load ratio (AXIAL)]])*Tabella2[[#This Row],[Amplitute AXIAL stress  (MPa)]]/(1-Tabella2[[#This Row],[Load ratio (AXIAL)]]), "Null")</f>
        <v>48.888888888888886</v>
      </c>
      <c r="V50" s="1">
        <v>40</v>
      </c>
      <c r="W5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0" s="7" t="s">
        <v>35</v>
      </c>
      <c r="Y50" s="7" t="str">
        <f>Tabella2[[#This Row],[Mean RADIAL stress  (MPa)]]</f>
        <v>Null</v>
      </c>
      <c r="Z50" s="7" t="str">
        <f>Tabella2[[#This Row],[Amplitute RADIAL stress  (MPa)]]</f>
        <v>Null</v>
      </c>
      <c r="AA5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0" s="8">
        <f>IF( AND(ISNUMBER(Tabella2[[#This Row],[Mean AXIAL stress  (MPa)]]), ISNUMBER(Tabella2[[#This Row],[Area (mm^2)]])), Tabella2[[#This Row],[Mean AXIAL stress  (MPa)]]*Tabella2[[#This Row],[Area (mm^2)]], "Null")</f>
        <v>7525.8597345995477</v>
      </c>
      <c r="AC50" s="8">
        <f>IF( AND(ISNUMBER(Tabella2[[#This Row],[Amplitute AXIAL stress  (MPa)]]), ISNUMBER(Tabella2[[#This Row],[Area (mm^2)]])), Tabella2[[#This Row],[Amplitute AXIAL stress  (MPa)]]*Tabella2[[#This Row],[Area (mm^2)]],"Null")</f>
        <v>6157.5216010359945</v>
      </c>
      <c r="AD50" s="8">
        <f>IF( AND(ISNUMBER(Tabella2[[#This Row],[Amplitude AXIAL force (N)]]), ISNUMBER(Tabella2[[#This Row],[Mean AXIAL force (N)]])), Tabella2[[#This Row],[Amplitude AXIAL force (N)]]+Tabella2[[#This Row],[Mean AXIAL force (N)]],"Null")</f>
        <v>13683.381335635542</v>
      </c>
      <c r="AE5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</v>
      </c>
      <c r="AI5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1" spans="1:35" x14ac:dyDescent="0.25">
      <c r="A51" s="1" t="s">
        <v>52</v>
      </c>
      <c r="B51" s="1">
        <v>2025</v>
      </c>
      <c r="C51" s="1" t="s">
        <v>51</v>
      </c>
      <c r="D51" s="1" t="s">
        <v>107</v>
      </c>
      <c r="E51" s="1">
        <v>33290</v>
      </c>
      <c r="F51" s="1" t="s">
        <v>34</v>
      </c>
      <c r="G51" s="1" t="s">
        <v>43</v>
      </c>
      <c r="H51" s="1" t="e" vm="2">
        <v>#VALUE!</v>
      </c>
      <c r="I51" s="1" t="s">
        <v>45</v>
      </c>
      <c r="J51" s="1" t="s">
        <v>70</v>
      </c>
      <c r="K51" s="1">
        <v>14</v>
      </c>
      <c r="L51" s="8">
        <f>PI()*(Tabella2[[#This Row],[Diameter (mm)]]/2)^2</f>
        <v>153.93804002589985</v>
      </c>
      <c r="M51" s="8">
        <f>(PI()*Tabella2[[#This Row],[Diameter (mm)]]^4)/32</f>
        <v>3771.4819806345467</v>
      </c>
      <c r="N51" s="1" t="s">
        <v>35</v>
      </c>
      <c r="O51" s="1" t="s">
        <v>35</v>
      </c>
      <c r="P51" s="1" t="s">
        <v>35</v>
      </c>
      <c r="Q51" s="1">
        <v>0.1</v>
      </c>
      <c r="R51" s="1" t="s">
        <v>35</v>
      </c>
      <c r="S5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1" s="1" t="s">
        <v>35</v>
      </c>
      <c r="U51" s="1">
        <f>IF(ISNUMBER(Tabella2[[#This Row],[Amplitute AXIAL stress  (MPa)]]), (1+Tabella2[[#This Row],[Load ratio (AXIAL)]])*Tabella2[[#This Row],[Amplitute AXIAL stress  (MPa)]]/(1-Tabella2[[#This Row],[Load ratio (AXIAL)]]), "Null")</f>
        <v>61.111111111111114</v>
      </c>
      <c r="V51" s="1">
        <v>50</v>
      </c>
      <c r="W5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1" s="7" t="s">
        <v>35</v>
      </c>
      <c r="Y51" s="7" t="str">
        <f>Tabella2[[#This Row],[Mean RADIAL stress  (MPa)]]</f>
        <v>Null</v>
      </c>
      <c r="Z51" s="7" t="str">
        <f>Tabella2[[#This Row],[Amplitute RADIAL stress  (MPa)]]</f>
        <v>Null</v>
      </c>
      <c r="AA5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1" s="8">
        <f>IF( AND(ISNUMBER(Tabella2[[#This Row],[Mean AXIAL stress  (MPa)]]), ISNUMBER(Tabella2[[#This Row],[Area (mm^2)]])), Tabella2[[#This Row],[Mean AXIAL stress  (MPa)]]*Tabella2[[#This Row],[Area (mm^2)]], "Null")</f>
        <v>9407.3246682494355</v>
      </c>
      <c r="AC51" s="8">
        <f>IF( AND(ISNUMBER(Tabella2[[#This Row],[Amplitute AXIAL stress  (MPa)]]), ISNUMBER(Tabella2[[#This Row],[Area (mm^2)]])), Tabella2[[#This Row],[Amplitute AXIAL stress  (MPa)]]*Tabella2[[#This Row],[Area (mm^2)]],"Null")</f>
        <v>7696.9020012949923</v>
      </c>
      <c r="AD51" s="8">
        <f>IF( AND(ISNUMBER(Tabella2[[#This Row],[Amplitude AXIAL force (N)]]), ISNUMBER(Tabella2[[#This Row],[Mean AXIAL force (N)]])), Tabella2[[#This Row],[Amplitude AXIAL force (N)]]+Tabella2[[#This Row],[Mean AXIAL force (N)]],"Null")</f>
        <v>17104.226669544427</v>
      </c>
      <c r="AE5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</v>
      </c>
      <c r="AI5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2" spans="1:35" x14ac:dyDescent="0.25">
      <c r="A52" s="1" t="s">
        <v>52</v>
      </c>
      <c r="B52" s="1">
        <v>2025</v>
      </c>
      <c r="C52" s="1" t="s">
        <v>51</v>
      </c>
      <c r="D52" s="1" t="s">
        <v>108</v>
      </c>
      <c r="E52" s="1">
        <v>3429719</v>
      </c>
      <c r="F52" s="1" t="s">
        <v>34</v>
      </c>
      <c r="G52" s="1" t="s">
        <v>43</v>
      </c>
      <c r="H52" s="1" t="e" vm="2">
        <v>#VALUE!</v>
      </c>
      <c r="I52" s="1" t="s">
        <v>45</v>
      </c>
      <c r="J52" s="1" t="s">
        <v>70</v>
      </c>
      <c r="K52" s="1">
        <v>14</v>
      </c>
      <c r="L52" s="8">
        <f>PI()*(Tabella2[[#This Row],[Diameter (mm)]]/2)^2</f>
        <v>153.93804002589985</v>
      </c>
      <c r="M52" s="8">
        <f>(PI()*Tabella2[[#This Row],[Diameter (mm)]]^4)/32</f>
        <v>3771.4819806345467</v>
      </c>
      <c r="N52" s="1" t="s">
        <v>35</v>
      </c>
      <c r="O52" s="1" t="s">
        <v>35</v>
      </c>
      <c r="P52" s="1" t="s">
        <v>35</v>
      </c>
      <c r="Q52" s="1">
        <v>0.1</v>
      </c>
      <c r="R52" s="1" t="s">
        <v>35</v>
      </c>
      <c r="S5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2" s="1" t="s">
        <v>35</v>
      </c>
      <c r="U52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52" s="1">
        <v>25</v>
      </c>
      <c r="W5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2" s="7" t="s">
        <v>35</v>
      </c>
      <c r="Y52" s="7" t="str">
        <f>Tabella2[[#This Row],[Mean RADIAL stress  (MPa)]]</f>
        <v>Null</v>
      </c>
      <c r="Z52" s="7" t="str">
        <f>Tabella2[[#This Row],[Amplitute RADIAL stress  (MPa)]]</f>
        <v>Null</v>
      </c>
      <c r="AA5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2" s="8">
        <f>IF( AND(ISNUMBER(Tabella2[[#This Row],[Mean AXIAL stress  (MPa)]]), ISNUMBER(Tabella2[[#This Row],[Area (mm^2)]])), Tabella2[[#This Row],[Mean AXIAL stress  (MPa)]]*Tabella2[[#This Row],[Area (mm^2)]], "Null")</f>
        <v>4703.6623341247177</v>
      </c>
      <c r="AC52" s="8">
        <f>IF( AND(ISNUMBER(Tabella2[[#This Row],[Amplitute AXIAL stress  (MPa)]]), ISNUMBER(Tabella2[[#This Row],[Area (mm^2)]])), Tabella2[[#This Row],[Amplitute AXIAL stress  (MPa)]]*Tabella2[[#This Row],[Area (mm^2)]],"Null")</f>
        <v>3848.4510006474961</v>
      </c>
      <c r="AD52" s="8">
        <f>IF( AND(ISNUMBER(Tabella2[[#This Row],[Amplitude AXIAL force (N)]]), ISNUMBER(Tabella2[[#This Row],[Mean AXIAL force (N)]])), Tabella2[[#This Row],[Amplitude AXIAL force (N)]]+Tabella2[[#This Row],[Mean AXIAL force (N)]],"Null")</f>
        <v>8552.1133347722134</v>
      </c>
      <c r="AE5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</v>
      </c>
      <c r="AI5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3" spans="1:35" x14ac:dyDescent="0.25">
      <c r="A53" s="1" t="s">
        <v>52</v>
      </c>
      <c r="B53" s="1">
        <v>2025</v>
      </c>
      <c r="C53" s="1" t="s">
        <v>51</v>
      </c>
      <c r="D53" s="1" t="s">
        <v>109</v>
      </c>
      <c r="E53" s="1">
        <v>5000000</v>
      </c>
      <c r="F53" s="1" t="s">
        <v>70</v>
      </c>
      <c r="G53" s="1" t="s">
        <v>43</v>
      </c>
      <c r="H53" s="1" t="e" vm="2">
        <v>#VALUE!</v>
      </c>
      <c r="I53" s="1" t="s">
        <v>45</v>
      </c>
      <c r="J53" s="1" t="s">
        <v>70</v>
      </c>
      <c r="K53" s="1">
        <v>14</v>
      </c>
      <c r="L53" s="8">
        <f>PI()*(Tabella2[[#This Row],[Diameter (mm)]]/2)^2</f>
        <v>153.93804002589985</v>
      </c>
      <c r="M53" s="8">
        <f>(PI()*Tabella2[[#This Row],[Diameter (mm)]]^4)/32</f>
        <v>3771.4819806345467</v>
      </c>
      <c r="N53" s="1" t="s">
        <v>35</v>
      </c>
      <c r="O53" s="1" t="s">
        <v>35</v>
      </c>
      <c r="P53" s="1" t="s">
        <v>35</v>
      </c>
      <c r="Q53" s="1">
        <v>0.1</v>
      </c>
      <c r="R53" s="1" t="s">
        <v>35</v>
      </c>
      <c r="S5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3" s="1" t="s">
        <v>35</v>
      </c>
      <c r="U53" s="1">
        <f>IF(ISNUMBER(Tabella2[[#This Row],[Amplitute AXIAL stress  (MPa)]]), (1+Tabella2[[#This Row],[Load ratio (AXIAL)]])*Tabella2[[#This Row],[Amplitute AXIAL stress  (MPa)]]/(1-Tabella2[[#This Row],[Load ratio (AXIAL)]]), "Null")</f>
        <v>24.444444444444443</v>
      </c>
      <c r="V53" s="1">
        <v>20</v>
      </c>
      <c r="W5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3" s="7" t="s">
        <v>35</v>
      </c>
      <c r="Y53" s="7" t="str">
        <f>Tabella2[[#This Row],[Mean RADIAL stress  (MPa)]]</f>
        <v>Null</v>
      </c>
      <c r="Z53" s="7" t="str">
        <f>Tabella2[[#This Row],[Amplitute RADIAL stress  (MPa)]]</f>
        <v>Null</v>
      </c>
      <c r="AA5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3" s="8">
        <f>IF( AND(ISNUMBER(Tabella2[[#This Row],[Mean AXIAL stress  (MPa)]]), ISNUMBER(Tabella2[[#This Row],[Area (mm^2)]])), Tabella2[[#This Row],[Mean AXIAL stress  (MPa)]]*Tabella2[[#This Row],[Area (mm^2)]], "Null")</f>
        <v>3762.9298672997738</v>
      </c>
      <c r="AC53" s="8">
        <f>IF( AND(ISNUMBER(Tabella2[[#This Row],[Amplitute AXIAL stress  (MPa)]]), ISNUMBER(Tabella2[[#This Row],[Area (mm^2)]])), Tabella2[[#This Row],[Amplitute AXIAL stress  (MPa)]]*Tabella2[[#This Row],[Area (mm^2)]],"Null")</f>
        <v>3078.7608005179973</v>
      </c>
      <c r="AD53" s="8">
        <f>IF( AND(ISNUMBER(Tabella2[[#This Row],[Amplitude AXIAL force (N)]]), ISNUMBER(Tabella2[[#This Row],[Mean AXIAL force (N)]])), Tabella2[[#This Row],[Amplitude AXIAL force (N)]]+Tabella2[[#This Row],[Mean AXIAL force (N)]],"Null")</f>
        <v>6841.6906678177711</v>
      </c>
      <c r="AE5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</v>
      </c>
      <c r="AI5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4" spans="1:35" x14ac:dyDescent="0.25">
      <c r="A54" s="1" t="s">
        <v>52</v>
      </c>
      <c r="B54" s="1">
        <v>2025</v>
      </c>
      <c r="C54" s="1" t="s">
        <v>51</v>
      </c>
      <c r="D54" s="1" t="s">
        <v>110</v>
      </c>
      <c r="E54" s="1">
        <v>38639</v>
      </c>
      <c r="F54" s="1" t="s">
        <v>34</v>
      </c>
      <c r="G54" s="1" t="s">
        <v>43</v>
      </c>
      <c r="H54" s="1" t="e" vm="2">
        <v>#VALUE!</v>
      </c>
      <c r="I54" s="1" t="s">
        <v>45</v>
      </c>
      <c r="J54" s="1" t="s">
        <v>70</v>
      </c>
      <c r="K54" s="1">
        <v>14</v>
      </c>
      <c r="L54" s="8">
        <f>PI()*(Tabella2[[#This Row],[Diameter (mm)]]/2)^2</f>
        <v>153.93804002589985</v>
      </c>
      <c r="M54" s="8">
        <f>(PI()*Tabella2[[#This Row],[Diameter (mm)]]^4)/32</f>
        <v>3771.4819806345467</v>
      </c>
      <c r="N54" s="1" t="s">
        <v>35</v>
      </c>
      <c r="O54" s="1" t="s">
        <v>35</v>
      </c>
      <c r="P54" s="1" t="s">
        <v>35</v>
      </c>
      <c r="Q54" s="1">
        <v>0.1</v>
      </c>
      <c r="R54" s="1" t="s">
        <v>35</v>
      </c>
      <c r="S5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4" s="1" t="s">
        <v>35</v>
      </c>
      <c r="U54" s="1">
        <f>IF(ISNUMBER(Tabella2[[#This Row],[Amplitute AXIAL stress  (MPa)]]), (1+Tabella2[[#This Row],[Load ratio (AXIAL)]])*Tabella2[[#This Row],[Amplitute AXIAL stress  (MPa)]]/(1-Tabella2[[#This Row],[Load ratio (AXIAL)]]), "Null")</f>
        <v>61.111111111111114</v>
      </c>
      <c r="V54" s="1">
        <v>50</v>
      </c>
      <c r="W5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4" s="7" t="s">
        <v>35</v>
      </c>
      <c r="Y54" s="7" t="str">
        <f>Tabella2[[#This Row],[Mean RADIAL stress  (MPa)]]</f>
        <v>Null</v>
      </c>
      <c r="Z54" s="7" t="str">
        <f>Tabella2[[#This Row],[Amplitute RADIAL stress  (MPa)]]</f>
        <v>Null</v>
      </c>
      <c r="AA5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4" s="8">
        <f>IF( AND(ISNUMBER(Tabella2[[#This Row],[Mean AXIAL stress  (MPa)]]), ISNUMBER(Tabella2[[#This Row],[Area (mm^2)]])), Tabella2[[#This Row],[Mean AXIAL stress  (MPa)]]*Tabella2[[#This Row],[Area (mm^2)]], "Null")</f>
        <v>9407.3246682494355</v>
      </c>
      <c r="AC54" s="8">
        <f>IF( AND(ISNUMBER(Tabella2[[#This Row],[Amplitute AXIAL stress  (MPa)]]), ISNUMBER(Tabella2[[#This Row],[Area (mm^2)]])), Tabella2[[#This Row],[Amplitute AXIAL stress  (MPa)]]*Tabella2[[#This Row],[Area (mm^2)]],"Null")</f>
        <v>7696.9020012949923</v>
      </c>
      <c r="AD54" s="8">
        <f>IF( AND(ISNUMBER(Tabella2[[#This Row],[Amplitude AXIAL force (N)]]), ISNUMBER(Tabella2[[#This Row],[Mean AXIAL force (N)]])), Tabella2[[#This Row],[Amplitude AXIAL force (N)]]+Tabella2[[#This Row],[Mean AXIAL force (N)]],"Null")</f>
        <v>17104.226669544427</v>
      </c>
      <c r="AE5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</v>
      </c>
      <c r="AI5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5" spans="1:35" x14ac:dyDescent="0.25">
      <c r="A55" s="1" t="s">
        <v>52</v>
      </c>
      <c r="B55" s="1">
        <v>2025</v>
      </c>
      <c r="C55" s="1" t="s">
        <v>51</v>
      </c>
      <c r="D55" s="1" t="s">
        <v>111</v>
      </c>
      <c r="E55" s="1">
        <v>1729712</v>
      </c>
      <c r="F55" s="1" t="s">
        <v>34</v>
      </c>
      <c r="G55" s="1" t="s">
        <v>43</v>
      </c>
      <c r="H55" s="1" t="e" vm="2">
        <v>#VALUE!</v>
      </c>
      <c r="I55" s="1" t="s">
        <v>45</v>
      </c>
      <c r="J55" s="1" t="s">
        <v>70</v>
      </c>
      <c r="K55" s="1">
        <v>14</v>
      </c>
      <c r="L55" s="8">
        <f>PI()*(Tabella2[[#This Row],[Diameter (mm)]]/2)^2</f>
        <v>153.93804002589985</v>
      </c>
      <c r="M55" s="8">
        <f>(PI()*Tabella2[[#This Row],[Diameter (mm)]]^4)/32</f>
        <v>3771.4819806345467</v>
      </c>
      <c r="N55" s="1" t="s">
        <v>35</v>
      </c>
      <c r="O55" s="1" t="s">
        <v>35</v>
      </c>
      <c r="P55" s="1" t="s">
        <v>35</v>
      </c>
      <c r="Q55" s="1">
        <v>0.1</v>
      </c>
      <c r="R55" s="1" t="s">
        <v>35</v>
      </c>
      <c r="S5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5" s="1" t="s">
        <v>35</v>
      </c>
      <c r="U55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55" s="1">
        <v>25</v>
      </c>
      <c r="W5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5" s="7" t="s">
        <v>35</v>
      </c>
      <c r="Y55" s="7" t="str">
        <f>Tabella2[[#This Row],[Mean RADIAL stress  (MPa)]]</f>
        <v>Null</v>
      </c>
      <c r="Z55" s="7" t="str">
        <f>Tabella2[[#This Row],[Amplitute RADIAL stress  (MPa)]]</f>
        <v>Null</v>
      </c>
      <c r="AA5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5" s="8">
        <f>IF( AND(ISNUMBER(Tabella2[[#This Row],[Mean AXIAL stress  (MPa)]]), ISNUMBER(Tabella2[[#This Row],[Area (mm^2)]])), Tabella2[[#This Row],[Mean AXIAL stress  (MPa)]]*Tabella2[[#This Row],[Area (mm^2)]], "Null")</f>
        <v>4703.6623341247177</v>
      </c>
      <c r="AC55" s="8">
        <f>IF( AND(ISNUMBER(Tabella2[[#This Row],[Amplitute AXIAL stress  (MPa)]]), ISNUMBER(Tabella2[[#This Row],[Area (mm^2)]])), Tabella2[[#This Row],[Amplitute AXIAL stress  (MPa)]]*Tabella2[[#This Row],[Area (mm^2)]],"Null")</f>
        <v>3848.4510006474961</v>
      </c>
      <c r="AD55" s="8">
        <f>IF( AND(ISNUMBER(Tabella2[[#This Row],[Amplitude AXIAL force (N)]]), ISNUMBER(Tabella2[[#This Row],[Mean AXIAL force (N)]])), Tabella2[[#This Row],[Amplitude AXIAL force (N)]]+Tabella2[[#This Row],[Mean AXIAL force (N)]],"Null")</f>
        <v>8552.1133347722134</v>
      </c>
      <c r="AE5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</v>
      </c>
      <c r="AI5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6" spans="1:35" x14ac:dyDescent="0.25">
      <c r="A56" s="1" t="s">
        <v>52</v>
      </c>
      <c r="B56" s="1">
        <v>2025</v>
      </c>
      <c r="C56" s="1" t="s">
        <v>51</v>
      </c>
      <c r="D56" s="1" t="s">
        <v>112</v>
      </c>
      <c r="E56" s="1">
        <v>5000000</v>
      </c>
      <c r="F56" s="1" t="s">
        <v>70</v>
      </c>
      <c r="G56" s="1" t="s">
        <v>43</v>
      </c>
      <c r="H56" s="1" t="e" vm="2">
        <v>#VALUE!</v>
      </c>
      <c r="I56" s="1" t="s">
        <v>45</v>
      </c>
      <c r="J56" s="1" t="s">
        <v>70</v>
      </c>
      <c r="K56" s="1">
        <v>14</v>
      </c>
      <c r="L56" s="8">
        <f>PI()*(Tabella2[[#This Row],[Diameter (mm)]]/2)^2</f>
        <v>153.93804002589985</v>
      </c>
      <c r="M56" s="8">
        <f>(PI()*Tabella2[[#This Row],[Diameter (mm)]]^4)/32</f>
        <v>3771.4819806345467</v>
      </c>
      <c r="N56" s="1" t="s">
        <v>35</v>
      </c>
      <c r="O56" s="1" t="s">
        <v>35</v>
      </c>
      <c r="P56" s="1" t="s">
        <v>35</v>
      </c>
      <c r="Q56" s="1">
        <v>0.1</v>
      </c>
      <c r="R56" s="1" t="s">
        <v>35</v>
      </c>
      <c r="S5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6" s="1" t="s">
        <v>35</v>
      </c>
      <c r="U56" s="1">
        <f>IF(ISNUMBER(Tabella2[[#This Row],[Amplitute AXIAL stress  (MPa)]]), (1+Tabella2[[#This Row],[Load ratio (AXIAL)]])*Tabella2[[#This Row],[Amplitute AXIAL stress  (MPa)]]/(1-Tabella2[[#This Row],[Load ratio (AXIAL)]]), "Null")</f>
        <v>27.500000000000004</v>
      </c>
      <c r="V56" s="1">
        <v>22.5</v>
      </c>
      <c r="W5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6" s="7" t="s">
        <v>35</v>
      </c>
      <c r="Y56" s="7" t="str">
        <f>Tabella2[[#This Row],[Mean RADIAL stress  (MPa)]]</f>
        <v>Null</v>
      </c>
      <c r="Z56" s="7" t="str">
        <f>Tabella2[[#This Row],[Amplitute RADIAL stress  (MPa)]]</f>
        <v>Null</v>
      </c>
      <c r="AA5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6" s="8">
        <f>IF( AND(ISNUMBER(Tabella2[[#This Row],[Mean AXIAL stress  (MPa)]]), ISNUMBER(Tabella2[[#This Row],[Area (mm^2)]])), Tabella2[[#This Row],[Mean AXIAL stress  (MPa)]]*Tabella2[[#This Row],[Area (mm^2)]], "Null")</f>
        <v>4233.2961007122467</v>
      </c>
      <c r="AC56" s="8">
        <f>IF( AND(ISNUMBER(Tabella2[[#This Row],[Amplitute AXIAL stress  (MPa)]]), ISNUMBER(Tabella2[[#This Row],[Area (mm^2)]])), Tabella2[[#This Row],[Amplitute AXIAL stress  (MPa)]]*Tabella2[[#This Row],[Area (mm^2)]],"Null")</f>
        <v>3463.6059005827465</v>
      </c>
      <c r="AD56" s="8">
        <f>IF( AND(ISNUMBER(Tabella2[[#This Row],[Amplitude AXIAL force (N)]]), ISNUMBER(Tabella2[[#This Row],[Mean AXIAL force (N)]])), Tabella2[[#This Row],[Amplitude AXIAL force (N)]]+Tabella2[[#This Row],[Mean AXIAL force (N)]],"Null")</f>
        <v>7696.9020012949932</v>
      </c>
      <c r="AE5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22.5</v>
      </c>
      <c r="AI5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7" spans="1:35" x14ac:dyDescent="0.25">
      <c r="A57" s="1" t="s">
        <v>52</v>
      </c>
      <c r="B57" s="1">
        <v>2025</v>
      </c>
      <c r="C57" s="1" t="s">
        <v>51</v>
      </c>
      <c r="D57" s="1" t="s">
        <v>113</v>
      </c>
      <c r="E57" s="1">
        <v>40702</v>
      </c>
      <c r="F57" s="1" t="s">
        <v>34</v>
      </c>
      <c r="G57" s="1" t="s">
        <v>43</v>
      </c>
      <c r="H57" s="1" t="e" vm="2">
        <v>#VALUE!</v>
      </c>
      <c r="I57" s="1" t="s">
        <v>45</v>
      </c>
      <c r="J57" s="1" t="s">
        <v>70</v>
      </c>
      <c r="K57" s="1">
        <v>14</v>
      </c>
      <c r="L57" s="8">
        <f>PI()*(Tabella2[[#This Row],[Diameter (mm)]]/2)^2</f>
        <v>153.93804002589985</v>
      </c>
      <c r="M57" s="8">
        <f>(PI()*Tabella2[[#This Row],[Diameter (mm)]]^4)/32</f>
        <v>3771.4819806345467</v>
      </c>
      <c r="N57" s="1" t="s">
        <v>35</v>
      </c>
      <c r="O57" s="1" t="s">
        <v>35</v>
      </c>
      <c r="P57" s="1" t="s">
        <v>35</v>
      </c>
      <c r="Q57" s="1">
        <v>0.1</v>
      </c>
      <c r="R57" s="1" t="s">
        <v>35</v>
      </c>
      <c r="S5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7" s="1" t="s">
        <v>35</v>
      </c>
      <c r="U57" s="1">
        <f>IF(ISNUMBER(Tabella2[[#This Row],[Amplitute AXIAL stress  (MPa)]]), (1+Tabella2[[#This Row],[Load ratio (AXIAL)]])*Tabella2[[#This Row],[Amplitute AXIAL stress  (MPa)]]/(1-Tabella2[[#This Row],[Load ratio (AXIAL)]]), "Null")</f>
        <v>61.111111111111114</v>
      </c>
      <c r="V57" s="1">
        <v>50</v>
      </c>
      <c r="W5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7" s="7" t="s">
        <v>35</v>
      </c>
      <c r="Y57" s="7" t="str">
        <f>Tabella2[[#This Row],[Mean RADIAL stress  (MPa)]]</f>
        <v>Null</v>
      </c>
      <c r="Z57" s="7" t="str">
        <f>Tabella2[[#This Row],[Amplitute RADIAL stress  (MPa)]]</f>
        <v>Null</v>
      </c>
      <c r="AA5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7" s="8">
        <f>IF( AND(ISNUMBER(Tabella2[[#This Row],[Mean AXIAL stress  (MPa)]]), ISNUMBER(Tabella2[[#This Row],[Area (mm^2)]])), Tabella2[[#This Row],[Mean AXIAL stress  (MPa)]]*Tabella2[[#This Row],[Area (mm^2)]], "Null")</f>
        <v>9407.3246682494355</v>
      </c>
      <c r="AC57" s="8">
        <f>IF( AND(ISNUMBER(Tabella2[[#This Row],[Amplitute AXIAL stress  (MPa)]]), ISNUMBER(Tabella2[[#This Row],[Area (mm^2)]])), Tabella2[[#This Row],[Amplitute AXIAL stress  (MPa)]]*Tabella2[[#This Row],[Area (mm^2)]],"Null")</f>
        <v>7696.9020012949923</v>
      </c>
      <c r="AD57" s="8">
        <f>IF( AND(ISNUMBER(Tabella2[[#This Row],[Amplitude AXIAL force (N)]]), ISNUMBER(Tabella2[[#This Row],[Mean AXIAL force (N)]])), Tabella2[[#This Row],[Amplitude AXIAL force (N)]]+Tabella2[[#This Row],[Mean AXIAL force (N)]],"Null")</f>
        <v>17104.226669544427</v>
      </c>
      <c r="AE5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</v>
      </c>
      <c r="AI5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8" spans="1:35" x14ac:dyDescent="0.25">
      <c r="A58" s="1" t="s">
        <v>52</v>
      </c>
      <c r="B58" s="1">
        <v>2025</v>
      </c>
      <c r="C58" s="1" t="s">
        <v>51</v>
      </c>
      <c r="D58" s="1" t="s">
        <v>114</v>
      </c>
      <c r="E58" s="1">
        <v>5000000</v>
      </c>
      <c r="F58" s="1" t="s">
        <v>70</v>
      </c>
      <c r="G58" s="1" t="s">
        <v>43</v>
      </c>
      <c r="H58" s="1" t="e" vm="2">
        <v>#VALUE!</v>
      </c>
      <c r="I58" s="1" t="s">
        <v>45</v>
      </c>
      <c r="J58" s="1" t="s">
        <v>70</v>
      </c>
      <c r="K58" s="1">
        <v>14</v>
      </c>
      <c r="L58" s="8">
        <f>PI()*(Tabella2[[#This Row],[Diameter (mm)]]/2)^2</f>
        <v>153.93804002589985</v>
      </c>
      <c r="M58" s="8">
        <f>(PI()*Tabella2[[#This Row],[Diameter (mm)]]^4)/32</f>
        <v>3771.4819806345467</v>
      </c>
      <c r="N58" s="1" t="s">
        <v>35</v>
      </c>
      <c r="O58" s="1" t="s">
        <v>35</v>
      </c>
      <c r="P58" s="1" t="s">
        <v>35</v>
      </c>
      <c r="Q58" s="1">
        <v>0.1</v>
      </c>
      <c r="R58" s="1" t="s">
        <v>35</v>
      </c>
      <c r="S5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8" s="1" t="s">
        <v>35</v>
      </c>
      <c r="U58" s="1">
        <f>IF(ISNUMBER(Tabella2[[#This Row],[Amplitute AXIAL stress  (MPa)]]), (1+Tabella2[[#This Row],[Load ratio (AXIAL)]])*Tabella2[[#This Row],[Amplitute AXIAL stress  (MPa)]]/(1-Tabella2[[#This Row],[Load ratio (AXIAL)]]), "Null")</f>
        <v>27.500000000000004</v>
      </c>
      <c r="V58" s="1">
        <v>22.5</v>
      </c>
      <c r="W5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8" s="7" t="s">
        <v>35</v>
      </c>
      <c r="Y58" s="7" t="str">
        <f>Tabella2[[#This Row],[Mean RADIAL stress  (MPa)]]</f>
        <v>Null</v>
      </c>
      <c r="Z58" s="7" t="str">
        <f>Tabella2[[#This Row],[Amplitute RADIAL stress  (MPa)]]</f>
        <v>Null</v>
      </c>
      <c r="AA5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8" s="8">
        <f>IF( AND(ISNUMBER(Tabella2[[#This Row],[Mean AXIAL stress  (MPa)]]), ISNUMBER(Tabella2[[#This Row],[Area (mm^2)]])), Tabella2[[#This Row],[Mean AXIAL stress  (MPa)]]*Tabella2[[#This Row],[Area (mm^2)]], "Null")</f>
        <v>4233.2961007122467</v>
      </c>
      <c r="AC58" s="8">
        <f>IF( AND(ISNUMBER(Tabella2[[#This Row],[Amplitute AXIAL stress  (MPa)]]), ISNUMBER(Tabella2[[#This Row],[Area (mm^2)]])), Tabella2[[#This Row],[Amplitute AXIAL stress  (MPa)]]*Tabella2[[#This Row],[Area (mm^2)]],"Null")</f>
        <v>3463.6059005827465</v>
      </c>
      <c r="AD58" s="8">
        <f>IF( AND(ISNUMBER(Tabella2[[#This Row],[Amplitude AXIAL force (N)]]), ISNUMBER(Tabella2[[#This Row],[Mean AXIAL force (N)]])), Tabella2[[#This Row],[Amplitude AXIAL force (N)]]+Tabella2[[#This Row],[Mean AXIAL force (N)]],"Null")</f>
        <v>7696.9020012949932</v>
      </c>
      <c r="AE5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22.5</v>
      </c>
      <c r="AI5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9" spans="1:35" x14ac:dyDescent="0.25">
      <c r="A59" s="1" t="s">
        <v>52</v>
      </c>
      <c r="B59" s="1">
        <v>2025</v>
      </c>
      <c r="C59" s="1" t="s">
        <v>51</v>
      </c>
      <c r="D59" s="1" t="s">
        <v>115</v>
      </c>
      <c r="E59" s="1">
        <v>102017</v>
      </c>
      <c r="F59" s="1" t="s">
        <v>34</v>
      </c>
      <c r="G59" s="1" t="s">
        <v>43</v>
      </c>
      <c r="H59" s="1" t="e" vm="2">
        <v>#VALUE!</v>
      </c>
      <c r="I59" s="1" t="s">
        <v>45</v>
      </c>
      <c r="J59" s="1" t="s">
        <v>70</v>
      </c>
      <c r="K59" s="1">
        <v>14</v>
      </c>
      <c r="L59" s="8">
        <f>PI()*(Tabella2[[#This Row],[Diameter (mm)]]/2)^2</f>
        <v>153.93804002589985</v>
      </c>
      <c r="M59" s="8">
        <f>(PI()*Tabella2[[#This Row],[Diameter (mm)]]^4)/32</f>
        <v>3771.4819806345467</v>
      </c>
      <c r="N59" s="1" t="s">
        <v>35</v>
      </c>
      <c r="O59" s="1" t="s">
        <v>35</v>
      </c>
      <c r="P59" s="1" t="s">
        <v>35</v>
      </c>
      <c r="Q59" s="1">
        <v>0.1</v>
      </c>
      <c r="R59" s="1" t="s">
        <v>35</v>
      </c>
      <c r="S5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9" s="1" t="s">
        <v>35</v>
      </c>
      <c r="U59" s="1">
        <f>IF(ISNUMBER(Tabella2[[#This Row],[Amplitute AXIAL stress  (MPa)]]), (1+Tabella2[[#This Row],[Load ratio (AXIAL)]])*Tabella2[[#This Row],[Amplitute AXIAL stress  (MPa)]]/(1-Tabella2[[#This Row],[Load ratio (AXIAL)]]), "Null")</f>
        <v>48.888888888888886</v>
      </c>
      <c r="V59" s="1">
        <v>40</v>
      </c>
      <c r="W5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9" s="7" t="s">
        <v>35</v>
      </c>
      <c r="Y59" s="7" t="str">
        <f>Tabella2[[#This Row],[Mean RADIAL stress  (MPa)]]</f>
        <v>Null</v>
      </c>
      <c r="Z59" s="7" t="str">
        <f>Tabella2[[#This Row],[Amplitute RADIAL stress  (MPa)]]</f>
        <v>Null</v>
      </c>
      <c r="AA5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9" s="8">
        <f>IF( AND(ISNUMBER(Tabella2[[#This Row],[Mean AXIAL stress  (MPa)]]), ISNUMBER(Tabella2[[#This Row],[Area (mm^2)]])), Tabella2[[#This Row],[Mean AXIAL stress  (MPa)]]*Tabella2[[#This Row],[Area (mm^2)]], "Null")</f>
        <v>7525.8597345995477</v>
      </c>
      <c r="AC59" s="8">
        <f>IF( AND(ISNUMBER(Tabella2[[#This Row],[Amplitute AXIAL stress  (MPa)]]), ISNUMBER(Tabella2[[#This Row],[Area (mm^2)]])), Tabella2[[#This Row],[Amplitute AXIAL stress  (MPa)]]*Tabella2[[#This Row],[Area (mm^2)]],"Null")</f>
        <v>6157.5216010359945</v>
      </c>
      <c r="AD59" s="8">
        <f>IF( AND(ISNUMBER(Tabella2[[#This Row],[Amplitude AXIAL force (N)]]), ISNUMBER(Tabella2[[#This Row],[Mean AXIAL force (N)]])), Tabella2[[#This Row],[Amplitude AXIAL force (N)]]+Tabella2[[#This Row],[Mean AXIAL force (N)]],"Null")</f>
        <v>13683.381335635542</v>
      </c>
      <c r="AE5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</v>
      </c>
      <c r="AI5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0" spans="1:35" x14ac:dyDescent="0.25">
      <c r="A60" s="1" t="s">
        <v>52</v>
      </c>
      <c r="B60" s="1">
        <v>2025</v>
      </c>
      <c r="C60" s="1" t="s">
        <v>51</v>
      </c>
      <c r="D60" s="1" t="s">
        <v>116</v>
      </c>
      <c r="E60" s="1">
        <v>1930430</v>
      </c>
      <c r="F60" s="1" t="s">
        <v>34</v>
      </c>
      <c r="G60" s="1" t="s">
        <v>43</v>
      </c>
      <c r="H60" s="1" t="e" vm="2">
        <v>#VALUE!</v>
      </c>
      <c r="I60" s="1" t="s">
        <v>45</v>
      </c>
      <c r="J60" s="1" t="s">
        <v>70</v>
      </c>
      <c r="K60" s="1">
        <v>14</v>
      </c>
      <c r="L60" s="8">
        <f>PI()*(Tabella2[[#This Row],[Diameter (mm)]]/2)^2</f>
        <v>153.93804002589985</v>
      </c>
      <c r="M60" s="8">
        <f>(PI()*Tabella2[[#This Row],[Diameter (mm)]]^4)/32</f>
        <v>3771.4819806345467</v>
      </c>
      <c r="N60" s="1" t="s">
        <v>35</v>
      </c>
      <c r="O60" s="1" t="s">
        <v>35</v>
      </c>
      <c r="P60" s="1" t="s">
        <v>35</v>
      </c>
      <c r="Q60" s="1">
        <v>0.1</v>
      </c>
      <c r="R60" s="1" t="s">
        <v>35</v>
      </c>
      <c r="S6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0" s="1" t="s">
        <v>35</v>
      </c>
      <c r="U60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60" s="1">
        <v>25</v>
      </c>
      <c r="W6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0" s="7" t="s">
        <v>35</v>
      </c>
      <c r="Y60" s="7" t="str">
        <f>Tabella2[[#This Row],[Mean RADIAL stress  (MPa)]]</f>
        <v>Null</v>
      </c>
      <c r="Z60" s="7" t="str">
        <f>Tabella2[[#This Row],[Amplitute RADIAL stress  (MPa)]]</f>
        <v>Null</v>
      </c>
      <c r="AA6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0" s="8">
        <f>IF( AND(ISNUMBER(Tabella2[[#This Row],[Mean AXIAL stress  (MPa)]]), ISNUMBER(Tabella2[[#This Row],[Area (mm^2)]])), Tabella2[[#This Row],[Mean AXIAL stress  (MPa)]]*Tabella2[[#This Row],[Area (mm^2)]], "Null")</f>
        <v>4703.6623341247177</v>
      </c>
      <c r="AC60" s="8">
        <f>IF( AND(ISNUMBER(Tabella2[[#This Row],[Amplitute AXIAL stress  (MPa)]]), ISNUMBER(Tabella2[[#This Row],[Area (mm^2)]])), Tabella2[[#This Row],[Amplitute AXIAL stress  (MPa)]]*Tabella2[[#This Row],[Area (mm^2)]],"Null")</f>
        <v>3848.4510006474961</v>
      </c>
      <c r="AD60" s="8">
        <f>IF( AND(ISNUMBER(Tabella2[[#This Row],[Amplitude AXIAL force (N)]]), ISNUMBER(Tabella2[[#This Row],[Mean AXIAL force (N)]])), Tabella2[[#This Row],[Amplitude AXIAL force (N)]]+Tabella2[[#This Row],[Mean AXIAL force (N)]],"Null")</f>
        <v>8552.1133347722134</v>
      </c>
      <c r="AE6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</v>
      </c>
      <c r="AI6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1" spans="1:35" x14ac:dyDescent="0.25">
      <c r="A61" s="1" t="s">
        <v>52</v>
      </c>
      <c r="B61" s="1">
        <v>2025</v>
      </c>
      <c r="C61" s="1" t="s">
        <v>51</v>
      </c>
      <c r="D61" s="1" t="s">
        <v>117</v>
      </c>
      <c r="E61" s="1">
        <v>5000000</v>
      </c>
      <c r="F61" s="1" t="s">
        <v>70</v>
      </c>
      <c r="G61" s="1" t="s">
        <v>43</v>
      </c>
      <c r="H61" s="1" t="e" vm="2">
        <v>#VALUE!</v>
      </c>
      <c r="I61" s="1" t="s">
        <v>45</v>
      </c>
      <c r="J61" s="1" t="s">
        <v>70</v>
      </c>
      <c r="K61" s="1">
        <v>14</v>
      </c>
      <c r="L61" s="8">
        <f>PI()*(Tabella2[[#This Row],[Diameter (mm)]]/2)^2</f>
        <v>153.93804002589985</v>
      </c>
      <c r="M61" s="8">
        <f>(PI()*Tabella2[[#This Row],[Diameter (mm)]]^4)/32</f>
        <v>3771.4819806345467</v>
      </c>
      <c r="N61" s="1" t="s">
        <v>35</v>
      </c>
      <c r="O61" s="1" t="s">
        <v>35</v>
      </c>
      <c r="P61" s="1" t="s">
        <v>35</v>
      </c>
      <c r="Q61" s="1">
        <v>0.1</v>
      </c>
      <c r="R61" s="1" t="s">
        <v>35</v>
      </c>
      <c r="S6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1" s="1" t="s">
        <v>35</v>
      </c>
      <c r="U61" s="1">
        <f>IF(ISNUMBER(Tabella2[[#This Row],[Amplitute AXIAL stress  (MPa)]]), (1+Tabella2[[#This Row],[Load ratio (AXIAL)]])*Tabella2[[#This Row],[Amplitute AXIAL stress  (MPa)]]/(1-Tabella2[[#This Row],[Load ratio (AXIAL)]]), "Null")</f>
        <v>27.500000000000004</v>
      </c>
      <c r="V61" s="1">
        <v>22.5</v>
      </c>
      <c r="W6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1" s="7" t="s">
        <v>35</v>
      </c>
      <c r="Y61" s="7" t="str">
        <f>Tabella2[[#This Row],[Mean RADIAL stress  (MPa)]]</f>
        <v>Null</v>
      </c>
      <c r="Z61" s="7" t="str">
        <f>Tabella2[[#This Row],[Amplitute RADIAL stress  (MPa)]]</f>
        <v>Null</v>
      </c>
      <c r="AA6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1" s="8">
        <f>IF( AND(ISNUMBER(Tabella2[[#This Row],[Mean AXIAL stress  (MPa)]]), ISNUMBER(Tabella2[[#This Row],[Area (mm^2)]])), Tabella2[[#This Row],[Mean AXIAL stress  (MPa)]]*Tabella2[[#This Row],[Area (mm^2)]], "Null")</f>
        <v>4233.2961007122467</v>
      </c>
      <c r="AC61" s="8">
        <f>IF( AND(ISNUMBER(Tabella2[[#This Row],[Amplitute AXIAL stress  (MPa)]]), ISNUMBER(Tabella2[[#This Row],[Area (mm^2)]])), Tabella2[[#This Row],[Amplitute AXIAL stress  (MPa)]]*Tabella2[[#This Row],[Area (mm^2)]],"Null")</f>
        <v>3463.6059005827465</v>
      </c>
      <c r="AD61" s="8">
        <f>IF( AND(ISNUMBER(Tabella2[[#This Row],[Amplitude AXIAL force (N)]]), ISNUMBER(Tabella2[[#This Row],[Mean AXIAL force (N)]])), Tabella2[[#This Row],[Amplitude AXIAL force (N)]]+Tabella2[[#This Row],[Mean AXIAL force (N)]],"Null")</f>
        <v>7696.9020012949932</v>
      </c>
      <c r="AE6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22.5</v>
      </c>
      <c r="AI6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2" spans="1:35" x14ac:dyDescent="0.25">
      <c r="A62" s="1" t="s">
        <v>52</v>
      </c>
      <c r="B62" s="1">
        <v>2025</v>
      </c>
      <c r="C62" s="1" t="s">
        <v>51</v>
      </c>
      <c r="D62" s="1" t="s">
        <v>118</v>
      </c>
      <c r="E62" s="1">
        <v>1057233</v>
      </c>
      <c r="F62" s="1" t="s">
        <v>34</v>
      </c>
      <c r="G62" s="1" t="s">
        <v>43</v>
      </c>
      <c r="H62" s="1" t="e" vm="2">
        <v>#VALUE!</v>
      </c>
      <c r="I62" s="1" t="s">
        <v>45</v>
      </c>
      <c r="J62" s="1" t="s">
        <v>70</v>
      </c>
      <c r="K62" s="1">
        <v>14</v>
      </c>
      <c r="L62" s="8">
        <f>PI()*(Tabella2[[#This Row],[Diameter (mm)]]/2)^2</f>
        <v>153.93804002589985</v>
      </c>
      <c r="M62" s="8">
        <f>(PI()*Tabella2[[#This Row],[Diameter (mm)]]^4)/32</f>
        <v>3771.4819806345467</v>
      </c>
      <c r="N62" s="1" t="s">
        <v>35</v>
      </c>
      <c r="O62" s="1" t="s">
        <v>35</v>
      </c>
      <c r="P62" s="1" t="s">
        <v>35</v>
      </c>
      <c r="Q62" s="1">
        <v>0.1</v>
      </c>
      <c r="R62" s="1" t="s">
        <v>35</v>
      </c>
      <c r="S6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2" s="1" t="s">
        <v>35</v>
      </c>
      <c r="U62" s="1">
        <f>IF(ISNUMBER(Tabella2[[#This Row],[Amplitute AXIAL stress  (MPa)]]), (1+Tabella2[[#This Row],[Load ratio (AXIAL)]])*Tabella2[[#This Row],[Amplitute AXIAL stress  (MPa)]]/(1-Tabella2[[#This Row],[Load ratio (AXIAL)]]), "Null")</f>
        <v>36.666666666666664</v>
      </c>
      <c r="V62" s="1">
        <v>30</v>
      </c>
      <c r="W6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2" s="7" t="s">
        <v>35</v>
      </c>
      <c r="Y62" s="7" t="str">
        <f>Tabella2[[#This Row],[Mean RADIAL stress  (MPa)]]</f>
        <v>Null</v>
      </c>
      <c r="Z62" s="7" t="str">
        <f>Tabella2[[#This Row],[Amplitute RADIAL stress  (MPa)]]</f>
        <v>Null</v>
      </c>
      <c r="AA6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2" s="8">
        <f>IF( AND(ISNUMBER(Tabella2[[#This Row],[Mean AXIAL stress  (MPa)]]), ISNUMBER(Tabella2[[#This Row],[Area (mm^2)]])), Tabella2[[#This Row],[Mean AXIAL stress  (MPa)]]*Tabella2[[#This Row],[Area (mm^2)]], "Null")</f>
        <v>5644.3948009496607</v>
      </c>
      <c r="AC62" s="8">
        <f>IF( AND(ISNUMBER(Tabella2[[#This Row],[Amplitute AXIAL stress  (MPa)]]), ISNUMBER(Tabella2[[#This Row],[Area (mm^2)]])), Tabella2[[#This Row],[Amplitute AXIAL stress  (MPa)]]*Tabella2[[#This Row],[Area (mm^2)]],"Null")</f>
        <v>4618.1412007769959</v>
      </c>
      <c r="AD62" s="8">
        <f>IF( AND(ISNUMBER(Tabella2[[#This Row],[Amplitude AXIAL force (N)]]), ISNUMBER(Tabella2[[#This Row],[Mean AXIAL force (N)]])), Tabella2[[#This Row],[Amplitude AXIAL force (N)]]+Tabella2[[#This Row],[Mean AXIAL force (N)]],"Null")</f>
        <v>10262.536001726658</v>
      </c>
      <c r="AE6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</v>
      </c>
      <c r="AI6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3" spans="1:35" x14ac:dyDescent="0.25">
      <c r="A63" s="1" t="s">
        <v>52</v>
      </c>
      <c r="B63" s="1">
        <v>2025</v>
      </c>
      <c r="C63" s="1" t="s">
        <v>51</v>
      </c>
      <c r="D63" s="1" t="s">
        <v>119</v>
      </c>
      <c r="E63" s="1">
        <v>143808</v>
      </c>
      <c r="F63" s="1" t="s">
        <v>34</v>
      </c>
      <c r="G63" s="1" t="s">
        <v>43</v>
      </c>
      <c r="H63" s="1" t="e" vm="3">
        <v>#VALUE!</v>
      </c>
      <c r="I63" s="1" t="s">
        <v>45</v>
      </c>
      <c r="J63" s="1" t="s">
        <v>47</v>
      </c>
      <c r="K63" s="1">
        <v>14</v>
      </c>
      <c r="L63" s="8">
        <f>PI()*(Tabella2[[#This Row],[Diameter (mm)]]/2)^2</f>
        <v>153.93804002589985</v>
      </c>
      <c r="M63" s="8">
        <f>(PI()*Tabella2[[#This Row],[Diameter (mm)]]^4)/32</f>
        <v>3771.4819806345467</v>
      </c>
      <c r="N63" s="1" t="s">
        <v>35</v>
      </c>
      <c r="O63" s="1" t="s">
        <v>35</v>
      </c>
      <c r="P63" s="1" t="s">
        <v>35</v>
      </c>
      <c r="Q63" s="1" t="s">
        <v>35</v>
      </c>
      <c r="R63" s="1">
        <v>-1</v>
      </c>
      <c r="S6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3" s="1" t="s">
        <v>35</v>
      </c>
      <c r="U6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3" s="7" t="s">
        <v>35</v>
      </c>
      <c r="W6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3" s="1">
        <v>120</v>
      </c>
      <c r="Y63" s="7" t="str">
        <f>Tabella2[[#This Row],[Mean RADIAL stress  (MPa)]]</f>
        <v>Null</v>
      </c>
      <c r="Z63" s="7" t="str">
        <f>Tabella2[[#This Row],[Amplitute RADIAL stress  (MPa)]]</f>
        <v>Null</v>
      </c>
      <c r="AA6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64653.976810877946</v>
      </c>
      <c r="AG63" s="1">
        <f>IF(
   AND(ISNUMBER(Tabella2[[#This Row],[Mean TORQUE (Nmm)]]), ISNUMBER(Tabella2[[#This Row],[Amplitude TORQUE (Nmm)]])),
   Tabella2[[#This Row],[Mean TORQUE (Nmm)]]+Tabella2[[#This Row],[Amplitude TORQUE (Nmm)]],
   "Null"
)</f>
        <v>64653.976810877946</v>
      </c>
      <c r="AH6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207.84609690826528</v>
      </c>
      <c r="AI6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4" spans="1:35" x14ac:dyDescent="0.25">
      <c r="A64" s="1" t="s">
        <v>52</v>
      </c>
      <c r="B64" s="1">
        <v>2025</v>
      </c>
      <c r="C64" s="1" t="s">
        <v>51</v>
      </c>
      <c r="D64" s="1" t="s">
        <v>120</v>
      </c>
      <c r="E64" s="1">
        <v>5000000</v>
      </c>
      <c r="F64" s="1" t="s">
        <v>70</v>
      </c>
      <c r="G64" s="1" t="s">
        <v>43</v>
      </c>
      <c r="H64" s="1" t="e" vm="3">
        <v>#VALUE!</v>
      </c>
      <c r="I64" s="1" t="s">
        <v>45</v>
      </c>
      <c r="J64" s="1" t="s">
        <v>47</v>
      </c>
      <c r="K64" s="1">
        <v>14</v>
      </c>
      <c r="L64" s="8">
        <f>PI()*(Tabella2[[#This Row],[Diameter (mm)]]/2)^2</f>
        <v>153.93804002589985</v>
      </c>
      <c r="M64" s="8">
        <f>(PI()*Tabella2[[#This Row],[Diameter (mm)]]^4)/32</f>
        <v>3771.4819806345467</v>
      </c>
      <c r="N64" s="1" t="s">
        <v>35</v>
      </c>
      <c r="O64" s="1" t="s">
        <v>35</v>
      </c>
      <c r="P64" s="1" t="s">
        <v>35</v>
      </c>
      <c r="Q64" s="1" t="s">
        <v>35</v>
      </c>
      <c r="R64" s="1">
        <v>-1</v>
      </c>
      <c r="S6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4" s="1" t="s">
        <v>35</v>
      </c>
      <c r="U6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4" s="7" t="s">
        <v>35</v>
      </c>
      <c r="W6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4" s="1">
        <v>100</v>
      </c>
      <c r="Y64" s="7" t="str">
        <f>Tabella2[[#This Row],[Mean RADIAL stress  (MPa)]]</f>
        <v>Null</v>
      </c>
      <c r="Z64" s="7" t="str">
        <f>Tabella2[[#This Row],[Amplitute RADIAL stress  (MPa)]]</f>
        <v>Null</v>
      </c>
      <c r="AA6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53878.314009064947</v>
      </c>
      <c r="AG64" s="1">
        <f>IF(
   AND(ISNUMBER(Tabella2[[#This Row],[Mean TORQUE (Nmm)]]), ISNUMBER(Tabella2[[#This Row],[Amplitude TORQUE (Nmm)]])),
   Tabella2[[#This Row],[Mean TORQUE (Nmm)]]+Tabella2[[#This Row],[Amplitude TORQUE (Nmm)]],
   "Null"
)</f>
        <v>53878.314009064947</v>
      </c>
      <c r="AH6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173.20508075688772</v>
      </c>
      <c r="AI6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5" spans="1:35" x14ac:dyDescent="0.25">
      <c r="A65" s="1" t="s">
        <v>52</v>
      </c>
      <c r="B65" s="1">
        <v>2025</v>
      </c>
      <c r="C65" s="1" t="s">
        <v>51</v>
      </c>
      <c r="D65" s="1" t="s">
        <v>121</v>
      </c>
      <c r="E65" s="1">
        <v>2058247</v>
      </c>
      <c r="F65" s="1" t="s">
        <v>34</v>
      </c>
      <c r="G65" s="1" t="s">
        <v>43</v>
      </c>
      <c r="H65" s="1" t="e" vm="3">
        <v>#VALUE!</v>
      </c>
      <c r="I65" s="1" t="s">
        <v>45</v>
      </c>
      <c r="J65" s="1" t="s">
        <v>47</v>
      </c>
      <c r="K65" s="1">
        <v>14</v>
      </c>
      <c r="L65" s="8">
        <f>PI()*(Tabella2[[#This Row],[Diameter (mm)]]/2)^2</f>
        <v>153.93804002589985</v>
      </c>
      <c r="M65" s="8">
        <f>(PI()*Tabella2[[#This Row],[Diameter (mm)]]^4)/32</f>
        <v>3771.4819806345467</v>
      </c>
      <c r="N65" s="1" t="s">
        <v>35</v>
      </c>
      <c r="O65" s="1" t="s">
        <v>35</v>
      </c>
      <c r="P65" s="1" t="s">
        <v>35</v>
      </c>
      <c r="Q65" s="1" t="s">
        <v>35</v>
      </c>
      <c r="R65" s="1">
        <v>-1</v>
      </c>
      <c r="S6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5" s="1" t="s">
        <v>35</v>
      </c>
      <c r="U6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5" s="7" t="s">
        <v>35</v>
      </c>
      <c r="W6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5" s="1">
        <v>110</v>
      </c>
      <c r="Y65" s="7" t="str">
        <f>Tabella2[[#This Row],[Mean RADIAL stress  (MPa)]]</f>
        <v>Null</v>
      </c>
      <c r="Z65" s="7" t="str">
        <f>Tabella2[[#This Row],[Amplitute RADIAL stress  (MPa)]]</f>
        <v>Null</v>
      </c>
      <c r="AA6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65" s="1">
        <f>IF(
   AND(ISNUMBER(Tabella2[[#This Row],[Mean TORQUE (Nmm)]]), ISNUMBER(Tabella2[[#This Row],[Amplitude TORQUE (Nmm)]])),
   Tabella2[[#This Row],[Mean TORQUE (Nmm)]]+Tabella2[[#This Row],[Amplitude TORQUE (Nmm)]],
   "Null"
)</f>
        <v>59266.145409971454</v>
      </c>
      <c r="AH6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  <c r="AI6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6" spans="1:35" x14ac:dyDescent="0.25">
      <c r="A66" s="1" t="s">
        <v>52</v>
      </c>
      <c r="B66" s="1">
        <v>2025</v>
      </c>
      <c r="C66" s="1" t="s">
        <v>51</v>
      </c>
      <c r="D66" s="1" t="s">
        <v>122</v>
      </c>
      <c r="E66" s="1">
        <v>777084</v>
      </c>
      <c r="F66" s="1" t="s">
        <v>34</v>
      </c>
      <c r="G66" s="1" t="s">
        <v>43</v>
      </c>
      <c r="H66" s="1" t="e" vm="3">
        <v>#VALUE!</v>
      </c>
      <c r="I66" s="1" t="s">
        <v>45</v>
      </c>
      <c r="J66" s="1" t="s">
        <v>47</v>
      </c>
      <c r="K66" s="1">
        <v>14</v>
      </c>
      <c r="L66" s="8">
        <f>PI()*(Tabella2[[#This Row],[Diameter (mm)]]/2)^2</f>
        <v>153.93804002589985</v>
      </c>
      <c r="M66" s="8">
        <f>(PI()*Tabella2[[#This Row],[Diameter (mm)]]^4)/32</f>
        <v>3771.4819806345467</v>
      </c>
      <c r="N66" s="1" t="s">
        <v>35</v>
      </c>
      <c r="O66" s="1" t="s">
        <v>35</v>
      </c>
      <c r="P66" s="1" t="s">
        <v>35</v>
      </c>
      <c r="Q66" s="1" t="s">
        <v>35</v>
      </c>
      <c r="R66" s="1">
        <v>-1</v>
      </c>
      <c r="S6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6" s="1" t="s">
        <v>35</v>
      </c>
      <c r="U6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6" s="7" t="s">
        <v>35</v>
      </c>
      <c r="W6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6" s="1">
        <v>110</v>
      </c>
      <c r="Y66" s="7" t="str">
        <f>Tabella2[[#This Row],[Mean RADIAL stress  (MPa)]]</f>
        <v>Null</v>
      </c>
      <c r="Z66" s="7" t="str">
        <f>Tabella2[[#This Row],[Amplitute RADIAL stress  (MPa)]]</f>
        <v>Null</v>
      </c>
      <c r="AA6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66" s="1">
        <f>IF(
   AND(ISNUMBER(Tabella2[[#This Row],[Mean TORQUE (Nmm)]]), ISNUMBER(Tabella2[[#This Row],[Amplitude TORQUE (Nmm)]])),
   Tabella2[[#This Row],[Mean TORQUE (Nmm)]]+Tabella2[[#This Row],[Amplitude TORQUE (Nmm)]],
   "Null"
)</f>
        <v>59266.145409971454</v>
      </c>
      <c r="AH6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  <c r="AI6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7" spans="1:35" x14ac:dyDescent="0.25">
      <c r="A67" s="1" t="s">
        <v>52</v>
      </c>
      <c r="B67" s="1">
        <v>2025</v>
      </c>
      <c r="C67" s="1" t="s">
        <v>51</v>
      </c>
      <c r="D67" s="1" t="s">
        <v>123</v>
      </c>
      <c r="E67" s="1">
        <v>533834</v>
      </c>
      <c r="F67" s="1" t="s">
        <v>34</v>
      </c>
      <c r="G67" s="1" t="s">
        <v>43</v>
      </c>
      <c r="H67" s="1" t="e" vm="3">
        <v>#VALUE!</v>
      </c>
      <c r="I67" s="1" t="s">
        <v>45</v>
      </c>
      <c r="J67" s="1" t="s">
        <v>47</v>
      </c>
      <c r="K67" s="1">
        <v>14</v>
      </c>
      <c r="L67" s="8">
        <f>PI()*(Tabella2[[#This Row],[Diameter (mm)]]/2)^2</f>
        <v>153.93804002589985</v>
      </c>
      <c r="M67" s="8">
        <f>(PI()*Tabella2[[#This Row],[Diameter (mm)]]^4)/32</f>
        <v>3771.4819806345467</v>
      </c>
      <c r="N67" s="1" t="s">
        <v>35</v>
      </c>
      <c r="O67" s="1" t="s">
        <v>35</v>
      </c>
      <c r="P67" s="1" t="s">
        <v>35</v>
      </c>
      <c r="Q67" s="1" t="s">
        <v>35</v>
      </c>
      <c r="R67" s="1">
        <v>-1</v>
      </c>
      <c r="S6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7" s="1" t="s">
        <v>35</v>
      </c>
      <c r="U6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7" s="7" t="s">
        <v>35</v>
      </c>
      <c r="W6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7" s="1">
        <v>110</v>
      </c>
      <c r="Y67" s="7" t="str">
        <f>Tabella2[[#This Row],[Mean RADIAL stress  (MPa)]]</f>
        <v>Null</v>
      </c>
      <c r="Z67" s="7" t="str">
        <f>Tabella2[[#This Row],[Amplitute RADIAL stress  (MPa)]]</f>
        <v>Null</v>
      </c>
      <c r="AA6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67" s="1">
        <f>IF(
   AND(ISNUMBER(Tabella2[[#This Row],[Mean TORQUE (Nmm)]]), ISNUMBER(Tabella2[[#This Row],[Amplitude TORQUE (Nmm)]])),
   Tabella2[[#This Row],[Mean TORQUE (Nmm)]]+Tabella2[[#This Row],[Amplitude TORQUE (Nmm)]],
   "Null"
)</f>
        <v>59266.145409971454</v>
      </c>
      <c r="AH6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  <c r="AI6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8" spans="1:35" x14ac:dyDescent="0.25">
      <c r="A68" s="1" t="s">
        <v>52</v>
      </c>
      <c r="B68" s="1">
        <v>2025</v>
      </c>
      <c r="C68" s="1" t="s">
        <v>51</v>
      </c>
      <c r="D68" s="1" t="s">
        <v>124</v>
      </c>
      <c r="E68" s="1">
        <v>718065</v>
      </c>
      <c r="F68" s="1" t="s">
        <v>34</v>
      </c>
      <c r="G68" s="1" t="s">
        <v>43</v>
      </c>
      <c r="H68" s="1" t="e" vm="3">
        <v>#VALUE!</v>
      </c>
      <c r="I68" s="1" t="s">
        <v>45</v>
      </c>
      <c r="J68" s="1" t="s">
        <v>47</v>
      </c>
      <c r="K68" s="1">
        <v>14</v>
      </c>
      <c r="L68" s="8">
        <f>PI()*(Tabella2[[#This Row],[Diameter (mm)]]/2)^2</f>
        <v>153.93804002589985</v>
      </c>
      <c r="M68" s="8">
        <f>(PI()*Tabella2[[#This Row],[Diameter (mm)]]^4)/32</f>
        <v>3771.4819806345467</v>
      </c>
      <c r="N68" s="1" t="s">
        <v>35</v>
      </c>
      <c r="O68" s="1" t="s">
        <v>35</v>
      </c>
      <c r="P68" s="1" t="s">
        <v>35</v>
      </c>
      <c r="Q68" s="1" t="s">
        <v>35</v>
      </c>
      <c r="R68" s="1">
        <v>-1</v>
      </c>
      <c r="S6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8" s="1" t="s">
        <v>35</v>
      </c>
      <c r="U6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8" s="7" t="s">
        <v>35</v>
      </c>
      <c r="W6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8" s="1">
        <v>120</v>
      </c>
      <c r="Y68" s="7" t="str">
        <f>Tabella2[[#This Row],[Mean RADIAL stress  (MPa)]]</f>
        <v>Null</v>
      </c>
      <c r="Z68" s="7" t="str">
        <f>Tabella2[[#This Row],[Amplitute RADIAL stress  (MPa)]]</f>
        <v>Null</v>
      </c>
      <c r="AA6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64653.976810877946</v>
      </c>
      <c r="AG68" s="1">
        <f>IF(
   AND(ISNUMBER(Tabella2[[#This Row],[Mean TORQUE (Nmm)]]), ISNUMBER(Tabella2[[#This Row],[Amplitude TORQUE (Nmm)]])),
   Tabella2[[#This Row],[Mean TORQUE (Nmm)]]+Tabella2[[#This Row],[Amplitude TORQUE (Nmm)]],
   "Null"
)</f>
        <v>64653.976810877946</v>
      </c>
      <c r="AH6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207.84609690826528</v>
      </c>
      <c r="AI6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9" spans="1:35" x14ac:dyDescent="0.25">
      <c r="A69" s="1" t="s">
        <v>52</v>
      </c>
      <c r="B69" s="1">
        <v>2025</v>
      </c>
      <c r="C69" s="1" t="s">
        <v>51</v>
      </c>
      <c r="D69" s="1" t="s">
        <v>125</v>
      </c>
      <c r="E69" s="1">
        <v>988380</v>
      </c>
      <c r="F69" s="1" t="s">
        <v>34</v>
      </c>
      <c r="G69" s="1" t="s">
        <v>43</v>
      </c>
      <c r="H69" s="1" t="e" vm="3">
        <v>#VALUE!</v>
      </c>
      <c r="I69" s="1" t="s">
        <v>45</v>
      </c>
      <c r="J69" s="1" t="s">
        <v>47</v>
      </c>
      <c r="K69" s="1">
        <v>14</v>
      </c>
      <c r="L69" s="8">
        <f>PI()*(Tabella2[[#This Row],[Diameter (mm)]]/2)^2</f>
        <v>153.93804002589985</v>
      </c>
      <c r="M69" s="8">
        <f>(PI()*Tabella2[[#This Row],[Diameter (mm)]]^4)/32</f>
        <v>3771.4819806345467</v>
      </c>
      <c r="N69" s="1" t="s">
        <v>35</v>
      </c>
      <c r="O69" s="1" t="s">
        <v>35</v>
      </c>
      <c r="P69" s="1" t="s">
        <v>35</v>
      </c>
      <c r="Q69" s="1" t="s">
        <v>35</v>
      </c>
      <c r="R69" s="1">
        <v>-1</v>
      </c>
      <c r="S6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9" s="1" t="s">
        <v>35</v>
      </c>
      <c r="U6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9" s="7" t="s">
        <v>35</v>
      </c>
      <c r="W6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9" s="1">
        <v>120</v>
      </c>
      <c r="Y69" s="7" t="str">
        <f>Tabella2[[#This Row],[Mean RADIAL stress  (MPa)]]</f>
        <v>Null</v>
      </c>
      <c r="Z69" s="7" t="str">
        <f>Tabella2[[#This Row],[Amplitute RADIAL stress  (MPa)]]</f>
        <v>Null</v>
      </c>
      <c r="AA6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64653.976810877946</v>
      </c>
      <c r="AG69" s="1">
        <f>IF(
   AND(ISNUMBER(Tabella2[[#This Row],[Mean TORQUE (Nmm)]]), ISNUMBER(Tabella2[[#This Row],[Amplitude TORQUE (Nmm)]])),
   Tabella2[[#This Row],[Mean TORQUE (Nmm)]]+Tabella2[[#This Row],[Amplitude TORQUE (Nmm)]],
   "Null"
)</f>
        <v>64653.976810877946</v>
      </c>
      <c r="AH6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207.84609690826528</v>
      </c>
      <c r="AI6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0" spans="1:35" x14ac:dyDescent="0.25">
      <c r="A70" s="1" t="s">
        <v>52</v>
      </c>
      <c r="B70" s="1">
        <v>2025</v>
      </c>
      <c r="C70" s="1" t="s">
        <v>51</v>
      </c>
      <c r="D70" s="1" t="s">
        <v>126</v>
      </c>
      <c r="E70" s="1">
        <v>511810</v>
      </c>
      <c r="F70" s="1" t="s">
        <v>34</v>
      </c>
      <c r="G70" s="1" t="s">
        <v>43</v>
      </c>
      <c r="H70" s="1" t="e" vm="3">
        <v>#VALUE!</v>
      </c>
      <c r="I70" s="1" t="s">
        <v>45</v>
      </c>
      <c r="J70" s="1" t="s">
        <v>47</v>
      </c>
      <c r="K70" s="1">
        <v>14</v>
      </c>
      <c r="L70" s="8">
        <f>PI()*(Tabella2[[#This Row],[Diameter (mm)]]/2)^2</f>
        <v>153.93804002589985</v>
      </c>
      <c r="M70" s="8">
        <f>(PI()*Tabella2[[#This Row],[Diameter (mm)]]^4)/32</f>
        <v>3771.4819806345467</v>
      </c>
      <c r="N70" s="1" t="s">
        <v>35</v>
      </c>
      <c r="O70" s="1" t="s">
        <v>35</v>
      </c>
      <c r="P70" s="1" t="s">
        <v>35</v>
      </c>
      <c r="Q70" s="1" t="s">
        <v>35</v>
      </c>
      <c r="R70" s="1">
        <v>-1</v>
      </c>
      <c r="S7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0" s="1" t="s">
        <v>35</v>
      </c>
      <c r="U7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0" s="7" t="s">
        <v>35</v>
      </c>
      <c r="W7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0" s="1">
        <v>130</v>
      </c>
      <c r="Y70" s="7" t="str">
        <f>Tabella2[[#This Row],[Mean RADIAL stress  (MPa)]]</f>
        <v>Null</v>
      </c>
      <c r="Z70" s="7" t="str">
        <f>Tabella2[[#This Row],[Amplitute RADIAL stress  (MPa)]]</f>
        <v>Null</v>
      </c>
      <c r="AA7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70041.808211784431</v>
      </c>
      <c r="AG70" s="1">
        <f>IF(
   AND(ISNUMBER(Tabella2[[#This Row],[Mean TORQUE (Nmm)]]), ISNUMBER(Tabella2[[#This Row],[Amplitude TORQUE (Nmm)]])),
   Tabella2[[#This Row],[Mean TORQUE (Nmm)]]+Tabella2[[#This Row],[Amplitude TORQUE (Nmm)]],
   "Null"
)</f>
        <v>70041.808211784431</v>
      </c>
      <c r="AH7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225.16660498395404</v>
      </c>
      <c r="AI7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1" spans="1:35" x14ac:dyDescent="0.25">
      <c r="A71" s="1" t="s">
        <v>52</v>
      </c>
      <c r="B71" s="1">
        <v>2025</v>
      </c>
      <c r="C71" s="1" t="s">
        <v>51</v>
      </c>
      <c r="D71" s="1" t="s">
        <v>127</v>
      </c>
      <c r="E71" s="1">
        <v>653299</v>
      </c>
      <c r="F71" s="1" t="s">
        <v>34</v>
      </c>
      <c r="G71" s="1" t="s">
        <v>43</v>
      </c>
      <c r="H71" s="1" t="e" vm="3">
        <v>#VALUE!</v>
      </c>
      <c r="I71" s="1" t="s">
        <v>45</v>
      </c>
      <c r="J71" s="1" t="s">
        <v>47</v>
      </c>
      <c r="K71" s="1">
        <v>14</v>
      </c>
      <c r="L71" s="8">
        <f>PI()*(Tabella2[[#This Row],[Diameter (mm)]]/2)^2</f>
        <v>153.93804002589985</v>
      </c>
      <c r="M71" s="8">
        <f>(PI()*Tabella2[[#This Row],[Diameter (mm)]]^4)/32</f>
        <v>3771.4819806345467</v>
      </c>
      <c r="N71" s="1" t="s">
        <v>35</v>
      </c>
      <c r="O71" s="1" t="s">
        <v>35</v>
      </c>
      <c r="P71" s="1" t="s">
        <v>35</v>
      </c>
      <c r="Q71" s="1" t="s">
        <v>35</v>
      </c>
      <c r="R71" s="1">
        <v>-1</v>
      </c>
      <c r="S7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1" s="1" t="s">
        <v>35</v>
      </c>
      <c r="U7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1" s="7" t="s">
        <v>35</v>
      </c>
      <c r="W7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1" s="1">
        <v>130</v>
      </c>
      <c r="Y71" s="7" t="str">
        <f>Tabella2[[#This Row],[Mean RADIAL stress  (MPa)]]</f>
        <v>Null</v>
      </c>
      <c r="Z71" s="7" t="str">
        <f>Tabella2[[#This Row],[Amplitute RADIAL stress  (MPa)]]</f>
        <v>Null</v>
      </c>
      <c r="AA7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70041.808211784431</v>
      </c>
      <c r="AG71" s="1">
        <f>IF(
   AND(ISNUMBER(Tabella2[[#This Row],[Mean TORQUE (Nmm)]]), ISNUMBER(Tabella2[[#This Row],[Amplitude TORQUE (Nmm)]])),
   Tabella2[[#This Row],[Mean TORQUE (Nmm)]]+Tabella2[[#This Row],[Amplitude TORQUE (Nmm)]],
   "Null"
)</f>
        <v>70041.808211784431</v>
      </c>
      <c r="AH7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225.16660498395404</v>
      </c>
      <c r="AI7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2" spans="1:35" x14ac:dyDescent="0.25">
      <c r="A72" s="1" t="s">
        <v>52</v>
      </c>
      <c r="B72" s="1">
        <v>2025</v>
      </c>
      <c r="C72" s="1" t="s">
        <v>51</v>
      </c>
      <c r="D72" s="1" t="s">
        <v>128</v>
      </c>
      <c r="E72" s="1">
        <v>258105</v>
      </c>
      <c r="F72" s="1" t="s">
        <v>34</v>
      </c>
      <c r="G72" s="1" t="s">
        <v>43</v>
      </c>
      <c r="H72" s="1" t="e" vm="3">
        <v>#VALUE!</v>
      </c>
      <c r="I72" s="1" t="s">
        <v>45</v>
      </c>
      <c r="J72" s="1" t="s">
        <v>47</v>
      </c>
      <c r="K72" s="1">
        <v>14</v>
      </c>
      <c r="L72" s="8">
        <f>PI()*(Tabella2[[#This Row],[Diameter (mm)]]/2)^2</f>
        <v>153.93804002589985</v>
      </c>
      <c r="M72" s="8">
        <f>(PI()*Tabella2[[#This Row],[Diameter (mm)]]^4)/32</f>
        <v>3771.4819806345467</v>
      </c>
      <c r="N72" s="1" t="s">
        <v>35</v>
      </c>
      <c r="O72" s="1" t="s">
        <v>35</v>
      </c>
      <c r="P72" s="1" t="s">
        <v>35</v>
      </c>
      <c r="Q72" s="1" t="s">
        <v>35</v>
      </c>
      <c r="R72" s="1">
        <v>-1</v>
      </c>
      <c r="S7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2" s="1" t="s">
        <v>35</v>
      </c>
      <c r="U7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2" s="7" t="s">
        <v>35</v>
      </c>
      <c r="W7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2" s="1">
        <v>140</v>
      </c>
      <c r="Y72" s="7" t="str">
        <f>Tabella2[[#This Row],[Mean RADIAL stress  (MPa)]]</f>
        <v>Null</v>
      </c>
      <c r="Z72" s="7" t="str">
        <f>Tabella2[[#This Row],[Amplitute RADIAL stress  (MPa)]]</f>
        <v>Null</v>
      </c>
      <c r="AA7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75429.639612690924</v>
      </c>
      <c r="AG72" s="1">
        <f>IF(
   AND(ISNUMBER(Tabella2[[#This Row],[Mean TORQUE (Nmm)]]), ISNUMBER(Tabella2[[#This Row],[Amplitude TORQUE (Nmm)]])),
   Tabella2[[#This Row],[Mean TORQUE (Nmm)]]+Tabella2[[#This Row],[Amplitude TORQUE (Nmm)]],
   "Null"
)</f>
        <v>75429.639612690924</v>
      </c>
      <c r="AH7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242.48711305964281</v>
      </c>
      <c r="AI7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3" spans="1:35" x14ac:dyDescent="0.25">
      <c r="A73" s="1" t="s">
        <v>52</v>
      </c>
      <c r="B73" s="1">
        <v>2025</v>
      </c>
      <c r="C73" s="1" t="s">
        <v>51</v>
      </c>
      <c r="D73" s="1" t="s">
        <v>129</v>
      </c>
      <c r="E73" s="1">
        <v>70916</v>
      </c>
      <c r="F73" s="1" t="s">
        <v>34</v>
      </c>
      <c r="G73" s="1" t="s">
        <v>43</v>
      </c>
      <c r="H73" s="1" t="e" vm="3">
        <v>#VALUE!</v>
      </c>
      <c r="I73" s="1" t="s">
        <v>45</v>
      </c>
      <c r="J73" s="1" t="s">
        <v>47</v>
      </c>
      <c r="K73" s="1">
        <v>14</v>
      </c>
      <c r="L73" s="8">
        <f>PI()*(Tabella2[[#This Row],[Diameter (mm)]]/2)^2</f>
        <v>153.93804002589985</v>
      </c>
      <c r="M73" s="8">
        <f>(PI()*Tabella2[[#This Row],[Diameter (mm)]]^4)/32</f>
        <v>3771.4819806345467</v>
      </c>
      <c r="N73" s="1" t="s">
        <v>35</v>
      </c>
      <c r="O73" s="1" t="s">
        <v>35</v>
      </c>
      <c r="P73" s="1" t="s">
        <v>35</v>
      </c>
      <c r="Q73" s="1" t="s">
        <v>35</v>
      </c>
      <c r="R73" s="1">
        <v>-1</v>
      </c>
      <c r="S7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3" s="1" t="s">
        <v>35</v>
      </c>
      <c r="U7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3" s="7" t="s">
        <v>35</v>
      </c>
      <c r="W7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3" s="1">
        <v>140</v>
      </c>
      <c r="Y73" s="7" t="str">
        <f>Tabella2[[#This Row],[Mean RADIAL stress  (MPa)]]</f>
        <v>Null</v>
      </c>
      <c r="Z73" s="7" t="str">
        <f>Tabella2[[#This Row],[Amplitute RADIAL stress  (MPa)]]</f>
        <v>Null</v>
      </c>
      <c r="AA7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75429.639612690924</v>
      </c>
      <c r="AG73" s="1">
        <f>IF(
   AND(ISNUMBER(Tabella2[[#This Row],[Mean TORQUE (Nmm)]]), ISNUMBER(Tabella2[[#This Row],[Amplitude TORQUE (Nmm)]])),
   Tabella2[[#This Row],[Mean TORQUE (Nmm)]]+Tabella2[[#This Row],[Amplitude TORQUE (Nmm)]],
   "Null"
)</f>
        <v>75429.639612690924</v>
      </c>
      <c r="AH7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242.48711305964281</v>
      </c>
      <c r="AI7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4" spans="1:35" x14ac:dyDescent="0.25">
      <c r="A74" s="1" t="s">
        <v>52</v>
      </c>
      <c r="B74" s="1">
        <v>2025</v>
      </c>
      <c r="C74" s="1" t="s">
        <v>51</v>
      </c>
      <c r="D74" s="1" t="s">
        <v>130</v>
      </c>
      <c r="E74" s="1">
        <v>68178</v>
      </c>
      <c r="F74" s="1" t="s">
        <v>34</v>
      </c>
      <c r="G74" s="1" t="s">
        <v>43</v>
      </c>
      <c r="H74" s="1" t="e" vm="3">
        <v>#VALUE!</v>
      </c>
      <c r="I74" s="1" t="s">
        <v>45</v>
      </c>
      <c r="J74" s="1" t="s">
        <v>47</v>
      </c>
      <c r="K74" s="1">
        <v>14</v>
      </c>
      <c r="L74" s="8">
        <f>PI()*(Tabella2[[#This Row],[Diameter (mm)]]/2)^2</f>
        <v>153.93804002589985</v>
      </c>
      <c r="M74" s="8">
        <f>(PI()*Tabella2[[#This Row],[Diameter (mm)]]^4)/32</f>
        <v>3771.4819806345467</v>
      </c>
      <c r="N74" s="1" t="s">
        <v>35</v>
      </c>
      <c r="O74" s="1" t="s">
        <v>35</v>
      </c>
      <c r="P74" s="1" t="s">
        <v>35</v>
      </c>
      <c r="Q74" s="1" t="s">
        <v>35</v>
      </c>
      <c r="R74" s="1">
        <v>-1</v>
      </c>
      <c r="S7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4" s="1" t="s">
        <v>35</v>
      </c>
      <c r="U7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4" s="7" t="s">
        <v>35</v>
      </c>
      <c r="W7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4" s="1">
        <v>150</v>
      </c>
      <c r="Y74" s="7" t="str">
        <f>Tabella2[[#This Row],[Mean RADIAL stress  (MPa)]]</f>
        <v>Null</v>
      </c>
      <c r="Z74" s="7" t="str">
        <f>Tabella2[[#This Row],[Amplitute RADIAL stress  (MPa)]]</f>
        <v>Null</v>
      </c>
      <c r="AA7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80817.471013597431</v>
      </c>
      <c r="AG74" s="1">
        <f>IF(
   AND(ISNUMBER(Tabella2[[#This Row],[Mean TORQUE (Nmm)]]), ISNUMBER(Tabella2[[#This Row],[Amplitude TORQUE (Nmm)]])),
   Tabella2[[#This Row],[Mean TORQUE (Nmm)]]+Tabella2[[#This Row],[Amplitude TORQUE (Nmm)]],
   "Null"
)</f>
        <v>80817.471013597431</v>
      </c>
      <c r="AH7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259.8076211353316</v>
      </c>
      <c r="AI7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5" spans="1:35" x14ac:dyDescent="0.25">
      <c r="A75" s="1" t="s">
        <v>52</v>
      </c>
      <c r="B75" s="1">
        <v>2025</v>
      </c>
      <c r="C75" s="1" t="s">
        <v>51</v>
      </c>
      <c r="D75" s="1" t="s">
        <v>131</v>
      </c>
      <c r="E75" s="1">
        <v>1748831</v>
      </c>
      <c r="F75" s="1" t="s">
        <v>34</v>
      </c>
      <c r="G75" s="1" t="s">
        <v>43</v>
      </c>
      <c r="H75" s="1" t="e" vm="3">
        <v>#VALUE!</v>
      </c>
      <c r="I75" s="1" t="s">
        <v>45</v>
      </c>
      <c r="J75" s="1" t="s">
        <v>47</v>
      </c>
      <c r="K75" s="1">
        <v>14</v>
      </c>
      <c r="L75" s="8">
        <f>PI()*(Tabella2[[#This Row],[Diameter (mm)]]/2)^2</f>
        <v>153.93804002589985</v>
      </c>
      <c r="M75" s="8">
        <f>(PI()*Tabella2[[#This Row],[Diameter (mm)]]^4)/32</f>
        <v>3771.4819806345467</v>
      </c>
      <c r="N75" s="1" t="s">
        <v>35</v>
      </c>
      <c r="O75" s="1" t="s">
        <v>35</v>
      </c>
      <c r="P75" s="1" t="s">
        <v>35</v>
      </c>
      <c r="Q75" s="1" t="s">
        <v>35</v>
      </c>
      <c r="R75" s="1">
        <v>-1</v>
      </c>
      <c r="S7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5" s="1" t="s">
        <v>35</v>
      </c>
      <c r="U7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5" s="7" t="s">
        <v>35</v>
      </c>
      <c r="W7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5" s="1">
        <v>105</v>
      </c>
      <c r="Y75" s="7" t="str">
        <f>Tabella2[[#This Row],[Mean RADIAL stress  (MPa)]]</f>
        <v>Null</v>
      </c>
      <c r="Z75" s="7" t="str">
        <f>Tabella2[[#This Row],[Amplitute RADIAL stress  (MPa)]]</f>
        <v>Null</v>
      </c>
      <c r="AA7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56572.2297095182</v>
      </c>
      <c r="AG75" s="1">
        <f>IF(
   AND(ISNUMBER(Tabella2[[#This Row],[Mean TORQUE (Nmm)]]), ISNUMBER(Tabella2[[#This Row],[Amplitude TORQUE (Nmm)]])),
   Tabella2[[#This Row],[Mean TORQUE (Nmm)]]+Tabella2[[#This Row],[Amplitude TORQUE (Nmm)]],
   "Null"
)</f>
        <v>56572.2297095182</v>
      </c>
      <c r="AH7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181.86533479473212</v>
      </c>
      <c r="AI7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6" spans="1:35" x14ac:dyDescent="0.25">
      <c r="A76" s="1" t="s">
        <v>52</v>
      </c>
      <c r="B76" s="1">
        <v>2025</v>
      </c>
      <c r="C76" s="1" t="s">
        <v>51</v>
      </c>
      <c r="D76" s="1" t="s">
        <v>132</v>
      </c>
      <c r="E76" s="1">
        <v>882194</v>
      </c>
      <c r="F76" s="1" t="s">
        <v>34</v>
      </c>
      <c r="G76" s="1" t="s">
        <v>43</v>
      </c>
      <c r="H76" s="1" t="e" vm="3">
        <v>#VALUE!</v>
      </c>
      <c r="I76" s="1" t="s">
        <v>45</v>
      </c>
      <c r="J76" s="1" t="s">
        <v>47</v>
      </c>
      <c r="K76" s="1">
        <v>14</v>
      </c>
      <c r="L76" s="8">
        <f>PI()*(Tabella2[[#This Row],[Diameter (mm)]]/2)^2</f>
        <v>153.93804002589985</v>
      </c>
      <c r="M76" s="8">
        <f>(PI()*Tabella2[[#This Row],[Diameter (mm)]]^4)/32</f>
        <v>3771.4819806345467</v>
      </c>
      <c r="N76" s="1" t="s">
        <v>35</v>
      </c>
      <c r="O76" s="1" t="s">
        <v>35</v>
      </c>
      <c r="P76" s="1" t="s">
        <v>35</v>
      </c>
      <c r="Q76" s="1" t="s">
        <v>35</v>
      </c>
      <c r="R76" s="1">
        <v>0.1</v>
      </c>
      <c r="S7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6" s="1" t="s">
        <v>35</v>
      </c>
      <c r="U7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6" s="7" t="s">
        <v>35</v>
      </c>
      <c r="W76" s="7">
        <f>IF(ISNUMBER(Tabella2[[#This Row],[Amplitute SHEAR stress  (MPa)]]), (1+Tabella2[[#This Row],[Load ratio (TORSIONAL)]])*Tabella2[[#This Row],[Amplitute SHEAR stress  (MPa)]]/(1-Tabella2[[#This Row],[Load ratio (TORSIONAL)]]), "Null")</f>
        <v>122.22222222222223</v>
      </c>
      <c r="X76" s="1">
        <v>100</v>
      </c>
      <c r="Y76" s="7" t="str">
        <f>Tabella2[[#This Row],[Mean RADIAL stress  (MPa)]]</f>
        <v>Null</v>
      </c>
      <c r="Z76" s="7" t="str">
        <f>Tabella2[[#This Row],[Amplitute RADIAL stress  (MPa)]]</f>
        <v>Null</v>
      </c>
      <c r="AA7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65851.272677746063</v>
      </c>
      <c r="AF7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53878.314009064947</v>
      </c>
      <c r="AG76" s="1">
        <f>IF(
   AND(ISNUMBER(Tabella2[[#This Row],[Mean TORQUE (Nmm)]]), ISNUMBER(Tabella2[[#This Row],[Amplitude TORQUE (Nmm)]])),
   Tabella2[[#This Row],[Mean TORQUE (Nmm)]]+Tabella2[[#This Row],[Amplitude TORQUE (Nmm)]],
   "Null"
)</f>
        <v>119729.586686811</v>
      </c>
      <c r="AH7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173.20508075688772</v>
      </c>
      <c r="AI7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7" spans="1:35" x14ac:dyDescent="0.25">
      <c r="A77" s="1" t="s">
        <v>52</v>
      </c>
      <c r="B77" s="1">
        <v>2025</v>
      </c>
      <c r="C77" s="1" t="s">
        <v>51</v>
      </c>
      <c r="D77" s="1" t="s">
        <v>133</v>
      </c>
      <c r="E77" s="1">
        <v>2190698</v>
      </c>
      <c r="F77" s="1" t="s">
        <v>34</v>
      </c>
      <c r="G77" s="1" t="s">
        <v>43</v>
      </c>
      <c r="H77" s="1" t="e" vm="3">
        <v>#VALUE!</v>
      </c>
      <c r="I77" s="1" t="s">
        <v>45</v>
      </c>
      <c r="J77" s="1" t="s">
        <v>47</v>
      </c>
      <c r="K77" s="1">
        <v>14</v>
      </c>
      <c r="L77" s="8">
        <f>PI()*(Tabella2[[#This Row],[Diameter (mm)]]/2)^2</f>
        <v>153.93804002589985</v>
      </c>
      <c r="M77" s="8">
        <f>(PI()*Tabella2[[#This Row],[Diameter (mm)]]^4)/32</f>
        <v>3771.4819806345467</v>
      </c>
      <c r="N77" s="1" t="s">
        <v>35</v>
      </c>
      <c r="O77" s="1" t="s">
        <v>35</v>
      </c>
      <c r="P77" s="1" t="s">
        <v>35</v>
      </c>
      <c r="Q77" s="1" t="s">
        <v>35</v>
      </c>
      <c r="R77" s="1">
        <v>0.1</v>
      </c>
      <c r="S7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7" s="1" t="s">
        <v>35</v>
      </c>
      <c r="U7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7" s="7" t="s">
        <v>35</v>
      </c>
      <c r="W77" s="7">
        <f>IF(ISNUMBER(Tabella2[[#This Row],[Amplitute SHEAR stress  (MPa)]]), (1+Tabella2[[#This Row],[Load ratio (TORSIONAL)]])*Tabella2[[#This Row],[Amplitute SHEAR stress  (MPa)]]/(1-Tabella2[[#This Row],[Load ratio (TORSIONAL)]]), "Null")</f>
        <v>122.22222222222223</v>
      </c>
      <c r="X77" s="1">
        <v>100</v>
      </c>
      <c r="Y77" s="7" t="str">
        <f>Tabella2[[#This Row],[Mean RADIAL stress  (MPa)]]</f>
        <v>Null</v>
      </c>
      <c r="Z77" s="7" t="str">
        <f>Tabella2[[#This Row],[Amplitute RADIAL stress  (MPa)]]</f>
        <v>Null</v>
      </c>
      <c r="AA7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65851.272677746063</v>
      </c>
      <c r="AF7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53878.314009064947</v>
      </c>
      <c r="AG77" s="1">
        <f>IF(
   AND(ISNUMBER(Tabella2[[#This Row],[Mean TORQUE (Nmm)]]), ISNUMBER(Tabella2[[#This Row],[Amplitude TORQUE (Nmm)]])),
   Tabella2[[#This Row],[Mean TORQUE (Nmm)]]+Tabella2[[#This Row],[Amplitude TORQUE (Nmm)]],
   "Null"
)</f>
        <v>119729.586686811</v>
      </c>
      <c r="AH7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173.20508075688772</v>
      </c>
      <c r="AI7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8" spans="1:35" x14ac:dyDescent="0.25">
      <c r="A78" s="1" t="s">
        <v>52</v>
      </c>
      <c r="B78" s="1">
        <v>2025</v>
      </c>
      <c r="C78" s="1" t="s">
        <v>51</v>
      </c>
      <c r="D78" s="1" t="s">
        <v>134</v>
      </c>
      <c r="E78" s="1">
        <v>3951740</v>
      </c>
      <c r="F78" s="1" t="s">
        <v>34</v>
      </c>
      <c r="G78" s="1" t="s">
        <v>43</v>
      </c>
      <c r="H78" s="1" t="e" vm="3">
        <v>#VALUE!</v>
      </c>
      <c r="I78" s="1" t="s">
        <v>45</v>
      </c>
      <c r="J78" s="1" t="s">
        <v>47</v>
      </c>
      <c r="K78" s="1">
        <v>14</v>
      </c>
      <c r="L78" s="8">
        <f>PI()*(Tabella2[[#This Row],[Diameter (mm)]]/2)^2</f>
        <v>153.93804002589985</v>
      </c>
      <c r="M78" s="8">
        <f>(PI()*Tabella2[[#This Row],[Diameter (mm)]]^4)/32</f>
        <v>3771.4819806345467</v>
      </c>
      <c r="N78" s="1" t="s">
        <v>35</v>
      </c>
      <c r="O78" s="1" t="s">
        <v>35</v>
      </c>
      <c r="P78" s="1" t="s">
        <v>35</v>
      </c>
      <c r="Q78" s="1" t="s">
        <v>35</v>
      </c>
      <c r="R78" s="1">
        <v>0.1</v>
      </c>
      <c r="S7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8" s="1" t="s">
        <v>35</v>
      </c>
      <c r="U7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8" s="7" t="s">
        <v>35</v>
      </c>
      <c r="W78" s="7">
        <f>IF(ISNUMBER(Tabella2[[#This Row],[Amplitute SHEAR stress  (MPa)]]), (1+Tabella2[[#This Row],[Load ratio (TORSIONAL)]])*Tabella2[[#This Row],[Amplitute SHEAR stress  (MPa)]]/(1-Tabella2[[#This Row],[Load ratio (TORSIONAL)]]), "Null")</f>
        <v>110.00000000000001</v>
      </c>
      <c r="X78" s="1">
        <v>90</v>
      </c>
      <c r="Y78" s="7" t="str">
        <f>Tabella2[[#This Row],[Mean RADIAL stress  (MPa)]]</f>
        <v>Null</v>
      </c>
      <c r="Z78" s="7" t="str">
        <f>Tabella2[[#This Row],[Amplitute RADIAL stress  (MPa)]]</f>
        <v>Null</v>
      </c>
      <c r="AA7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59266.145409971461</v>
      </c>
      <c r="AF7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48490.482608158454</v>
      </c>
      <c r="AG78" s="1">
        <f>IF(
   AND(ISNUMBER(Tabella2[[#This Row],[Mean TORQUE (Nmm)]]), ISNUMBER(Tabella2[[#This Row],[Amplitude TORQUE (Nmm)]])),
   Tabella2[[#This Row],[Mean TORQUE (Nmm)]]+Tabella2[[#This Row],[Amplitude TORQUE (Nmm)]],
   "Null"
)</f>
        <v>107756.62801812991</v>
      </c>
      <c r="AH7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155.88457268119896</v>
      </c>
      <c r="AI7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9" spans="1:35" x14ac:dyDescent="0.25">
      <c r="A79" s="1" t="s">
        <v>52</v>
      </c>
      <c r="B79" s="1">
        <v>2025</v>
      </c>
      <c r="C79" s="1" t="s">
        <v>51</v>
      </c>
      <c r="D79" s="1" t="s">
        <v>135</v>
      </c>
      <c r="E79" s="1">
        <v>299734</v>
      </c>
      <c r="F79" s="1" t="s">
        <v>34</v>
      </c>
      <c r="G79" s="1" t="s">
        <v>43</v>
      </c>
      <c r="H79" s="1" t="e" vm="3">
        <v>#VALUE!</v>
      </c>
      <c r="I79" s="1" t="s">
        <v>45</v>
      </c>
      <c r="J79" s="1" t="s">
        <v>47</v>
      </c>
      <c r="K79" s="1">
        <v>14</v>
      </c>
      <c r="L79" s="8">
        <f>PI()*(Tabella2[[#This Row],[Diameter (mm)]]/2)^2</f>
        <v>153.93804002589985</v>
      </c>
      <c r="M79" s="8">
        <f>(PI()*Tabella2[[#This Row],[Diameter (mm)]]^4)/32</f>
        <v>3771.4819806345467</v>
      </c>
      <c r="N79" s="1" t="s">
        <v>35</v>
      </c>
      <c r="O79" s="1" t="s">
        <v>35</v>
      </c>
      <c r="P79" s="1" t="s">
        <v>35</v>
      </c>
      <c r="Q79" s="1" t="s">
        <v>35</v>
      </c>
      <c r="R79" s="1">
        <v>0.1</v>
      </c>
      <c r="S7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9" s="1" t="s">
        <v>35</v>
      </c>
      <c r="U7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9" s="7" t="s">
        <v>35</v>
      </c>
      <c r="W79" s="7">
        <f>IF(ISNUMBER(Tabella2[[#This Row],[Amplitute SHEAR stress  (MPa)]]), (1+Tabella2[[#This Row],[Load ratio (TORSIONAL)]])*Tabella2[[#This Row],[Amplitute SHEAR stress  (MPa)]]/(1-Tabella2[[#This Row],[Load ratio (TORSIONAL)]]), "Null")</f>
        <v>134.44444444444446</v>
      </c>
      <c r="X79" s="1">
        <v>110</v>
      </c>
      <c r="Y79" s="7" t="str">
        <f>Tabella2[[#This Row],[Mean RADIAL stress  (MPa)]]</f>
        <v>Null</v>
      </c>
      <c r="Z79" s="7" t="str">
        <f>Tabella2[[#This Row],[Amplitute RADIAL stress  (MPa)]]</f>
        <v>Null</v>
      </c>
      <c r="AA7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72436.399945520665</v>
      </c>
      <c r="AF7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79" s="1">
        <f>IF(
   AND(ISNUMBER(Tabella2[[#This Row],[Mean TORQUE (Nmm)]]), ISNUMBER(Tabella2[[#This Row],[Amplitude TORQUE (Nmm)]])),
   Tabella2[[#This Row],[Mean TORQUE (Nmm)]]+Tabella2[[#This Row],[Amplitude TORQUE (Nmm)]],
   "Null"
)</f>
        <v>131702.54535549213</v>
      </c>
      <c r="AH7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  <c r="AI7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0" spans="1:35" x14ac:dyDescent="0.25">
      <c r="A80" s="1" t="s">
        <v>52</v>
      </c>
      <c r="B80" s="1">
        <v>2025</v>
      </c>
      <c r="C80" s="1" t="s">
        <v>51</v>
      </c>
      <c r="D80" s="1" t="s">
        <v>136</v>
      </c>
      <c r="E80" s="1">
        <v>5000000</v>
      </c>
      <c r="F80" s="1" t="s">
        <v>70</v>
      </c>
      <c r="G80" s="1" t="s">
        <v>43</v>
      </c>
      <c r="H80" s="1" t="e" vm="3">
        <v>#VALUE!</v>
      </c>
      <c r="I80" s="1" t="s">
        <v>45</v>
      </c>
      <c r="J80" s="1" t="s">
        <v>47</v>
      </c>
      <c r="K80" s="1">
        <v>14</v>
      </c>
      <c r="L80" s="8">
        <f>PI()*(Tabella2[[#This Row],[Diameter (mm)]]/2)^2</f>
        <v>153.93804002589985</v>
      </c>
      <c r="M80" s="8">
        <f>(PI()*Tabella2[[#This Row],[Diameter (mm)]]^4)/32</f>
        <v>3771.4819806345467</v>
      </c>
      <c r="N80" s="1" t="s">
        <v>35</v>
      </c>
      <c r="O80" s="1" t="s">
        <v>35</v>
      </c>
      <c r="P80" s="1" t="s">
        <v>35</v>
      </c>
      <c r="Q80" s="1" t="s">
        <v>35</v>
      </c>
      <c r="R80" s="1">
        <v>0.1</v>
      </c>
      <c r="S8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0" s="1" t="s">
        <v>35</v>
      </c>
      <c r="U8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0" s="7" t="s">
        <v>35</v>
      </c>
      <c r="W80" s="7">
        <f>IF(ISNUMBER(Tabella2[[#This Row],[Amplitute SHEAR stress  (MPa)]]), (1+Tabella2[[#This Row],[Load ratio (TORSIONAL)]])*Tabella2[[#This Row],[Amplitute SHEAR stress  (MPa)]]/(1-Tabella2[[#This Row],[Load ratio (TORSIONAL)]]), "Null")</f>
        <v>110.00000000000001</v>
      </c>
      <c r="X80" s="1">
        <v>90</v>
      </c>
      <c r="Y80" s="7" t="str">
        <f>Tabella2[[#This Row],[Mean RADIAL stress  (MPa)]]</f>
        <v>Null</v>
      </c>
      <c r="Z80" s="7" t="str">
        <f>Tabella2[[#This Row],[Amplitute RADIAL stress  (MPa)]]</f>
        <v>Null</v>
      </c>
      <c r="AA8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59266.145409971461</v>
      </c>
      <c r="AF8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48490.482608158454</v>
      </c>
      <c r="AG80" s="1">
        <f>IF(
   AND(ISNUMBER(Tabella2[[#This Row],[Mean TORQUE (Nmm)]]), ISNUMBER(Tabella2[[#This Row],[Amplitude TORQUE (Nmm)]])),
   Tabella2[[#This Row],[Mean TORQUE (Nmm)]]+Tabella2[[#This Row],[Amplitude TORQUE (Nmm)]],
   "Null"
)</f>
        <v>107756.62801812991</v>
      </c>
      <c r="AH8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155.88457268119896</v>
      </c>
      <c r="AI8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1" spans="1:35" x14ac:dyDescent="0.25">
      <c r="A81" s="1" t="s">
        <v>52</v>
      </c>
      <c r="B81" s="1">
        <v>2025</v>
      </c>
      <c r="C81" s="1" t="s">
        <v>51</v>
      </c>
      <c r="D81" s="1" t="s">
        <v>137</v>
      </c>
      <c r="E81" s="1">
        <v>159624</v>
      </c>
      <c r="F81" s="1" t="s">
        <v>34</v>
      </c>
      <c r="G81" s="1" t="s">
        <v>43</v>
      </c>
      <c r="H81" s="1" t="e" vm="3">
        <v>#VALUE!</v>
      </c>
      <c r="I81" s="1" t="s">
        <v>45</v>
      </c>
      <c r="J81" s="1" t="s">
        <v>47</v>
      </c>
      <c r="K81" s="1">
        <v>14</v>
      </c>
      <c r="L81" s="8">
        <f>PI()*(Tabella2[[#This Row],[Diameter (mm)]]/2)^2</f>
        <v>153.93804002589985</v>
      </c>
      <c r="M81" s="8">
        <f>(PI()*Tabella2[[#This Row],[Diameter (mm)]]^4)/32</f>
        <v>3771.4819806345467</v>
      </c>
      <c r="N81" s="1" t="s">
        <v>35</v>
      </c>
      <c r="O81" s="1" t="s">
        <v>35</v>
      </c>
      <c r="P81" s="1" t="s">
        <v>35</v>
      </c>
      <c r="Q81" s="1" t="s">
        <v>35</v>
      </c>
      <c r="R81" s="1">
        <v>0.1</v>
      </c>
      <c r="S8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1" s="1" t="s">
        <v>35</v>
      </c>
      <c r="U8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1" s="7" t="s">
        <v>35</v>
      </c>
      <c r="W81" s="7">
        <f>IF(ISNUMBER(Tabella2[[#This Row],[Amplitute SHEAR stress  (MPa)]]), (1+Tabella2[[#This Row],[Load ratio (TORSIONAL)]])*Tabella2[[#This Row],[Amplitute SHEAR stress  (MPa)]]/(1-Tabella2[[#This Row],[Load ratio (TORSIONAL)]]), "Null")</f>
        <v>146.66666666666666</v>
      </c>
      <c r="X81" s="1">
        <v>120</v>
      </c>
      <c r="Y81" s="7" t="str">
        <f>Tabella2[[#This Row],[Mean RADIAL stress  (MPa)]]</f>
        <v>Null</v>
      </c>
      <c r="Z81" s="7" t="str">
        <f>Tabella2[[#This Row],[Amplitute RADIAL stress  (MPa)]]</f>
        <v>Null</v>
      </c>
      <c r="AA8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79021.527213295252</v>
      </c>
      <c r="AF8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64653.976810877946</v>
      </c>
      <c r="AG81" s="1">
        <f>IF(
   AND(ISNUMBER(Tabella2[[#This Row],[Mean TORQUE (Nmm)]]), ISNUMBER(Tabella2[[#This Row],[Amplitude TORQUE (Nmm)]])),
   Tabella2[[#This Row],[Mean TORQUE (Nmm)]]+Tabella2[[#This Row],[Amplitude TORQUE (Nmm)]],
   "Null"
)</f>
        <v>143675.50402417319</v>
      </c>
      <c r="AH8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207.84609690826528</v>
      </c>
      <c r="AI8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2" spans="1:35" x14ac:dyDescent="0.25">
      <c r="A82" s="1" t="s">
        <v>52</v>
      </c>
      <c r="B82" s="1">
        <v>2025</v>
      </c>
      <c r="C82" s="1" t="s">
        <v>51</v>
      </c>
      <c r="D82" s="1" t="s">
        <v>138</v>
      </c>
      <c r="E82" s="1">
        <v>1281142</v>
      </c>
      <c r="F82" s="1" t="s">
        <v>34</v>
      </c>
      <c r="G82" s="1" t="s">
        <v>43</v>
      </c>
      <c r="H82" s="1" t="e" vm="3">
        <v>#VALUE!</v>
      </c>
      <c r="I82" s="1" t="s">
        <v>45</v>
      </c>
      <c r="J82" s="1" t="s">
        <v>47</v>
      </c>
      <c r="K82" s="1">
        <v>14</v>
      </c>
      <c r="L82" s="8">
        <f>PI()*(Tabella2[[#This Row],[Diameter (mm)]]/2)^2</f>
        <v>153.93804002589985</v>
      </c>
      <c r="M82" s="8">
        <f>(PI()*Tabella2[[#This Row],[Diameter (mm)]]^4)/32</f>
        <v>3771.4819806345467</v>
      </c>
      <c r="N82" s="1" t="s">
        <v>35</v>
      </c>
      <c r="O82" s="1" t="s">
        <v>35</v>
      </c>
      <c r="P82" s="1" t="s">
        <v>35</v>
      </c>
      <c r="Q82" s="1" t="s">
        <v>35</v>
      </c>
      <c r="R82" s="1">
        <v>0.1</v>
      </c>
      <c r="S8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2" s="1" t="s">
        <v>35</v>
      </c>
      <c r="U8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2" s="7" t="s">
        <v>35</v>
      </c>
      <c r="W82" s="7">
        <f>IF(ISNUMBER(Tabella2[[#This Row],[Amplitute SHEAR stress  (MPa)]]), (1+Tabella2[[#This Row],[Load ratio (TORSIONAL)]])*Tabella2[[#This Row],[Amplitute SHEAR stress  (MPa)]]/(1-Tabella2[[#This Row],[Load ratio (TORSIONAL)]]), "Null")</f>
        <v>122.22222222222223</v>
      </c>
      <c r="X82" s="1">
        <v>100</v>
      </c>
      <c r="Y82" s="7" t="str">
        <f>Tabella2[[#This Row],[Mean RADIAL stress  (MPa)]]</f>
        <v>Null</v>
      </c>
      <c r="Z82" s="7" t="str">
        <f>Tabella2[[#This Row],[Amplitute RADIAL stress  (MPa)]]</f>
        <v>Null</v>
      </c>
      <c r="AA8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65851.272677746063</v>
      </c>
      <c r="AF8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53878.314009064947</v>
      </c>
      <c r="AG82" s="1">
        <f>IF(
   AND(ISNUMBER(Tabella2[[#This Row],[Mean TORQUE (Nmm)]]), ISNUMBER(Tabella2[[#This Row],[Amplitude TORQUE (Nmm)]])),
   Tabella2[[#This Row],[Mean TORQUE (Nmm)]]+Tabella2[[#This Row],[Amplitude TORQUE (Nmm)]],
   "Null"
)</f>
        <v>119729.586686811</v>
      </c>
      <c r="AH8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173.20508075688772</v>
      </c>
      <c r="AI8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3" spans="1:35" x14ac:dyDescent="0.25">
      <c r="A83" s="1" t="s">
        <v>52</v>
      </c>
      <c r="B83" s="1">
        <v>2025</v>
      </c>
      <c r="C83" s="1" t="s">
        <v>51</v>
      </c>
      <c r="D83" s="1" t="s">
        <v>139</v>
      </c>
      <c r="E83" s="1">
        <v>5000000</v>
      </c>
      <c r="F83" s="1" t="s">
        <v>70</v>
      </c>
      <c r="G83" s="1" t="s">
        <v>43</v>
      </c>
      <c r="H83" s="1" t="e" vm="3">
        <v>#VALUE!</v>
      </c>
      <c r="I83" s="1" t="s">
        <v>45</v>
      </c>
      <c r="J83" s="1" t="s">
        <v>47</v>
      </c>
      <c r="K83" s="1">
        <v>14</v>
      </c>
      <c r="L83" s="8">
        <f>PI()*(Tabella2[[#This Row],[Diameter (mm)]]/2)^2</f>
        <v>153.93804002589985</v>
      </c>
      <c r="M83" s="8">
        <f>(PI()*Tabella2[[#This Row],[Diameter (mm)]]^4)/32</f>
        <v>3771.4819806345467</v>
      </c>
      <c r="N83" s="1" t="s">
        <v>35</v>
      </c>
      <c r="O83" s="1" t="s">
        <v>35</v>
      </c>
      <c r="P83" s="1" t="s">
        <v>35</v>
      </c>
      <c r="Q83" s="1" t="s">
        <v>35</v>
      </c>
      <c r="R83" s="1">
        <v>0.1</v>
      </c>
      <c r="S8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3" s="1" t="s">
        <v>35</v>
      </c>
      <c r="U8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3" s="7" t="s">
        <v>35</v>
      </c>
      <c r="W83" s="7">
        <f>IF(ISNUMBER(Tabella2[[#This Row],[Amplitute SHEAR stress  (MPa)]]), (1+Tabella2[[#This Row],[Load ratio (TORSIONAL)]])*Tabella2[[#This Row],[Amplitute SHEAR stress  (MPa)]]/(1-Tabella2[[#This Row],[Load ratio (TORSIONAL)]]), "Null")</f>
        <v>110.00000000000001</v>
      </c>
      <c r="X83" s="1">
        <v>90</v>
      </c>
      <c r="Y83" s="7" t="str">
        <f>Tabella2[[#This Row],[Mean RADIAL stress  (MPa)]]</f>
        <v>Null</v>
      </c>
      <c r="Z83" s="7" t="str">
        <f>Tabella2[[#This Row],[Amplitute RADIAL stress  (MPa)]]</f>
        <v>Null</v>
      </c>
      <c r="AA8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59266.145409971461</v>
      </c>
      <c r="AF8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48490.482608158454</v>
      </c>
      <c r="AG83" s="1">
        <f>IF(
   AND(ISNUMBER(Tabella2[[#This Row],[Mean TORQUE (Nmm)]]), ISNUMBER(Tabella2[[#This Row],[Amplitude TORQUE (Nmm)]])),
   Tabella2[[#This Row],[Mean TORQUE (Nmm)]]+Tabella2[[#This Row],[Amplitude TORQUE (Nmm)]],
   "Null"
)</f>
        <v>107756.62801812991</v>
      </c>
      <c r="AH8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155.88457268119896</v>
      </c>
      <c r="AI8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4" spans="1:35" x14ac:dyDescent="0.25">
      <c r="A84" s="1" t="s">
        <v>52</v>
      </c>
      <c r="B84" s="1">
        <v>2025</v>
      </c>
      <c r="C84" s="1" t="s">
        <v>51</v>
      </c>
      <c r="D84" s="1" t="s">
        <v>140</v>
      </c>
      <c r="E84" s="1">
        <v>151113</v>
      </c>
      <c r="F84" s="1" t="s">
        <v>34</v>
      </c>
      <c r="G84" s="1" t="s">
        <v>43</v>
      </c>
      <c r="H84" s="1" t="e" vm="3">
        <v>#VALUE!</v>
      </c>
      <c r="I84" s="1" t="s">
        <v>45</v>
      </c>
      <c r="J84" s="1" t="s">
        <v>47</v>
      </c>
      <c r="K84" s="1">
        <v>14</v>
      </c>
      <c r="L84" s="8">
        <f>PI()*(Tabella2[[#This Row],[Diameter (mm)]]/2)^2</f>
        <v>153.93804002589985</v>
      </c>
      <c r="M84" s="8">
        <f>(PI()*Tabella2[[#This Row],[Diameter (mm)]]^4)/32</f>
        <v>3771.4819806345467</v>
      </c>
      <c r="N84" s="1" t="s">
        <v>35</v>
      </c>
      <c r="O84" s="1" t="s">
        <v>35</v>
      </c>
      <c r="P84" s="1" t="s">
        <v>35</v>
      </c>
      <c r="Q84" s="1" t="s">
        <v>35</v>
      </c>
      <c r="R84" s="1">
        <v>0.1</v>
      </c>
      <c r="S8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4" s="1" t="s">
        <v>35</v>
      </c>
      <c r="U8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4" s="7" t="s">
        <v>35</v>
      </c>
      <c r="W84" s="7">
        <f>IF(ISNUMBER(Tabella2[[#This Row],[Amplitute SHEAR stress  (MPa)]]), (1+Tabella2[[#This Row],[Load ratio (TORSIONAL)]])*Tabella2[[#This Row],[Amplitute SHEAR stress  (MPa)]]/(1-Tabella2[[#This Row],[Load ratio (TORSIONAL)]]), "Null")</f>
        <v>146.66666666666666</v>
      </c>
      <c r="X84" s="1">
        <v>120</v>
      </c>
      <c r="Y84" s="7" t="str">
        <f>Tabella2[[#This Row],[Mean RADIAL stress  (MPa)]]</f>
        <v>Null</v>
      </c>
      <c r="Z84" s="7" t="str">
        <f>Tabella2[[#This Row],[Amplitute RADIAL stress  (MPa)]]</f>
        <v>Null</v>
      </c>
      <c r="AA8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79021.527213295252</v>
      </c>
      <c r="AF8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64653.976810877946</v>
      </c>
      <c r="AG84" s="1">
        <f>IF(
   AND(ISNUMBER(Tabella2[[#This Row],[Mean TORQUE (Nmm)]]), ISNUMBER(Tabella2[[#This Row],[Amplitude TORQUE (Nmm)]])),
   Tabella2[[#This Row],[Mean TORQUE (Nmm)]]+Tabella2[[#This Row],[Amplitude TORQUE (Nmm)]],
   "Null"
)</f>
        <v>143675.50402417319</v>
      </c>
      <c r="AH8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207.84609690826528</v>
      </c>
      <c r="AI8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5" spans="1:35" x14ac:dyDescent="0.25">
      <c r="A85" s="1" t="s">
        <v>52</v>
      </c>
      <c r="B85" s="1">
        <v>2025</v>
      </c>
      <c r="C85" s="1" t="s">
        <v>51</v>
      </c>
      <c r="D85" s="1" t="s">
        <v>141</v>
      </c>
      <c r="E85" s="1">
        <v>435526</v>
      </c>
      <c r="F85" s="1" t="s">
        <v>34</v>
      </c>
      <c r="G85" s="1" t="s">
        <v>43</v>
      </c>
      <c r="H85" s="1" t="e" vm="3">
        <v>#VALUE!</v>
      </c>
      <c r="I85" s="1" t="s">
        <v>45</v>
      </c>
      <c r="J85" s="1" t="s">
        <v>47</v>
      </c>
      <c r="K85" s="1">
        <v>14</v>
      </c>
      <c r="L85" s="8">
        <f>PI()*(Tabella2[[#This Row],[Diameter (mm)]]/2)^2</f>
        <v>153.93804002589985</v>
      </c>
      <c r="M85" s="8">
        <f>(PI()*Tabella2[[#This Row],[Diameter (mm)]]^4)/32</f>
        <v>3771.4819806345467</v>
      </c>
      <c r="N85" s="1" t="s">
        <v>35</v>
      </c>
      <c r="O85" s="1" t="s">
        <v>35</v>
      </c>
      <c r="P85" s="1" t="s">
        <v>35</v>
      </c>
      <c r="Q85" s="1" t="s">
        <v>35</v>
      </c>
      <c r="R85" s="1">
        <v>0.1</v>
      </c>
      <c r="S8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5" s="1" t="s">
        <v>35</v>
      </c>
      <c r="U8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5" s="7" t="s">
        <v>35</v>
      </c>
      <c r="W85" s="7">
        <f>IF(ISNUMBER(Tabella2[[#This Row],[Amplitute SHEAR stress  (MPa)]]), (1+Tabella2[[#This Row],[Load ratio (TORSIONAL)]])*Tabella2[[#This Row],[Amplitute SHEAR stress  (MPa)]]/(1-Tabella2[[#This Row],[Load ratio (TORSIONAL)]]), "Null")</f>
        <v>134.44444444444446</v>
      </c>
      <c r="X85" s="1">
        <v>110</v>
      </c>
      <c r="Y85" s="7" t="str">
        <f>Tabella2[[#This Row],[Mean RADIAL stress  (MPa)]]</f>
        <v>Null</v>
      </c>
      <c r="Z85" s="7" t="str">
        <f>Tabella2[[#This Row],[Amplitute RADIAL stress  (MPa)]]</f>
        <v>Null</v>
      </c>
      <c r="AA8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72436.399945520665</v>
      </c>
      <c r="AF8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85" s="1">
        <f>IF(
   AND(ISNUMBER(Tabella2[[#This Row],[Mean TORQUE (Nmm)]]), ISNUMBER(Tabella2[[#This Row],[Amplitude TORQUE (Nmm)]])),
   Tabella2[[#This Row],[Mean TORQUE (Nmm)]]+Tabella2[[#This Row],[Amplitude TORQUE (Nmm)]],
   "Null"
)</f>
        <v>131702.54535549213</v>
      </c>
      <c r="AH8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  <c r="AI8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6" spans="1:35" x14ac:dyDescent="0.25">
      <c r="A86" s="1" t="s">
        <v>52</v>
      </c>
      <c r="B86" s="1">
        <v>2025</v>
      </c>
      <c r="C86" s="1" t="s">
        <v>51</v>
      </c>
      <c r="D86" s="1" t="s">
        <v>142</v>
      </c>
      <c r="E86" s="1">
        <v>232899</v>
      </c>
      <c r="F86" s="1" t="s">
        <v>34</v>
      </c>
      <c r="G86" s="1" t="s">
        <v>43</v>
      </c>
      <c r="H86" s="1" t="e" vm="3">
        <v>#VALUE!</v>
      </c>
      <c r="I86" s="1" t="s">
        <v>45</v>
      </c>
      <c r="J86" s="1" t="s">
        <v>47</v>
      </c>
      <c r="K86" s="1">
        <v>14</v>
      </c>
      <c r="L86" s="8">
        <f>PI()*(Tabella2[[#This Row],[Diameter (mm)]]/2)^2</f>
        <v>153.93804002589985</v>
      </c>
      <c r="M86" s="8">
        <f>(PI()*Tabella2[[#This Row],[Diameter (mm)]]^4)/32</f>
        <v>3771.4819806345467</v>
      </c>
      <c r="N86" s="1" t="s">
        <v>35</v>
      </c>
      <c r="O86" s="1" t="s">
        <v>35</v>
      </c>
      <c r="P86" s="1" t="s">
        <v>35</v>
      </c>
      <c r="Q86" s="1" t="s">
        <v>35</v>
      </c>
      <c r="R86" s="1">
        <v>0.1</v>
      </c>
      <c r="S8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6" s="1" t="s">
        <v>35</v>
      </c>
      <c r="U8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6" s="7" t="s">
        <v>35</v>
      </c>
      <c r="W86" s="7">
        <f>IF(ISNUMBER(Tabella2[[#This Row],[Amplitute SHEAR stress  (MPa)]]), (1+Tabella2[[#This Row],[Load ratio (TORSIONAL)]])*Tabella2[[#This Row],[Amplitute SHEAR stress  (MPa)]]/(1-Tabella2[[#This Row],[Load ratio (TORSIONAL)]]), "Null")</f>
        <v>146.66666666666666</v>
      </c>
      <c r="X86" s="1">
        <v>120</v>
      </c>
      <c r="Y86" s="7" t="str">
        <f>Tabella2[[#This Row],[Mean RADIAL stress  (MPa)]]</f>
        <v>Null</v>
      </c>
      <c r="Z86" s="7" t="str">
        <f>Tabella2[[#This Row],[Amplitute RADIAL stress  (MPa)]]</f>
        <v>Null</v>
      </c>
      <c r="AA8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79021.527213295252</v>
      </c>
      <c r="AF8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64653.976810877946</v>
      </c>
      <c r="AG86" s="1">
        <f>IF(
   AND(ISNUMBER(Tabella2[[#This Row],[Mean TORQUE (Nmm)]]), ISNUMBER(Tabella2[[#This Row],[Amplitude TORQUE (Nmm)]])),
   Tabella2[[#This Row],[Mean TORQUE (Nmm)]]+Tabella2[[#This Row],[Amplitude TORQUE (Nmm)]],
   "Null"
)</f>
        <v>143675.50402417319</v>
      </c>
      <c r="AH8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207.84609690826528</v>
      </c>
      <c r="AI8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7" spans="1:35" x14ac:dyDescent="0.25">
      <c r="A87" s="1" t="s">
        <v>52</v>
      </c>
      <c r="B87" s="1">
        <v>2025</v>
      </c>
      <c r="C87" s="1" t="s">
        <v>51</v>
      </c>
      <c r="D87" s="1" t="s">
        <v>143</v>
      </c>
      <c r="E87" s="1">
        <v>427542</v>
      </c>
      <c r="F87" s="1" t="s">
        <v>34</v>
      </c>
      <c r="G87" s="1" t="s">
        <v>43</v>
      </c>
      <c r="H87" s="1" t="e" vm="3">
        <v>#VALUE!</v>
      </c>
      <c r="I87" s="1" t="s">
        <v>45</v>
      </c>
      <c r="J87" s="1" t="s">
        <v>47</v>
      </c>
      <c r="K87" s="1">
        <v>14</v>
      </c>
      <c r="L87" s="8">
        <f>PI()*(Tabella2[[#This Row],[Diameter (mm)]]/2)^2</f>
        <v>153.93804002589985</v>
      </c>
      <c r="M87" s="8">
        <f>(PI()*Tabella2[[#This Row],[Diameter (mm)]]^4)/32</f>
        <v>3771.4819806345467</v>
      </c>
      <c r="N87" s="1" t="s">
        <v>35</v>
      </c>
      <c r="O87" s="1" t="s">
        <v>35</v>
      </c>
      <c r="P87" s="1" t="s">
        <v>35</v>
      </c>
      <c r="Q87" s="1" t="s">
        <v>35</v>
      </c>
      <c r="R87" s="1">
        <v>0.1</v>
      </c>
      <c r="S8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7" s="1" t="s">
        <v>35</v>
      </c>
      <c r="U8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7" s="7" t="s">
        <v>35</v>
      </c>
      <c r="W87" s="7">
        <f>IF(ISNUMBER(Tabella2[[#This Row],[Amplitute SHEAR stress  (MPa)]]), (1+Tabella2[[#This Row],[Load ratio (TORSIONAL)]])*Tabella2[[#This Row],[Amplitute SHEAR stress  (MPa)]]/(1-Tabella2[[#This Row],[Load ratio (TORSIONAL)]]), "Null")</f>
        <v>134.44444444444446</v>
      </c>
      <c r="X87" s="1">
        <v>110</v>
      </c>
      <c r="Y87" s="7" t="str">
        <f>Tabella2[[#This Row],[Mean RADIAL stress  (MPa)]]</f>
        <v>Null</v>
      </c>
      <c r="Z87" s="7" t="str">
        <f>Tabella2[[#This Row],[Amplitute RADIAL stress  (MPa)]]</f>
        <v>Null</v>
      </c>
      <c r="AA8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72436.399945520665</v>
      </c>
      <c r="AF8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87" s="1">
        <f>IF(
   AND(ISNUMBER(Tabella2[[#This Row],[Mean TORQUE (Nmm)]]), ISNUMBER(Tabella2[[#This Row],[Amplitude TORQUE (Nmm)]])),
   Tabella2[[#This Row],[Mean TORQUE (Nmm)]]+Tabella2[[#This Row],[Amplitude TORQUE (Nmm)]],
   "Null"
)</f>
        <v>131702.54535549213</v>
      </c>
      <c r="AH8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  <c r="AI8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8" spans="1:35" ht="17.45" customHeight="1" x14ac:dyDescent="0.25">
      <c r="A88" s="1" t="s">
        <v>52</v>
      </c>
      <c r="B88" s="1">
        <v>2025</v>
      </c>
      <c r="C88" s="1" t="s">
        <v>51</v>
      </c>
      <c r="D88" s="1" t="s">
        <v>144</v>
      </c>
      <c r="E88" s="1">
        <v>463062</v>
      </c>
      <c r="F88" s="1" t="s">
        <v>34</v>
      </c>
      <c r="G88" s="1" t="s">
        <v>43</v>
      </c>
      <c r="H88" s="1" t="e" vm="3">
        <v>#VALUE!</v>
      </c>
      <c r="I88" s="1" t="s">
        <v>45</v>
      </c>
      <c r="J88" s="1" t="s">
        <v>47</v>
      </c>
      <c r="K88" s="1">
        <v>14</v>
      </c>
      <c r="L88" s="8">
        <f>PI()*(Tabella2[[#This Row],[Diameter (mm)]]/2)^2</f>
        <v>153.93804002589985</v>
      </c>
      <c r="M88" s="8">
        <f>(PI()*Tabella2[[#This Row],[Diameter (mm)]]^4)/32</f>
        <v>3771.4819806345467</v>
      </c>
      <c r="N88" s="1" t="s">
        <v>35</v>
      </c>
      <c r="O88" s="1" t="s">
        <v>35</v>
      </c>
      <c r="P88" s="1" t="s">
        <v>35</v>
      </c>
      <c r="Q88" s="1" t="s">
        <v>35</v>
      </c>
      <c r="R88" s="1">
        <v>0.1</v>
      </c>
      <c r="S8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8" s="1" t="s">
        <v>35</v>
      </c>
      <c r="U8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8" s="7" t="s">
        <v>35</v>
      </c>
      <c r="W88" s="7">
        <f>IF(ISNUMBER(Tabella2[[#This Row],[Amplitute SHEAR stress  (MPa)]]), (1+Tabella2[[#This Row],[Load ratio (TORSIONAL)]])*Tabella2[[#This Row],[Amplitute SHEAR stress  (MPa)]]/(1-Tabella2[[#This Row],[Load ratio (TORSIONAL)]]), "Null")</f>
        <v>134.44444444444446</v>
      </c>
      <c r="X88" s="1">
        <v>110</v>
      </c>
      <c r="Y88" s="7" t="str">
        <f>Tabella2[[#This Row],[Mean RADIAL stress  (MPa)]]</f>
        <v>Null</v>
      </c>
      <c r="Z88" s="7" t="str">
        <f>Tabella2[[#This Row],[Amplitute RADIAL stress  (MPa)]]</f>
        <v>Null</v>
      </c>
      <c r="AA8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72436.399945520665</v>
      </c>
      <c r="AF8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88" s="1">
        <f>IF(
   AND(ISNUMBER(Tabella2[[#This Row],[Mean TORQUE (Nmm)]]), ISNUMBER(Tabella2[[#This Row],[Amplitude TORQUE (Nmm)]])),
   Tabella2[[#This Row],[Mean TORQUE (Nmm)]]+Tabella2[[#This Row],[Amplitude TORQUE (Nmm)]],
   "Null"
)</f>
        <v>131702.54535549213</v>
      </c>
      <c r="AH8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  <c r="AI8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9" spans="1:35" x14ac:dyDescent="0.25">
      <c r="A89" s="1" t="s">
        <v>52</v>
      </c>
      <c r="B89" s="1">
        <v>2025</v>
      </c>
      <c r="C89" s="1" t="s">
        <v>51</v>
      </c>
      <c r="D89" s="1" t="s">
        <v>145</v>
      </c>
      <c r="E89" s="11">
        <v>237991</v>
      </c>
      <c r="F89" s="1" t="s">
        <v>34</v>
      </c>
      <c r="G89" s="1" t="s">
        <v>43</v>
      </c>
      <c r="H89" s="1" t="e" vm="4">
        <v>#VALUE!</v>
      </c>
      <c r="I89" s="1" t="s">
        <v>45</v>
      </c>
      <c r="J89" s="1" t="s">
        <v>70</v>
      </c>
      <c r="K89" s="1">
        <v>22.5</v>
      </c>
      <c r="L89" s="8">
        <f>PI()*(Tabella2[[#This Row],[Diameter (mm)]]/2)^2</f>
        <v>397.60782021995817</v>
      </c>
      <c r="M89" s="8">
        <f>(PI()*Tabella2[[#This Row],[Diameter (mm)]]^4)/32</f>
        <v>25161.119873294228</v>
      </c>
      <c r="N89" s="1" t="s">
        <v>35</v>
      </c>
      <c r="O89" s="1" t="s">
        <v>35</v>
      </c>
      <c r="P89" s="1" t="s">
        <v>35</v>
      </c>
      <c r="Q89" s="1" t="s">
        <v>35</v>
      </c>
      <c r="R89" s="1">
        <v>-1</v>
      </c>
      <c r="S8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9" s="1" t="s">
        <v>35</v>
      </c>
      <c r="U8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9" s="7" t="s">
        <v>35</v>
      </c>
      <c r="W8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89" s="11">
        <v>65</v>
      </c>
      <c r="Y89" s="7" t="str">
        <f>Tabella2[[#This Row],[Mean RADIAL stress  (MPa)]]</f>
        <v>Null</v>
      </c>
      <c r="Z89" s="7" t="str">
        <f>Tabella2[[#This Row],[Amplitute RADIAL stress  (MPa)]]</f>
        <v>Null</v>
      </c>
      <c r="AA8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8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145375.35926792221</v>
      </c>
      <c r="AG89" s="1">
        <f>IF(
   AND(ISNUMBER(Tabella2[[#This Row],[Mean TORQUE (Nmm)]]), ISNUMBER(Tabella2[[#This Row],[Amplitude TORQUE (Nmm)]])),
   Tabella2[[#This Row],[Mean TORQUE (Nmm)]]+Tabella2[[#This Row],[Amplitude TORQUE (Nmm)]],
   "Null"
)</f>
        <v>145375.35926792221</v>
      </c>
      <c r="AH8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112.58330249197702</v>
      </c>
      <c r="AI8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0" spans="1:35" x14ac:dyDescent="0.25">
      <c r="A90" s="1" t="s">
        <v>52</v>
      </c>
      <c r="B90" s="1">
        <v>2025</v>
      </c>
      <c r="C90" s="1" t="s">
        <v>51</v>
      </c>
      <c r="D90" s="1" t="s">
        <v>146</v>
      </c>
      <c r="E90" s="11">
        <f>1286522+800239</f>
        <v>2086761</v>
      </c>
      <c r="F90" s="1" t="s">
        <v>34</v>
      </c>
      <c r="G90" s="1" t="s">
        <v>43</v>
      </c>
      <c r="H90" s="1" t="e" vm="4">
        <v>#VALUE!</v>
      </c>
      <c r="I90" s="1" t="s">
        <v>45</v>
      </c>
      <c r="J90" s="1" t="s">
        <v>70</v>
      </c>
      <c r="K90" s="1">
        <v>22.5</v>
      </c>
      <c r="L90" s="8">
        <f>PI()*(Tabella2[[#This Row],[Diameter (mm)]]/2)^2</f>
        <v>397.60782021995817</v>
      </c>
      <c r="M90" s="8">
        <f>(PI()*Tabella2[[#This Row],[Diameter (mm)]]^4)/32</f>
        <v>25161.119873294228</v>
      </c>
      <c r="N90" s="1" t="s">
        <v>35</v>
      </c>
      <c r="O90" s="1" t="s">
        <v>35</v>
      </c>
      <c r="P90" s="1" t="s">
        <v>35</v>
      </c>
      <c r="Q90" s="1" t="s">
        <v>35</v>
      </c>
      <c r="R90" s="1">
        <v>-1</v>
      </c>
      <c r="S9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0" s="1" t="s">
        <v>35</v>
      </c>
      <c r="U9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0" s="7" t="s">
        <v>35</v>
      </c>
      <c r="W9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0" s="11">
        <v>50</v>
      </c>
      <c r="Y90" s="7" t="str">
        <f>Tabella2[[#This Row],[Mean RADIAL stress  (MPa)]]</f>
        <v>Null</v>
      </c>
      <c r="Z90" s="7" t="str">
        <f>Tabella2[[#This Row],[Amplitute RADIAL stress  (MPa)]]</f>
        <v>Null</v>
      </c>
      <c r="AA9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111827.19943686324</v>
      </c>
      <c r="AG90" s="1">
        <f>IF(
   AND(ISNUMBER(Tabella2[[#This Row],[Mean TORQUE (Nmm)]]), ISNUMBER(Tabella2[[#This Row],[Amplitude TORQUE (Nmm)]])),
   Tabella2[[#This Row],[Mean TORQUE (Nmm)]]+Tabella2[[#This Row],[Amplitude TORQUE (Nmm)]],
   "Null"
)</f>
        <v>111827.19943686324</v>
      </c>
      <c r="AH9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86.602540378443862</v>
      </c>
      <c r="AI9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1" spans="1:35" x14ac:dyDescent="0.25">
      <c r="A91" s="1" t="s">
        <v>52</v>
      </c>
      <c r="B91" s="1">
        <v>2025</v>
      </c>
      <c r="C91" s="1" t="s">
        <v>51</v>
      </c>
      <c r="D91" s="1" t="s">
        <v>147</v>
      </c>
      <c r="E91" s="11">
        <v>3315839</v>
      </c>
      <c r="F91" s="1" t="s">
        <v>34</v>
      </c>
      <c r="G91" s="1" t="s">
        <v>43</v>
      </c>
      <c r="H91" s="1" t="e" vm="4">
        <v>#VALUE!</v>
      </c>
      <c r="I91" s="1" t="s">
        <v>45</v>
      </c>
      <c r="J91" s="1" t="s">
        <v>70</v>
      </c>
      <c r="K91" s="1">
        <v>22.5</v>
      </c>
      <c r="L91" s="8">
        <f>PI()*(Tabella2[[#This Row],[Diameter (mm)]]/2)^2</f>
        <v>397.60782021995817</v>
      </c>
      <c r="M91" s="8">
        <f>(PI()*Tabella2[[#This Row],[Diameter (mm)]]^4)/32</f>
        <v>25161.119873294228</v>
      </c>
      <c r="N91" s="1" t="s">
        <v>35</v>
      </c>
      <c r="O91" s="1" t="s">
        <v>35</v>
      </c>
      <c r="P91" s="1" t="s">
        <v>35</v>
      </c>
      <c r="Q91" s="1" t="s">
        <v>35</v>
      </c>
      <c r="R91" s="1">
        <v>-1</v>
      </c>
      <c r="S9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1" s="1" t="s">
        <v>35</v>
      </c>
      <c r="U9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1" s="7" t="s">
        <v>35</v>
      </c>
      <c r="W9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1" s="11">
        <v>50</v>
      </c>
      <c r="Y91" s="7" t="str">
        <f>Tabella2[[#This Row],[Mean RADIAL stress  (MPa)]]</f>
        <v>Null</v>
      </c>
      <c r="Z91" s="7" t="str">
        <f>Tabella2[[#This Row],[Amplitute RADIAL stress  (MPa)]]</f>
        <v>Null</v>
      </c>
      <c r="AA9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111827.19943686324</v>
      </c>
      <c r="AG91" s="1">
        <f>IF(
   AND(ISNUMBER(Tabella2[[#This Row],[Mean TORQUE (Nmm)]]), ISNUMBER(Tabella2[[#This Row],[Amplitude TORQUE (Nmm)]])),
   Tabella2[[#This Row],[Mean TORQUE (Nmm)]]+Tabella2[[#This Row],[Amplitude TORQUE (Nmm)]],
   "Null"
)</f>
        <v>111827.19943686324</v>
      </c>
      <c r="AH9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86.602540378443862</v>
      </c>
      <c r="AI9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2" spans="1:35" x14ac:dyDescent="0.25">
      <c r="A92" s="1" t="s">
        <v>52</v>
      </c>
      <c r="B92" s="1">
        <v>2025</v>
      </c>
      <c r="C92" s="1" t="s">
        <v>51</v>
      </c>
      <c r="D92" s="1" t="s">
        <v>148</v>
      </c>
      <c r="E92" s="11">
        <v>4058399</v>
      </c>
      <c r="F92" s="1" t="s">
        <v>34</v>
      </c>
      <c r="G92" s="1" t="s">
        <v>43</v>
      </c>
      <c r="H92" s="1" t="e" vm="4">
        <v>#VALUE!</v>
      </c>
      <c r="I92" s="1" t="s">
        <v>45</v>
      </c>
      <c r="J92" s="1" t="s">
        <v>70</v>
      </c>
      <c r="K92" s="1">
        <v>22.5</v>
      </c>
      <c r="L92" s="8">
        <f>PI()*(Tabella2[[#This Row],[Diameter (mm)]]/2)^2</f>
        <v>397.60782021995817</v>
      </c>
      <c r="M92" s="8">
        <f>(PI()*Tabella2[[#This Row],[Diameter (mm)]]^4)/32</f>
        <v>25161.119873294228</v>
      </c>
      <c r="N92" s="1" t="s">
        <v>35</v>
      </c>
      <c r="O92" s="1" t="s">
        <v>35</v>
      </c>
      <c r="P92" s="1" t="s">
        <v>35</v>
      </c>
      <c r="Q92" s="1" t="s">
        <v>35</v>
      </c>
      <c r="R92" s="1">
        <v>-1</v>
      </c>
      <c r="S9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2" s="1" t="s">
        <v>35</v>
      </c>
      <c r="U9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2" s="7" t="s">
        <v>35</v>
      </c>
      <c r="W9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2" s="11">
        <v>45</v>
      </c>
      <c r="Y92" s="7" t="str">
        <f>Tabella2[[#This Row],[Mean RADIAL stress  (MPa)]]</f>
        <v>Null</v>
      </c>
      <c r="Z92" s="7" t="str">
        <f>Tabella2[[#This Row],[Amplitute RADIAL stress  (MPa)]]</f>
        <v>Null</v>
      </c>
      <c r="AA9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100644.47949317691</v>
      </c>
      <c r="AG92" s="1">
        <f>IF(
   AND(ISNUMBER(Tabella2[[#This Row],[Mean TORQUE (Nmm)]]), ISNUMBER(Tabella2[[#This Row],[Amplitude TORQUE (Nmm)]])),
   Tabella2[[#This Row],[Mean TORQUE (Nmm)]]+Tabella2[[#This Row],[Amplitude TORQUE (Nmm)]],
   "Null"
)</f>
        <v>100644.47949317691</v>
      </c>
      <c r="AH9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77.94228634059948</v>
      </c>
      <c r="AI9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3" spans="1:35" x14ac:dyDescent="0.25">
      <c r="A93" s="1" t="s">
        <v>52</v>
      </c>
      <c r="B93" s="1">
        <v>2025</v>
      </c>
      <c r="C93" s="1" t="s">
        <v>51</v>
      </c>
      <c r="D93" s="1" t="s">
        <v>149</v>
      </c>
      <c r="E93" s="11">
        <v>2140815</v>
      </c>
      <c r="F93" s="1" t="s">
        <v>34</v>
      </c>
      <c r="G93" s="1" t="s">
        <v>43</v>
      </c>
      <c r="H93" s="1" t="e" vm="4">
        <v>#VALUE!</v>
      </c>
      <c r="I93" s="1" t="s">
        <v>45</v>
      </c>
      <c r="J93" s="1" t="s">
        <v>70</v>
      </c>
      <c r="K93" s="1">
        <v>22.5</v>
      </c>
      <c r="L93" s="8">
        <f>PI()*(Tabella2[[#This Row],[Diameter (mm)]]/2)^2</f>
        <v>397.60782021995817</v>
      </c>
      <c r="M93" s="8">
        <f>(PI()*Tabella2[[#This Row],[Diameter (mm)]]^4)/32</f>
        <v>25161.119873294228</v>
      </c>
      <c r="N93" s="1" t="s">
        <v>35</v>
      </c>
      <c r="O93" s="1" t="s">
        <v>35</v>
      </c>
      <c r="P93" s="1" t="s">
        <v>35</v>
      </c>
      <c r="Q93" s="1" t="s">
        <v>35</v>
      </c>
      <c r="R93" s="1">
        <v>-1</v>
      </c>
      <c r="S9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3" s="1" t="s">
        <v>35</v>
      </c>
      <c r="U9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3" s="7" t="s">
        <v>35</v>
      </c>
      <c r="W9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3" s="11">
        <v>50</v>
      </c>
      <c r="Y93" s="7" t="str">
        <f>Tabella2[[#This Row],[Mean RADIAL stress  (MPa)]]</f>
        <v>Null</v>
      </c>
      <c r="Z93" s="7" t="str">
        <f>Tabella2[[#This Row],[Amplitute RADIAL stress  (MPa)]]</f>
        <v>Null</v>
      </c>
      <c r="AA9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111827.19943686324</v>
      </c>
      <c r="AG93" s="1">
        <f>IF(
   AND(ISNUMBER(Tabella2[[#This Row],[Mean TORQUE (Nmm)]]), ISNUMBER(Tabella2[[#This Row],[Amplitude TORQUE (Nmm)]])),
   Tabella2[[#This Row],[Mean TORQUE (Nmm)]]+Tabella2[[#This Row],[Amplitude TORQUE (Nmm)]],
   "Null"
)</f>
        <v>111827.19943686324</v>
      </c>
      <c r="AH9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86.602540378443862</v>
      </c>
      <c r="AI9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4" spans="1:35" x14ac:dyDescent="0.25">
      <c r="A94" s="1" t="s">
        <v>52</v>
      </c>
      <c r="B94" s="1">
        <v>2025</v>
      </c>
      <c r="C94" s="1" t="s">
        <v>51</v>
      </c>
      <c r="D94" s="1" t="s">
        <v>150</v>
      </c>
      <c r="E94" s="11">
        <v>534262</v>
      </c>
      <c r="F94" s="1" t="s">
        <v>34</v>
      </c>
      <c r="G94" s="1" t="s">
        <v>43</v>
      </c>
      <c r="H94" s="1" t="e" vm="4">
        <v>#VALUE!</v>
      </c>
      <c r="I94" s="1" t="s">
        <v>45</v>
      </c>
      <c r="J94" s="1" t="s">
        <v>70</v>
      </c>
      <c r="K94" s="1">
        <v>22.5</v>
      </c>
      <c r="L94" s="8">
        <f>PI()*(Tabella2[[#This Row],[Diameter (mm)]]/2)^2</f>
        <v>397.60782021995817</v>
      </c>
      <c r="M94" s="8">
        <f>(PI()*Tabella2[[#This Row],[Diameter (mm)]]^4)/32</f>
        <v>25161.119873294228</v>
      </c>
      <c r="N94" s="1" t="s">
        <v>35</v>
      </c>
      <c r="O94" s="1" t="s">
        <v>35</v>
      </c>
      <c r="P94" s="1" t="s">
        <v>35</v>
      </c>
      <c r="Q94" s="1" t="s">
        <v>35</v>
      </c>
      <c r="R94" s="1">
        <v>-1</v>
      </c>
      <c r="S9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4" s="1" t="s">
        <v>35</v>
      </c>
      <c r="U9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4" s="7" t="s">
        <v>35</v>
      </c>
      <c r="W9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4" s="11">
        <v>60</v>
      </c>
      <c r="Y94" s="7" t="str">
        <f>Tabella2[[#This Row],[Mean RADIAL stress  (MPa)]]</f>
        <v>Null</v>
      </c>
      <c r="Z94" s="7" t="str">
        <f>Tabella2[[#This Row],[Amplitute RADIAL stress  (MPa)]]</f>
        <v>Null</v>
      </c>
      <c r="AA9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134192.63932423588</v>
      </c>
      <c r="AG94" s="1">
        <f>IF(
   AND(ISNUMBER(Tabella2[[#This Row],[Mean TORQUE (Nmm)]]), ISNUMBER(Tabella2[[#This Row],[Amplitude TORQUE (Nmm)]])),
   Tabella2[[#This Row],[Mean TORQUE (Nmm)]]+Tabella2[[#This Row],[Amplitude TORQUE (Nmm)]],
   "Null"
)</f>
        <v>134192.63932423588</v>
      </c>
      <c r="AH9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103.92304845413264</v>
      </c>
      <c r="AI9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5" spans="1:35" x14ac:dyDescent="0.25">
      <c r="A95" s="1" t="s">
        <v>52</v>
      </c>
      <c r="B95" s="1">
        <v>2025</v>
      </c>
      <c r="C95" s="1" t="s">
        <v>51</v>
      </c>
      <c r="D95" s="1" t="s">
        <v>151</v>
      </c>
      <c r="E95" s="11">
        <v>91485</v>
      </c>
      <c r="F95" s="1" t="s">
        <v>34</v>
      </c>
      <c r="G95" s="1" t="s">
        <v>43</v>
      </c>
      <c r="H95" s="1" t="e" vm="4">
        <v>#VALUE!</v>
      </c>
      <c r="I95" s="1" t="s">
        <v>45</v>
      </c>
      <c r="J95" s="1" t="s">
        <v>70</v>
      </c>
      <c r="K95" s="1">
        <v>22.5</v>
      </c>
      <c r="L95" s="8">
        <f>PI()*(Tabella2[[#This Row],[Diameter (mm)]]/2)^2</f>
        <v>397.60782021995817</v>
      </c>
      <c r="M95" s="8">
        <f>(PI()*Tabella2[[#This Row],[Diameter (mm)]]^4)/32</f>
        <v>25161.119873294228</v>
      </c>
      <c r="N95" s="1" t="s">
        <v>35</v>
      </c>
      <c r="O95" s="1" t="s">
        <v>35</v>
      </c>
      <c r="P95" s="1" t="s">
        <v>35</v>
      </c>
      <c r="Q95" s="1" t="s">
        <v>35</v>
      </c>
      <c r="R95" s="1">
        <v>-1</v>
      </c>
      <c r="S9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5" s="1" t="s">
        <v>35</v>
      </c>
      <c r="U9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5" s="7" t="s">
        <v>35</v>
      </c>
      <c r="W9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5" s="11">
        <v>70</v>
      </c>
      <c r="Y95" s="7" t="str">
        <f>Tabella2[[#This Row],[Mean RADIAL stress  (MPa)]]</f>
        <v>Null</v>
      </c>
      <c r="Z95" s="7" t="str">
        <f>Tabella2[[#This Row],[Amplitute RADIAL stress  (MPa)]]</f>
        <v>Null</v>
      </c>
      <c r="AA9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156558.07921160854</v>
      </c>
      <c r="AG95" s="1">
        <f>IF(
   AND(ISNUMBER(Tabella2[[#This Row],[Mean TORQUE (Nmm)]]), ISNUMBER(Tabella2[[#This Row],[Amplitude TORQUE (Nmm)]])),
   Tabella2[[#This Row],[Mean TORQUE (Nmm)]]+Tabella2[[#This Row],[Amplitude TORQUE (Nmm)]],
   "Null"
)</f>
        <v>156558.07921160854</v>
      </c>
      <c r="AH9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121.2435565298214</v>
      </c>
      <c r="AI9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6" spans="1:35" x14ac:dyDescent="0.25">
      <c r="A96" s="1" t="s">
        <v>52</v>
      </c>
      <c r="B96" s="1">
        <v>2025</v>
      </c>
      <c r="C96" s="1" t="s">
        <v>51</v>
      </c>
      <c r="D96" s="1" t="s">
        <v>152</v>
      </c>
      <c r="E96" s="11">
        <v>145178</v>
      </c>
      <c r="F96" s="1" t="s">
        <v>34</v>
      </c>
      <c r="G96" s="1" t="s">
        <v>43</v>
      </c>
      <c r="H96" s="1" t="e" vm="4">
        <v>#VALUE!</v>
      </c>
      <c r="I96" s="1" t="s">
        <v>45</v>
      </c>
      <c r="J96" s="1" t="s">
        <v>70</v>
      </c>
      <c r="K96" s="1">
        <v>22.5</v>
      </c>
      <c r="L96" s="8">
        <f>PI()*(Tabella2[[#This Row],[Diameter (mm)]]/2)^2</f>
        <v>397.60782021995817</v>
      </c>
      <c r="M96" s="8">
        <f>(PI()*Tabella2[[#This Row],[Diameter (mm)]]^4)/32</f>
        <v>25161.119873294228</v>
      </c>
      <c r="N96" s="1" t="s">
        <v>35</v>
      </c>
      <c r="O96" s="1" t="s">
        <v>35</v>
      </c>
      <c r="P96" s="1" t="s">
        <v>35</v>
      </c>
      <c r="Q96" s="1" t="s">
        <v>35</v>
      </c>
      <c r="R96" s="1">
        <v>-1</v>
      </c>
      <c r="S9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6" s="1" t="s">
        <v>35</v>
      </c>
      <c r="U9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6" s="7" t="s">
        <v>35</v>
      </c>
      <c r="W9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6" s="11">
        <v>70</v>
      </c>
      <c r="Y96" s="7" t="str">
        <f>Tabella2[[#This Row],[Mean RADIAL stress  (MPa)]]</f>
        <v>Null</v>
      </c>
      <c r="Z96" s="7" t="str">
        <f>Tabella2[[#This Row],[Amplitute RADIAL stress  (MPa)]]</f>
        <v>Null</v>
      </c>
      <c r="AA9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156558.07921160854</v>
      </c>
      <c r="AG96" s="1">
        <f>IF(
   AND(ISNUMBER(Tabella2[[#This Row],[Mean TORQUE (Nmm)]]), ISNUMBER(Tabella2[[#This Row],[Amplitude TORQUE (Nmm)]])),
   Tabella2[[#This Row],[Mean TORQUE (Nmm)]]+Tabella2[[#This Row],[Amplitude TORQUE (Nmm)]],
   "Null"
)</f>
        <v>156558.07921160854</v>
      </c>
      <c r="AH9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121.2435565298214</v>
      </c>
      <c r="AI9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7" spans="1:35" ht="17.45" customHeight="1" x14ac:dyDescent="0.25">
      <c r="A97" s="1" t="s">
        <v>52</v>
      </c>
      <c r="B97" s="1">
        <v>2025</v>
      </c>
      <c r="C97" s="1" t="s">
        <v>51</v>
      </c>
      <c r="D97" s="1" t="s">
        <v>153</v>
      </c>
      <c r="E97" s="11">
        <v>414021</v>
      </c>
      <c r="F97" s="1" t="s">
        <v>34</v>
      </c>
      <c r="G97" s="1" t="s">
        <v>43</v>
      </c>
      <c r="H97" s="1" t="e" vm="4">
        <v>#VALUE!</v>
      </c>
      <c r="I97" s="1" t="s">
        <v>45</v>
      </c>
      <c r="J97" s="1" t="s">
        <v>70</v>
      </c>
      <c r="K97" s="1">
        <v>22.5</v>
      </c>
      <c r="L97" s="8">
        <f>PI()*(Tabella2[[#This Row],[Diameter (mm)]]/2)^2</f>
        <v>397.60782021995817</v>
      </c>
      <c r="M97" s="8">
        <f>(PI()*Tabella2[[#This Row],[Diameter (mm)]]^4)/32</f>
        <v>25161.119873294228</v>
      </c>
      <c r="N97" s="1" t="s">
        <v>35</v>
      </c>
      <c r="O97" s="1" t="s">
        <v>35</v>
      </c>
      <c r="P97" s="1" t="s">
        <v>35</v>
      </c>
      <c r="Q97" s="1" t="s">
        <v>35</v>
      </c>
      <c r="R97" s="1">
        <v>-1</v>
      </c>
      <c r="S9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7" s="1" t="s">
        <v>35</v>
      </c>
      <c r="U9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7" s="7" t="s">
        <v>35</v>
      </c>
      <c r="W9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7" s="11">
        <v>60</v>
      </c>
      <c r="Y97" s="7" t="str">
        <f>Tabella2[[#This Row],[Mean RADIAL stress  (MPa)]]</f>
        <v>Null</v>
      </c>
      <c r="Z97" s="7" t="str">
        <f>Tabella2[[#This Row],[Amplitute RADIAL stress  (MPa)]]</f>
        <v>Null</v>
      </c>
      <c r="AA9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134192.63932423588</v>
      </c>
      <c r="AG97" s="1">
        <f>IF(
   AND(ISNUMBER(Tabella2[[#This Row],[Mean TORQUE (Nmm)]]), ISNUMBER(Tabella2[[#This Row],[Amplitude TORQUE (Nmm)]])),
   Tabella2[[#This Row],[Mean TORQUE (Nmm)]]+Tabella2[[#This Row],[Amplitude TORQUE (Nmm)]],
   "Null"
)</f>
        <v>134192.63932423588</v>
      </c>
      <c r="AH9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103.92304845413264</v>
      </c>
      <c r="AI9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8" spans="1:35" x14ac:dyDescent="0.25">
      <c r="A98" s="1" t="s">
        <v>52</v>
      </c>
      <c r="B98" s="1">
        <v>2025</v>
      </c>
      <c r="C98" s="1" t="s">
        <v>51</v>
      </c>
      <c r="D98" s="1" t="s">
        <v>154</v>
      </c>
      <c r="E98" s="11">
        <v>489592</v>
      </c>
      <c r="F98" s="1" t="s">
        <v>34</v>
      </c>
      <c r="G98" s="1" t="s">
        <v>43</v>
      </c>
      <c r="H98" s="1" t="e" vm="4">
        <v>#VALUE!</v>
      </c>
      <c r="I98" s="1" t="s">
        <v>45</v>
      </c>
      <c r="J98" s="1" t="s">
        <v>70</v>
      </c>
      <c r="K98" s="1">
        <v>22.5</v>
      </c>
      <c r="L98" s="8">
        <f>PI()*(Tabella2[[#This Row],[Diameter (mm)]]/2)^2</f>
        <v>397.60782021995817</v>
      </c>
      <c r="M98" s="8">
        <f>(PI()*Tabella2[[#This Row],[Diameter (mm)]]^4)/32</f>
        <v>25161.119873294228</v>
      </c>
      <c r="N98" s="1" t="s">
        <v>35</v>
      </c>
      <c r="O98" s="1" t="s">
        <v>35</v>
      </c>
      <c r="P98" s="1" t="s">
        <v>35</v>
      </c>
      <c r="Q98" s="1" t="s">
        <v>35</v>
      </c>
      <c r="R98" s="1">
        <v>-1</v>
      </c>
      <c r="S9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8" s="1" t="s">
        <v>35</v>
      </c>
      <c r="U9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8" s="7" t="s">
        <v>35</v>
      </c>
      <c r="W9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8" s="11">
        <v>60</v>
      </c>
      <c r="Y98" s="7" t="str">
        <f>Tabella2[[#This Row],[Mean RADIAL stress  (MPa)]]</f>
        <v>Null</v>
      </c>
      <c r="Z98" s="7" t="str">
        <f>Tabella2[[#This Row],[Amplitute RADIAL stress  (MPa)]]</f>
        <v>Null</v>
      </c>
      <c r="AA9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134192.63932423588</v>
      </c>
      <c r="AG98" s="1">
        <f>IF(
   AND(ISNUMBER(Tabella2[[#This Row],[Mean TORQUE (Nmm)]]), ISNUMBER(Tabella2[[#This Row],[Amplitude TORQUE (Nmm)]])),
   Tabella2[[#This Row],[Mean TORQUE (Nmm)]]+Tabella2[[#This Row],[Amplitude TORQUE (Nmm)]],
   "Null"
)</f>
        <v>134192.63932423588</v>
      </c>
      <c r="AH9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103.92304845413264</v>
      </c>
      <c r="AI9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9" spans="1:35" x14ac:dyDescent="0.25">
      <c r="A99" s="1" t="s">
        <v>52</v>
      </c>
      <c r="B99" s="1">
        <v>2025</v>
      </c>
      <c r="C99" s="1" t="s">
        <v>51</v>
      </c>
      <c r="D99" s="1" t="s">
        <v>155</v>
      </c>
      <c r="E99" s="1">
        <v>5000000</v>
      </c>
      <c r="F99" s="1" t="s">
        <v>70</v>
      </c>
      <c r="G99" s="1" t="s">
        <v>43</v>
      </c>
      <c r="H99" s="1" t="e" vm="4">
        <v>#VALUE!</v>
      </c>
      <c r="I99" s="1" t="s">
        <v>45</v>
      </c>
      <c r="J99" s="1" t="s">
        <v>70</v>
      </c>
      <c r="K99" s="1">
        <v>22.5</v>
      </c>
      <c r="L99" s="8">
        <f>PI()*(Tabella2[[#This Row],[Diameter (mm)]]/2)^2</f>
        <v>397.60782021995817</v>
      </c>
      <c r="M99" s="8">
        <f>(PI()*Tabella2[[#This Row],[Diameter (mm)]]^4)/32</f>
        <v>25161.119873294228</v>
      </c>
      <c r="N99" s="1" t="s">
        <v>35</v>
      </c>
      <c r="O99" s="1" t="s">
        <v>35</v>
      </c>
      <c r="P99" s="1" t="s">
        <v>35</v>
      </c>
      <c r="Q99" s="1" t="s">
        <v>35</v>
      </c>
      <c r="R99" s="1">
        <v>-1</v>
      </c>
      <c r="S9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9" s="1" t="s">
        <v>35</v>
      </c>
      <c r="U9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9" s="7" t="s">
        <v>35</v>
      </c>
      <c r="W9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9" s="11">
        <v>40</v>
      </c>
      <c r="Y99" s="7" t="str">
        <f>Tabella2[[#This Row],[Mean RADIAL stress  (MPa)]]</f>
        <v>Null</v>
      </c>
      <c r="Z99" s="7" t="str">
        <f>Tabella2[[#This Row],[Amplitute RADIAL stress  (MPa)]]</f>
        <v>Null</v>
      </c>
      <c r="AA9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89461.759549490584</v>
      </c>
      <c r="AG99" s="1">
        <f>IF(
   AND(ISNUMBER(Tabella2[[#This Row],[Mean TORQUE (Nmm)]]), ISNUMBER(Tabella2[[#This Row],[Amplitude TORQUE (Nmm)]])),
   Tabella2[[#This Row],[Mean TORQUE (Nmm)]]+Tabella2[[#This Row],[Amplitude TORQUE (Nmm)]],
   "Null"
)</f>
        <v>89461.759549490584</v>
      </c>
      <c r="AH9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69.282032302755098</v>
      </c>
      <c r="AI9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0" spans="1:35" x14ac:dyDescent="0.25">
      <c r="A100" s="1" t="s">
        <v>52</v>
      </c>
      <c r="B100" s="1">
        <v>2025</v>
      </c>
      <c r="C100" s="1" t="s">
        <v>51</v>
      </c>
      <c r="D100" s="1" t="s">
        <v>156</v>
      </c>
      <c r="E100" s="11">
        <v>158091</v>
      </c>
      <c r="F100" s="1" t="s">
        <v>34</v>
      </c>
      <c r="G100" s="1" t="s">
        <v>43</v>
      </c>
      <c r="H100" s="1" t="e" vm="4">
        <v>#VALUE!</v>
      </c>
      <c r="I100" s="1" t="s">
        <v>45</v>
      </c>
      <c r="J100" s="1" t="s">
        <v>70</v>
      </c>
      <c r="K100" s="1">
        <v>22.5</v>
      </c>
      <c r="L100" s="8">
        <f>PI()*(Tabella2[[#This Row],[Diameter (mm)]]/2)^2</f>
        <v>397.60782021995817</v>
      </c>
      <c r="M100" s="8">
        <f>(PI()*Tabella2[[#This Row],[Diameter (mm)]]^4)/32</f>
        <v>25161.119873294228</v>
      </c>
      <c r="N100" s="1" t="s">
        <v>35</v>
      </c>
      <c r="O100" s="1" t="s">
        <v>35</v>
      </c>
      <c r="P100" s="1" t="s">
        <v>35</v>
      </c>
      <c r="Q100" s="1" t="s">
        <v>35</v>
      </c>
      <c r="R100" s="1">
        <v>-1</v>
      </c>
      <c r="S10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0" s="1" t="s">
        <v>35</v>
      </c>
      <c r="U10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0" s="7" t="s">
        <v>35</v>
      </c>
      <c r="W10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0" s="11">
        <v>70</v>
      </c>
      <c r="Y100" s="7" t="str">
        <f>Tabella2[[#This Row],[Mean RADIAL stress  (MPa)]]</f>
        <v>Null</v>
      </c>
      <c r="Z100" s="7" t="str">
        <f>Tabella2[[#This Row],[Amplitute RADIAL stress  (MPa)]]</f>
        <v>Null</v>
      </c>
      <c r="AA10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156558.07921160854</v>
      </c>
      <c r="AG100" s="1">
        <f>IF(
   AND(ISNUMBER(Tabella2[[#This Row],[Mean TORQUE (Nmm)]]), ISNUMBER(Tabella2[[#This Row],[Amplitude TORQUE (Nmm)]])),
   Tabella2[[#This Row],[Mean TORQUE (Nmm)]]+Tabella2[[#This Row],[Amplitude TORQUE (Nmm)]],
   "Null"
)</f>
        <v>156558.07921160854</v>
      </c>
      <c r="AH10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121.2435565298214</v>
      </c>
      <c r="AI10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1" spans="1:35" x14ac:dyDescent="0.25">
      <c r="A101" s="1" t="s">
        <v>52</v>
      </c>
      <c r="B101" s="1">
        <v>2025</v>
      </c>
      <c r="C101" s="1" t="s">
        <v>51</v>
      </c>
      <c r="D101" s="1" t="s">
        <v>157</v>
      </c>
      <c r="E101" s="11">
        <v>125436</v>
      </c>
      <c r="F101" s="1" t="s">
        <v>34</v>
      </c>
      <c r="G101" s="1" t="s">
        <v>43</v>
      </c>
      <c r="H101" s="1" t="e" vm="4">
        <v>#VALUE!</v>
      </c>
      <c r="I101" s="1" t="s">
        <v>45</v>
      </c>
      <c r="J101" s="1" t="s">
        <v>70</v>
      </c>
      <c r="K101" s="1">
        <v>22.5</v>
      </c>
      <c r="L101" s="8">
        <f>PI()*(Tabella2[[#This Row],[Diameter (mm)]]/2)^2</f>
        <v>397.60782021995817</v>
      </c>
      <c r="M101" s="8">
        <f>(PI()*Tabella2[[#This Row],[Diameter (mm)]]^4)/32</f>
        <v>25161.119873294228</v>
      </c>
      <c r="N101" s="1" t="s">
        <v>35</v>
      </c>
      <c r="O101" s="1" t="s">
        <v>35</v>
      </c>
      <c r="P101" s="1" t="s">
        <v>35</v>
      </c>
      <c r="Q101" s="1" t="s">
        <v>35</v>
      </c>
      <c r="R101" s="1">
        <v>-1</v>
      </c>
      <c r="S10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1" s="1" t="s">
        <v>35</v>
      </c>
      <c r="U10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1" s="7" t="s">
        <v>35</v>
      </c>
      <c r="W10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1" s="11">
        <v>65</v>
      </c>
      <c r="Y101" s="7" t="str">
        <f>Tabella2[[#This Row],[Mean RADIAL stress  (MPa)]]</f>
        <v>Null</v>
      </c>
      <c r="Z101" s="7" t="str">
        <f>Tabella2[[#This Row],[Amplitute RADIAL stress  (MPa)]]</f>
        <v>Null</v>
      </c>
      <c r="AA10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145375.35926792221</v>
      </c>
      <c r="AG101" s="1">
        <f>IF(
   AND(ISNUMBER(Tabella2[[#This Row],[Mean TORQUE (Nmm)]]), ISNUMBER(Tabella2[[#This Row],[Amplitude TORQUE (Nmm)]])),
   Tabella2[[#This Row],[Mean TORQUE (Nmm)]]+Tabella2[[#This Row],[Amplitude TORQUE (Nmm)]],
   "Null"
)</f>
        <v>145375.35926792221</v>
      </c>
      <c r="AH10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112.58330249197702</v>
      </c>
      <c r="AI10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2" spans="1:35" x14ac:dyDescent="0.25">
      <c r="A102" s="1" t="s">
        <v>52</v>
      </c>
      <c r="B102" s="1">
        <v>2025</v>
      </c>
      <c r="C102" s="1" t="s">
        <v>51</v>
      </c>
      <c r="D102" s="1" t="s">
        <v>158</v>
      </c>
      <c r="E102" s="1">
        <v>220411</v>
      </c>
      <c r="F102" s="1" t="s">
        <v>34</v>
      </c>
      <c r="G102" s="1" t="s">
        <v>43</v>
      </c>
      <c r="H102" s="1" t="e" vm="5">
        <v>#VALUE!</v>
      </c>
      <c r="I102" s="1" t="s">
        <v>45</v>
      </c>
      <c r="J102" s="1" t="s">
        <v>70</v>
      </c>
      <c r="K102" s="1">
        <v>22.5</v>
      </c>
      <c r="L102" s="8">
        <f>PI()*(Tabella2[[#This Row],[Diameter (mm)]]/2)^2</f>
        <v>397.60782021995817</v>
      </c>
      <c r="M102" s="8">
        <f>(PI()*Tabella2[[#This Row],[Diameter (mm)]]^4)/32</f>
        <v>25161.119873294228</v>
      </c>
      <c r="N102" s="1" t="s">
        <v>35</v>
      </c>
      <c r="O102" s="1" t="s">
        <v>35</v>
      </c>
      <c r="P102" s="1" t="s">
        <v>35</v>
      </c>
      <c r="Q102" s="1" t="s">
        <v>35</v>
      </c>
      <c r="R102" s="1">
        <v>0.1</v>
      </c>
      <c r="S10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2" s="1" t="s">
        <v>35</v>
      </c>
      <c r="U10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2" s="7" t="s">
        <v>35</v>
      </c>
      <c r="W102" s="7">
        <f>IF(ISNUMBER(Tabella2[[#This Row],[Amplitute SHEAR stress  (MPa)]]), (1+Tabella2[[#This Row],[Load ratio (TORSIONAL)]])*Tabella2[[#This Row],[Amplitute SHEAR stress  (MPa)]]/(1-Tabella2[[#This Row],[Load ratio (TORSIONAL)]]), "Null")</f>
        <v>79.444444444444443</v>
      </c>
      <c r="X102" s="1">
        <v>65</v>
      </c>
      <c r="Y102" s="7" t="str">
        <f>Tabella2[[#This Row],[Mean RADIAL stress  (MPa)]]</f>
        <v>Null</v>
      </c>
      <c r="Z102" s="7" t="str">
        <f>Tabella2[[#This Row],[Amplitute RADIAL stress  (MPa)]]</f>
        <v>Null</v>
      </c>
      <c r="AA10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177680.9946607938</v>
      </c>
      <c r="AF10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145375.35926792221</v>
      </c>
      <c r="AG102" s="1">
        <f>IF(
   AND(ISNUMBER(Tabella2[[#This Row],[Mean TORQUE (Nmm)]]), ISNUMBER(Tabella2[[#This Row],[Amplitude TORQUE (Nmm)]])),
   Tabella2[[#This Row],[Mean TORQUE (Nmm)]]+Tabella2[[#This Row],[Amplitude TORQUE (Nmm)]],
   "Null"
)</f>
        <v>323056.35392871604</v>
      </c>
      <c r="AH10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112.58330249197702</v>
      </c>
      <c r="AI10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3" spans="1:35" x14ac:dyDescent="0.25">
      <c r="A103" s="1" t="s">
        <v>52</v>
      </c>
      <c r="B103" s="1">
        <v>2025</v>
      </c>
      <c r="C103" s="1" t="s">
        <v>51</v>
      </c>
      <c r="D103" s="1" t="s">
        <v>159</v>
      </c>
      <c r="E103" s="1">
        <v>243185</v>
      </c>
      <c r="F103" s="1" t="s">
        <v>34</v>
      </c>
      <c r="G103" s="1" t="s">
        <v>43</v>
      </c>
      <c r="H103" s="1" t="e" vm="5">
        <v>#VALUE!</v>
      </c>
      <c r="I103" s="1" t="s">
        <v>45</v>
      </c>
      <c r="J103" s="1" t="s">
        <v>70</v>
      </c>
      <c r="K103" s="1">
        <v>22.5</v>
      </c>
      <c r="L103" s="8">
        <f>PI()*(Tabella2[[#This Row],[Diameter (mm)]]/2)^2</f>
        <v>397.60782021995817</v>
      </c>
      <c r="M103" s="8">
        <f>(PI()*Tabella2[[#This Row],[Diameter (mm)]]^4)/32</f>
        <v>25161.119873294228</v>
      </c>
      <c r="N103" s="1" t="s">
        <v>35</v>
      </c>
      <c r="O103" s="1" t="s">
        <v>35</v>
      </c>
      <c r="P103" s="1" t="s">
        <v>35</v>
      </c>
      <c r="Q103" s="1" t="s">
        <v>35</v>
      </c>
      <c r="R103" s="1">
        <v>0.1</v>
      </c>
      <c r="S10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3" s="1" t="s">
        <v>35</v>
      </c>
      <c r="U10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3" s="7" t="s">
        <v>35</v>
      </c>
      <c r="W103" s="7">
        <f>IF(ISNUMBER(Tabella2[[#This Row],[Amplitute SHEAR stress  (MPa)]]), (1+Tabella2[[#This Row],[Load ratio (TORSIONAL)]])*Tabella2[[#This Row],[Amplitute SHEAR stress  (MPa)]]/(1-Tabella2[[#This Row],[Load ratio (TORSIONAL)]]), "Null")</f>
        <v>67.222222222222229</v>
      </c>
      <c r="X103" s="1">
        <v>55</v>
      </c>
      <c r="Y103" s="7" t="str">
        <f>Tabella2[[#This Row],[Mean RADIAL stress  (MPa)]]</f>
        <v>Null</v>
      </c>
      <c r="Z103" s="7" t="str">
        <f>Tabella2[[#This Row],[Amplitute RADIAL stress  (MPa)]]</f>
        <v>Null</v>
      </c>
      <c r="AA10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150345.45702067172</v>
      </c>
      <c r="AF10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123009.91938054957</v>
      </c>
      <c r="AG103" s="1">
        <f>IF(
   AND(ISNUMBER(Tabella2[[#This Row],[Mean TORQUE (Nmm)]]), ISNUMBER(Tabella2[[#This Row],[Amplitude TORQUE (Nmm)]])),
   Tabella2[[#This Row],[Mean TORQUE (Nmm)]]+Tabella2[[#This Row],[Amplitude TORQUE (Nmm)]],
   "Null"
)</f>
        <v>273355.37640122126</v>
      </c>
      <c r="AH10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95.262794416288244</v>
      </c>
      <c r="AI10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4" spans="1:35" x14ac:dyDescent="0.25">
      <c r="A104" s="1" t="s">
        <v>52</v>
      </c>
      <c r="B104" s="1">
        <v>2025</v>
      </c>
      <c r="C104" s="1" t="s">
        <v>51</v>
      </c>
      <c r="D104" s="1" t="s">
        <v>160</v>
      </c>
      <c r="E104" s="1">
        <v>1051773</v>
      </c>
      <c r="F104" s="1" t="s">
        <v>34</v>
      </c>
      <c r="G104" s="1" t="s">
        <v>43</v>
      </c>
      <c r="H104" s="1" t="e" vm="5">
        <v>#VALUE!</v>
      </c>
      <c r="I104" s="1" t="s">
        <v>45</v>
      </c>
      <c r="J104" s="1" t="s">
        <v>70</v>
      </c>
      <c r="K104" s="1">
        <v>22.5</v>
      </c>
      <c r="L104" s="8">
        <f>PI()*(Tabella2[[#This Row],[Diameter (mm)]]/2)^2</f>
        <v>397.60782021995817</v>
      </c>
      <c r="M104" s="8">
        <f>(PI()*Tabella2[[#This Row],[Diameter (mm)]]^4)/32</f>
        <v>25161.119873294228</v>
      </c>
      <c r="N104" s="1" t="s">
        <v>35</v>
      </c>
      <c r="O104" s="1" t="s">
        <v>35</v>
      </c>
      <c r="P104" s="1" t="s">
        <v>35</v>
      </c>
      <c r="Q104" s="1" t="s">
        <v>35</v>
      </c>
      <c r="R104" s="1">
        <v>0.1</v>
      </c>
      <c r="S10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4" s="1" t="s">
        <v>35</v>
      </c>
      <c r="U10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4" s="7" t="s">
        <v>35</v>
      </c>
      <c r="W104" s="7">
        <f>IF(ISNUMBER(Tabella2[[#This Row],[Amplitute SHEAR stress  (MPa)]]), (1+Tabella2[[#This Row],[Load ratio (TORSIONAL)]])*Tabella2[[#This Row],[Amplitute SHEAR stress  (MPa)]]/(1-Tabella2[[#This Row],[Load ratio (TORSIONAL)]]), "Null")</f>
        <v>67.222222222222229</v>
      </c>
      <c r="X104" s="1">
        <v>55</v>
      </c>
      <c r="Y104" s="7" t="str">
        <f>Tabella2[[#This Row],[Mean RADIAL stress  (MPa)]]</f>
        <v>Null</v>
      </c>
      <c r="Z104" s="7" t="str">
        <f>Tabella2[[#This Row],[Amplitute RADIAL stress  (MPa)]]</f>
        <v>Null</v>
      </c>
      <c r="AA10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150345.45702067172</v>
      </c>
      <c r="AF10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123009.91938054957</v>
      </c>
      <c r="AG104" s="1">
        <f>IF(
   AND(ISNUMBER(Tabella2[[#This Row],[Mean TORQUE (Nmm)]]), ISNUMBER(Tabella2[[#This Row],[Amplitude TORQUE (Nmm)]])),
   Tabella2[[#This Row],[Mean TORQUE (Nmm)]]+Tabella2[[#This Row],[Amplitude TORQUE (Nmm)]],
   "Null"
)</f>
        <v>273355.37640122126</v>
      </c>
      <c r="AH10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95.262794416288244</v>
      </c>
      <c r="AI10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5" spans="1:35" x14ac:dyDescent="0.25">
      <c r="A105" s="1" t="s">
        <v>52</v>
      </c>
      <c r="B105" s="1">
        <v>2025</v>
      </c>
      <c r="C105" s="1" t="s">
        <v>51</v>
      </c>
      <c r="D105" s="1" t="s">
        <v>161</v>
      </c>
      <c r="E105" s="1">
        <v>4134564</v>
      </c>
      <c r="F105" s="1" t="s">
        <v>34</v>
      </c>
      <c r="G105" s="1" t="s">
        <v>43</v>
      </c>
      <c r="H105" s="1" t="e" vm="5">
        <v>#VALUE!</v>
      </c>
      <c r="I105" s="1" t="s">
        <v>45</v>
      </c>
      <c r="J105" s="1" t="s">
        <v>70</v>
      </c>
      <c r="K105" s="1">
        <v>22.5</v>
      </c>
      <c r="L105" s="8">
        <f>PI()*(Tabella2[[#This Row],[Diameter (mm)]]/2)^2</f>
        <v>397.60782021995817</v>
      </c>
      <c r="M105" s="8">
        <f>(PI()*Tabella2[[#This Row],[Diameter (mm)]]^4)/32</f>
        <v>25161.119873294228</v>
      </c>
      <c r="N105" s="1" t="s">
        <v>35</v>
      </c>
      <c r="O105" s="1" t="s">
        <v>35</v>
      </c>
      <c r="P105" s="1" t="s">
        <v>35</v>
      </c>
      <c r="Q105" s="1" t="s">
        <v>35</v>
      </c>
      <c r="R105" s="1">
        <v>0.1</v>
      </c>
      <c r="S10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5" s="1" t="s">
        <v>35</v>
      </c>
      <c r="U10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5" s="7" t="s">
        <v>35</v>
      </c>
      <c r="W105" s="7">
        <f>IF(ISNUMBER(Tabella2[[#This Row],[Amplitute SHEAR stress  (MPa)]]), (1+Tabella2[[#This Row],[Load ratio (TORSIONAL)]])*Tabella2[[#This Row],[Amplitute SHEAR stress  (MPa)]]/(1-Tabella2[[#This Row],[Load ratio (TORSIONAL)]]), "Null")</f>
        <v>61.111111111111114</v>
      </c>
      <c r="X105" s="1">
        <v>50</v>
      </c>
      <c r="Y105" s="7" t="str">
        <f>Tabella2[[#This Row],[Mean RADIAL stress  (MPa)]]</f>
        <v>Null</v>
      </c>
      <c r="Z105" s="7" t="str">
        <f>Tabella2[[#This Row],[Amplitute RADIAL stress  (MPa)]]</f>
        <v>Null</v>
      </c>
      <c r="AA10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136677.68820061063</v>
      </c>
      <c r="AF10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111827.19943686324</v>
      </c>
      <c r="AG105" s="1">
        <f>IF(
   AND(ISNUMBER(Tabella2[[#This Row],[Mean TORQUE (Nmm)]]), ISNUMBER(Tabella2[[#This Row],[Amplitude TORQUE (Nmm)]])),
   Tabella2[[#This Row],[Mean TORQUE (Nmm)]]+Tabella2[[#This Row],[Amplitude TORQUE (Nmm)]],
   "Null"
)</f>
        <v>248504.88763747388</v>
      </c>
      <c r="AH10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86.602540378443862</v>
      </c>
      <c r="AI10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6" spans="1:35" x14ac:dyDescent="0.25">
      <c r="A106" s="1" t="s">
        <v>52</v>
      </c>
      <c r="B106" s="1">
        <v>2025</v>
      </c>
      <c r="C106" s="1" t="s">
        <v>51</v>
      </c>
      <c r="D106" s="1" t="s">
        <v>162</v>
      </c>
      <c r="E106" s="1">
        <v>796520</v>
      </c>
      <c r="F106" s="1" t="s">
        <v>34</v>
      </c>
      <c r="G106" s="1" t="s">
        <v>43</v>
      </c>
      <c r="H106" s="1" t="e" vm="5">
        <v>#VALUE!</v>
      </c>
      <c r="I106" s="1" t="s">
        <v>45</v>
      </c>
      <c r="J106" s="1" t="s">
        <v>70</v>
      </c>
      <c r="K106" s="1">
        <v>22.5</v>
      </c>
      <c r="L106" s="8">
        <f>PI()*(Tabella2[[#This Row],[Diameter (mm)]]/2)^2</f>
        <v>397.60782021995817</v>
      </c>
      <c r="M106" s="8">
        <f>(PI()*Tabella2[[#This Row],[Diameter (mm)]]^4)/32</f>
        <v>25161.119873294228</v>
      </c>
      <c r="N106" s="1" t="s">
        <v>35</v>
      </c>
      <c r="O106" s="1" t="s">
        <v>35</v>
      </c>
      <c r="P106" s="1" t="s">
        <v>35</v>
      </c>
      <c r="Q106" s="1" t="s">
        <v>35</v>
      </c>
      <c r="R106" s="1">
        <v>0.1</v>
      </c>
      <c r="S10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6" s="1" t="s">
        <v>35</v>
      </c>
      <c r="U10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6" s="7" t="s">
        <v>35</v>
      </c>
      <c r="W106" s="7">
        <f>IF(ISNUMBER(Tabella2[[#This Row],[Amplitute SHEAR stress  (MPa)]]), (1+Tabella2[[#This Row],[Load ratio (TORSIONAL)]])*Tabella2[[#This Row],[Amplitute SHEAR stress  (MPa)]]/(1-Tabella2[[#This Row],[Load ratio (TORSIONAL)]]), "Null")</f>
        <v>67.222222222222229</v>
      </c>
      <c r="X106" s="1">
        <v>55</v>
      </c>
      <c r="Y106" s="7" t="str">
        <f>Tabella2[[#This Row],[Mean RADIAL stress  (MPa)]]</f>
        <v>Null</v>
      </c>
      <c r="Z106" s="7" t="str">
        <f>Tabella2[[#This Row],[Amplitute RADIAL stress  (MPa)]]</f>
        <v>Null</v>
      </c>
      <c r="AA10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150345.45702067172</v>
      </c>
      <c r="AF10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123009.91938054957</v>
      </c>
      <c r="AG106" s="1">
        <f>IF(
   AND(ISNUMBER(Tabella2[[#This Row],[Mean TORQUE (Nmm)]]), ISNUMBER(Tabella2[[#This Row],[Amplitude TORQUE (Nmm)]])),
   Tabella2[[#This Row],[Mean TORQUE (Nmm)]]+Tabella2[[#This Row],[Amplitude TORQUE (Nmm)]],
   "Null"
)</f>
        <v>273355.37640122126</v>
      </c>
      <c r="AH10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95.262794416288244</v>
      </c>
      <c r="AI10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7" spans="1:35" x14ac:dyDescent="0.25">
      <c r="A107" s="1" t="s">
        <v>52</v>
      </c>
      <c r="B107" s="1">
        <v>2025</v>
      </c>
      <c r="C107" s="1" t="s">
        <v>51</v>
      </c>
      <c r="D107" s="1" t="s">
        <v>163</v>
      </c>
      <c r="E107" s="1">
        <v>744063</v>
      </c>
      <c r="F107" s="1" t="s">
        <v>34</v>
      </c>
      <c r="G107" s="1" t="s">
        <v>43</v>
      </c>
      <c r="H107" s="1" t="e" vm="5">
        <v>#VALUE!</v>
      </c>
      <c r="I107" s="1" t="s">
        <v>45</v>
      </c>
      <c r="J107" s="1" t="s">
        <v>70</v>
      </c>
      <c r="K107" s="1">
        <v>22.5</v>
      </c>
      <c r="L107" s="8">
        <f>PI()*(Tabella2[[#This Row],[Diameter (mm)]]/2)^2</f>
        <v>397.60782021995817</v>
      </c>
      <c r="M107" s="8">
        <f>(PI()*Tabella2[[#This Row],[Diameter (mm)]]^4)/32</f>
        <v>25161.119873294228</v>
      </c>
      <c r="N107" s="1" t="s">
        <v>35</v>
      </c>
      <c r="O107" s="1" t="s">
        <v>35</v>
      </c>
      <c r="P107" s="1" t="s">
        <v>35</v>
      </c>
      <c r="Q107" s="1" t="s">
        <v>35</v>
      </c>
      <c r="R107" s="1">
        <v>0.1</v>
      </c>
      <c r="S10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7" s="1" t="s">
        <v>35</v>
      </c>
      <c r="U10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7" s="7" t="s">
        <v>35</v>
      </c>
      <c r="W107" s="7">
        <f>IF(ISNUMBER(Tabella2[[#This Row],[Amplitute SHEAR stress  (MPa)]]), (1+Tabella2[[#This Row],[Load ratio (TORSIONAL)]])*Tabella2[[#This Row],[Amplitute SHEAR stress  (MPa)]]/(1-Tabella2[[#This Row],[Load ratio (TORSIONAL)]]), "Null")</f>
        <v>67.222222222222229</v>
      </c>
      <c r="X107" s="1">
        <v>55</v>
      </c>
      <c r="Y107" s="7" t="str">
        <f>Tabella2[[#This Row],[Mean RADIAL stress  (MPa)]]</f>
        <v>Null</v>
      </c>
      <c r="Z107" s="7" t="str">
        <f>Tabella2[[#This Row],[Amplitute RADIAL stress  (MPa)]]</f>
        <v>Null</v>
      </c>
      <c r="AA10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150345.45702067172</v>
      </c>
      <c r="AF10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123009.91938054957</v>
      </c>
      <c r="AG107" s="1">
        <f>IF(
   AND(ISNUMBER(Tabella2[[#This Row],[Mean TORQUE (Nmm)]]), ISNUMBER(Tabella2[[#This Row],[Amplitude TORQUE (Nmm)]])),
   Tabella2[[#This Row],[Mean TORQUE (Nmm)]]+Tabella2[[#This Row],[Amplitude TORQUE (Nmm)]],
   "Null"
)</f>
        <v>273355.37640122126</v>
      </c>
      <c r="AH10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95.262794416288244</v>
      </c>
      <c r="AI10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8" spans="1:35" x14ac:dyDescent="0.25">
      <c r="A108" s="1" t="s">
        <v>52</v>
      </c>
      <c r="B108" s="1">
        <v>2025</v>
      </c>
      <c r="C108" s="1" t="s">
        <v>51</v>
      </c>
      <c r="D108" s="1" t="s">
        <v>164</v>
      </c>
      <c r="E108" s="1">
        <v>569659</v>
      </c>
      <c r="F108" s="1" t="s">
        <v>34</v>
      </c>
      <c r="G108" s="1" t="s">
        <v>43</v>
      </c>
      <c r="H108" s="1" t="e" vm="5">
        <v>#VALUE!</v>
      </c>
      <c r="I108" s="1" t="s">
        <v>45</v>
      </c>
      <c r="J108" s="1" t="s">
        <v>70</v>
      </c>
      <c r="K108" s="1">
        <v>22.5</v>
      </c>
      <c r="L108" s="8">
        <f>PI()*(Tabella2[[#This Row],[Diameter (mm)]]/2)^2</f>
        <v>397.60782021995817</v>
      </c>
      <c r="M108" s="8">
        <f>(PI()*Tabella2[[#This Row],[Diameter (mm)]]^4)/32</f>
        <v>25161.119873294228</v>
      </c>
      <c r="N108" s="1" t="s">
        <v>35</v>
      </c>
      <c r="O108" s="1" t="s">
        <v>35</v>
      </c>
      <c r="P108" s="1" t="s">
        <v>35</v>
      </c>
      <c r="Q108" s="1" t="s">
        <v>35</v>
      </c>
      <c r="R108" s="1">
        <v>0.1</v>
      </c>
      <c r="S10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8" s="1" t="s">
        <v>35</v>
      </c>
      <c r="U10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8" s="7" t="s">
        <v>35</v>
      </c>
      <c r="W108" s="7">
        <f>IF(ISNUMBER(Tabella2[[#This Row],[Amplitute SHEAR stress  (MPa)]]), (1+Tabella2[[#This Row],[Load ratio (TORSIONAL)]])*Tabella2[[#This Row],[Amplitute SHEAR stress  (MPa)]]/(1-Tabella2[[#This Row],[Load ratio (TORSIONAL)]]), "Null")</f>
        <v>79.444444444444443</v>
      </c>
      <c r="X108" s="1">
        <v>65</v>
      </c>
      <c r="Y108" s="7" t="str">
        <f>Tabella2[[#This Row],[Mean RADIAL stress  (MPa)]]</f>
        <v>Null</v>
      </c>
      <c r="Z108" s="7" t="str">
        <f>Tabella2[[#This Row],[Amplitute RADIAL stress  (MPa)]]</f>
        <v>Null</v>
      </c>
      <c r="AA10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177680.9946607938</v>
      </c>
      <c r="AF10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145375.35926792221</v>
      </c>
      <c r="AG108" s="1">
        <f>IF(
   AND(ISNUMBER(Tabella2[[#This Row],[Mean TORQUE (Nmm)]]), ISNUMBER(Tabella2[[#This Row],[Amplitude TORQUE (Nmm)]])),
   Tabella2[[#This Row],[Mean TORQUE (Nmm)]]+Tabella2[[#This Row],[Amplitude TORQUE (Nmm)]],
   "Null"
)</f>
        <v>323056.35392871604</v>
      </c>
      <c r="AH10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112.58330249197702</v>
      </c>
      <c r="AI10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09" spans="1:35" x14ac:dyDescent="0.25">
      <c r="A109" s="1" t="s">
        <v>52</v>
      </c>
      <c r="B109" s="1">
        <v>2025</v>
      </c>
      <c r="C109" s="1" t="s">
        <v>51</v>
      </c>
      <c r="D109" s="1" t="s">
        <v>165</v>
      </c>
      <c r="E109" s="1">
        <v>639835</v>
      </c>
      <c r="F109" s="1" t="s">
        <v>34</v>
      </c>
      <c r="G109" s="1" t="s">
        <v>43</v>
      </c>
      <c r="H109" s="1" t="e" vm="5">
        <v>#VALUE!</v>
      </c>
      <c r="I109" s="1" t="s">
        <v>45</v>
      </c>
      <c r="J109" s="1" t="s">
        <v>70</v>
      </c>
      <c r="K109" s="1">
        <v>22.5</v>
      </c>
      <c r="L109" s="8">
        <f>PI()*(Tabella2[[#This Row],[Diameter (mm)]]/2)^2</f>
        <v>397.60782021995817</v>
      </c>
      <c r="M109" s="8">
        <f>(PI()*Tabella2[[#This Row],[Diameter (mm)]]^4)/32</f>
        <v>25161.119873294228</v>
      </c>
      <c r="N109" s="1" t="s">
        <v>35</v>
      </c>
      <c r="O109" s="1" t="s">
        <v>35</v>
      </c>
      <c r="P109" s="1" t="s">
        <v>35</v>
      </c>
      <c r="Q109" s="1" t="s">
        <v>35</v>
      </c>
      <c r="R109" s="1">
        <v>0.1</v>
      </c>
      <c r="S10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9" s="1" t="s">
        <v>35</v>
      </c>
      <c r="U10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9" s="7" t="s">
        <v>35</v>
      </c>
      <c r="W109" s="7">
        <f>IF(ISNUMBER(Tabella2[[#This Row],[Amplitute SHEAR stress  (MPa)]]), (1+Tabella2[[#This Row],[Load ratio (TORSIONAL)]])*Tabella2[[#This Row],[Amplitute SHEAR stress  (MPa)]]/(1-Tabella2[[#This Row],[Load ratio (TORSIONAL)]]), "Null")</f>
        <v>79.444444444444443</v>
      </c>
      <c r="X109" s="1">
        <v>65</v>
      </c>
      <c r="Y109" s="7" t="str">
        <f>Tabella2[[#This Row],[Mean RADIAL stress  (MPa)]]</f>
        <v>Null</v>
      </c>
      <c r="Z109" s="7" t="str">
        <f>Tabella2[[#This Row],[Amplitute RADIAL stress  (MPa)]]</f>
        <v>Null</v>
      </c>
      <c r="AA10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177680.9946607938</v>
      </c>
      <c r="AF10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145375.35926792221</v>
      </c>
      <c r="AG109" s="1">
        <f>IF(
   AND(ISNUMBER(Tabella2[[#This Row],[Mean TORQUE (Nmm)]]), ISNUMBER(Tabella2[[#This Row],[Amplitude TORQUE (Nmm)]])),
   Tabella2[[#This Row],[Mean TORQUE (Nmm)]]+Tabella2[[#This Row],[Amplitude TORQUE (Nmm)]],
   "Null"
)</f>
        <v>323056.35392871604</v>
      </c>
      <c r="AH10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112.58330249197702</v>
      </c>
      <c r="AI10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0" spans="1:35" x14ac:dyDescent="0.25">
      <c r="A110" s="1" t="s">
        <v>52</v>
      </c>
      <c r="B110" s="1">
        <v>2025</v>
      </c>
      <c r="C110" s="1" t="s">
        <v>51</v>
      </c>
      <c r="D110" s="1" t="s">
        <v>166</v>
      </c>
      <c r="E110" s="1">
        <v>5000000</v>
      </c>
      <c r="F110" s="1" t="s">
        <v>70</v>
      </c>
      <c r="G110" s="1" t="s">
        <v>43</v>
      </c>
      <c r="H110" s="1" t="e" vm="5">
        <v>#VALUE!</v>
      </c>
      <c r="I110" s="1" t="s">
        <v>45</v>
      </c>
      <c r="J110" s="1" t="s">
        <v>70</v>
      </c>
      <c r="K110" s="1">
        <v>22.5</v>
      </c>
      <c r="L110" s="8">
        <f>PI()*(Tabella2[[#This Row],[Diameter (mm)]]/2)^2</f>
        <v>397.60782021995817</v>
      </c>
      <c r="M110" s="8">
        <f>(PI()*Tabella2[[#This Row],[Diameter (mm)]]^4)/32</f>
        <v>25161.119873294228</v>
      </c>
      <c r="N110" s="1" t="s">
        <v>35</v>
      </c>
      <c r="O110" s="1" t="s">
        <v>35</v>
      </c>
      <c r="P110" s="1" t="s">
        <v>35</v>
      </c>
      <c r="Q110" s="1" t="s">
        <v>35</v>
      </c>
      <c r="R110" s="1">
        <v>0.1</v>
      </c>
      <c r="S11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0" s="1" t="s">
        <v>35</v>
      </c>
      <c r="U11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10" s="7" t="s">
        <v>35</v>
      </c>
      <c r="W110" s="7">
        <f>IF(ISNUMBER(Tabella2[[#This Row],[Amplitute SHEAR stress  (MPa)]]), (1+Tabella2[[#This Row],[Load ratio (TORSIONAL)]])*Tabella2[[#This Row],[Amplitute SHEAR stress  (MPa)]]/(1-Tabella2[[#This Row],[Load ratio (TORSIONAL)]]), "Null")</f>
        <v>61.111111111111114</v>
      </c>
      <c r="X110" s="1">
        <v>50</v>
      </c>
      <c r="Y110" s="7" t="str">
        <f>Tabella2[[#This Row],[Mean RADIAL stress  (MPa)]]</f>
        <v>Null</v>
      </c>
      <c r="Z110" s="7" t="str">
        <f>Tabella2[[#This Row],[Amplitute RADIAL stress  (MPa)]]</f>
        <v>Null</v>
      </c>
      <c r="AA11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1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1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1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136677.68820061063</v>
      </c>
      <c r="AF11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111827.19943686324</v>
      </c>
      <c r="AG110" s="1">
        <f>IF(
   AND(ISNUMBER(Tabella2[[#This Row],[Mean TORQUE (Nmm)]]), ISNUMBER(Tabella2[[#This Row],[Amplitude TORQUE (Nmm)]])),
   Tabella2[[#This Row],[Mean TORQUE (Nmm)]]+Tabella2[[#This Row],[Amplitude TORQUE (Nmm)]],
   "Null"
)</f>
        <v>248504.88763747388</v>
      </c>
      <c r="AH11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86.602540378443862</v>
      </c>
      <c r="AI11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1" spans="1:35" x14ac:dyDescent="0.25">
      <c r="A111" s="1" t="s">
        <v>52</v>
      </c>
      <c r="B111" s="1">
        <v>2025</v>
      </c>
      <c r="C111" s="1" t="s">
        <v>51</v>
      </c>
      <c r="D111" s="1" t="s">
        <v>167</v>
      </c>
      <c r="E111" s="1">
        <v>100836</v>
      </c>
      <c r="F111" s="1" t="s">
        <v>34</v>
      </c>
      <c r="G111" s="1" t="s">
        <v>43</v>
      </c>
      <c r="H111" s="1" t="e" vm="5">
        <v>#VALUE!</v>
      </c>
      <c r="I111" s="1" t="s">
        <v>45</v>
      </c>
      <c r="J111" s="1" t="s">
        <v>70</v>
      </c>
      <c r="K111" s="1">
        <v>22.5</v>
      </c>
      <c r="L111" s="8">
        <f>PI()*(Tabella2[[#This Row],[Diameter (mm)]]/2)^2</f>
        <v>397.60782021995817</v>
      </c>
      <c r="M111" s="8">
        <f>(PI()*Tabella2[[#This Row],[Diameter (mm)]]^4)/32</f>
        <v>25161.119873294228</v>
      </c>
      <c r="N111" s="1" t="s">
        <v>35</v>
      </c>
      <c r="O111" s="1" t="s">
        <v>35</v>
      </c>
      <c r="P111" s="1" t="s">
        <v>35</v>
      </c>
      <c r="Q111" s="1" t="s">
        <v>35</v>
      </c>
      <c r="R111" s="1">
        <v>0.1</v>
      </c>
      <c r="S11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1" s="1" t="s">
        <v>35</v>
      </c>
      <c r="U11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11" s="7" t="s">
        <v>35</v>
      </c>
      <c r="W111" s="7">
        <f>IF(ISNUMBER(Tabella2[[#This Row],[Amplitute SHEAR stress  (MPa)]]), (1+Tabella2[[#This Row],[Load ratio (TORSIONAL)]])*Tabella2[[#This Row],[Amplitute SHEAR stress  (MPa)]]/(1-Tabella2[[#This Row],[Load ratio (TORSIONAL)]]), "Null")</f>
        <v>91.666666666666671</v>
      </c>
      <c r="X111" s="1">
        <v>75</v>
      </c>
      <c r="Y111" s="7" t="str">
        <f>Tabella2[[#This Row],[Mean RADIAL stress  (MPa)]]</f>
        <v>Null</v>
      </c>
      <c r="Z111" s="7" t="str">
        <f>Tabella2[[#This Row],[Amplitute RADIAL stress  (MPa)]]</f>
        <v>Null</v>
      </c>
      <c r="AA11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1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1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1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205016.53230091595</v>
      </c>
      <c r="AF11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167740.79915529487</v>
      </c>
      <c r="AG111" s="1">
        <f>IF(
   AND(ISNUMBER(Tabella2[[#This Row],[Mean TORQUE (Nmm)]]), ISNUMBER(Tabella2[[#This Row],[Amplitude TORQUE (Nmm)]])),
   Tabella2[[#This Row],[Mean TORQUE (Nmm)]]+Tabella2[[#This Row],[Amplitude TORQUE (Nmm)]],
   "Null"
)</f>
        <v>372757.33145621081</v>
      </c>
      <c r="AH11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129.9038105676658</v>
      </c>
      <c r="AI11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2" spans="1:35" x14ac:dyDescent="0.25">
      <c r="A112" s="1" t="s">
        <v>52</v>
      </c>
      <c r="B112" s="1">
        <v>2025</v>
      </c>
      <c r="C112" s="1" t="s">
        <v>51</v>
      </c>
      <c r="D112" s="1" t="s">
        <v>168</v>
      </c>
      <c r="E112" s="1">
        <v>792001</v>
      </c>
      <c r="F112" s="1" t="s">
        <v>34</v>
      </c>
      <c r="G112" s="1" t="s">
        <v>43</v>
      </c>
      <c r="H112" s="1" t="e" vm="6">
        <v>#VALUE!</v>
      </c>
      <c r="I112" s="1" t="s">
        <v>45</v>
      </c>
      <c r="J112" s="1" t="s">
        <v>47</v>
      </c>
      <c r="K112" s="1">
        <v>14</v>
      </c>
      <c r="L112" s="8">
        <f>PI()*(Tabella2[[#This Row],[Diameter (mm)]]/2)^2</f>
        <v>153.93804002589985</v>
      </c>
      <c r="M112" s="8">
        <f>(PI()*Tabella2[[#This Row],[Diameter (mm)]]^4)/32</f>
        <v>3771.4819806345467</v>
      </c>
      <c r="N112" s="1" t="s">
        <v>35</v>
      </c>
      <c r="O112" s="1">
        <v>0</v>
      </c>
      <c r="P112" s="1" t="s">
        <v>35</v>
      </c>
      <c r="Q112" s="1">
        <v>-1</v>
      </c>
      <c r="R112" s="1">
        <v>-1</v>
      </c>
      <c r="S11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2" s="1" t="s">
        <v>35</v>
      </c>
      <c r="U11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2" s="1">
        <v>120</v>
      </c>
      <c r="W11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2" s="7">
        <v>69.282032302755098</v>
      </c>
      <c r="Y112" s="7" t="str">
        <f>Tabella2[[#This Row],[Mean RADIAL stress  (MPa)]]</f>
        <v>Null</v>
      </c>
      <c r="Z112" s="7" t="str">
        <f>Tabella2[[#This Row],[Amplitute RADIAL stress  (MPa)]]</f>
        <v>Null</v>
      </c>
      <c r="AA11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2" s="8">
        <f>IF( AND(ISNUMBER(Tabella2[[#This Row],[Mean AXIAL stress  (MPa)]]), ISNUMBER(Tabella2[[#This Row],[Area (mm^2)]])), Tabella2[[#This Row],[Mean AXIAL stress  (MPa)]]*Tabella2[[#This Row],[Area (mm^2)]], "Null")</f>
        <v>0</v>
      </c>
      <c r="AC112" s="8">
        <f>IF( AND(ISNUMBER(Tabella2[[#This Row],[Amplitute AXIAL stress  (MPa)]]), ISNUMBER(Tabella2[[#This Row],[Area (mm^2)]])), Tabella2[[#This Row],[Amplitute AXIAL stress  (MPa)]]*Tabella2[[#This Row],[Area (mm^2)]],"Null")</f>
        <v>18472.564803107984</v>
      </c>
      <c r="AD112" s="8">
        <f>IF( AND(ISNUMBER(Tabella2[[#This Row],[Amplitude AXIAL force (N)]]), ISNUMBER(Tabella2[[#This Row],[Mean AXIAL force (N)]])), Tabella2[[#This Row],[Amplitude AXIAL force (N)]]+Tabella2[[#This Row],[Mean AXIAL force (N)]],"Null")</f>
        <v>18472.564803107984</v>
      </c>
      <c r="AE11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37327.990915940209</v>
      </c>
      <c r="AG112" s="1">
        <f>IF(
   AND(ISNUMBER(Tabella2[[#This Row],[Mean TORQUE (Nmm)]]), ISNUMBER(Tabella2[[#This Row],[Amplitude TORQUE (Nmm)]])),
   Tabella2[[#This Row],[Mean TORQUE (Nmm)]]+Tabella2[[#This Row],[Amplitude TORQUE (Nmm)]],
   "Null"
)</f>
        <v>37327.990915940209</v>
      </c>
      <c r="AH11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169.70562748477141</v>
      </c>
      <c r="AI11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13" spans="1:35" x14ac:dyDescent="0.25">
      <c r="A113" s="1" t="s">
        <v>52</v>
      </c>
      <c r="B113" s="1">
        <v>2025</v>
      </c>
      <c r="C113" s="1" t="s">
        <v>51</v>
      </c>
      <c r="D113" s="1" t="s">
        <v>169</v>
      </c>
      <c r="E113" s="1">
        <v>1075519</v>
      </c>
      <c r="F113" s="1" t="s">
        <v>34</v>
      </c>
      <c r="G113" s="1" t="s">
        <v>43</v>
      </c>
      <c r="H113" s="1" t="e" vm="6">
        <v>#VALUE!</v>
      </c>
      <c r="I113" s="1" t="s">
        <v>45</v>
      </c>
      <c r="J113" s="1" t="s">
        <v>47</v>
      </c>
      <c r="K113" s="1">
        <v>14</v>
      </c>
      <c r="L113" s="8">
        <f>PI()*(Tabella2[[#This Row],[Diameter (mm)]]/2)^2</f>
        <v>153.93804002589985</v>
      </c>
      <c r="M113" s="8">
        <f>(PI()*Tabella2[[#This Row],[Diameter (mm)]]^4)/32</f>
        <v>3771.4819806345467</v>
      </c>
      <c r="N113" s="1" t="s">
        <v>35</v>
      </c>
      <c r="O113" s="1">
        <v>0</v>
      </c>
      <c r="P113" s="1" t="s">
        <v>35</v>
      </c>
      <c r="Q113" s="1">
        <v>-1</v>
      </c>
      <c r="R113" s="1">
        <v>-1</v>
      </c>
      <c r="S11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3" s="1" t="s">
        <v>35</v>
      </c>
      <c r="U11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3" s="1">
        <v>130</v>
      </c>
      <c r="W11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3" s="7">
        <v>75.055534994651353</v>
      </c>
      <c r="Y113" s="7" t="str">
        <f>Tabella2[[#This Row],[Mean RADIAL stress  (MPa)]]</f>
        <v>Null</v>
      </c>
      <c r="Z113" s="7" t="str">
        <f>Tabella2[[#This Row],[Amplitute RADIAL stress  (MPa)]]</f>
        <v>Null</v>
      </c>
      <c r="AA11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3" s="8">
        <f>IF( AND(ISNUMBER(Tabella2[[#This Row],[Mean AXIAL stress  (MPa)]]), ISNUMBER(Tabella2[[#This Row],[Area (mm^2)]])), Tabella2[[#This Row],[Mean AXIAL stress  (MPa)]]*Tabella2[[#This Row],[Area (mm^2)]], "Null")</f>
        <v>0</v>
      </c>
      <c r="AC113" s="8">
        <f>IF( AND(ISNUMBER(Tabella2[[#This Row],[Amplitute AXIAL stress  (MPa)]]), ISNUMBER(Tabella2[[#This Row],[Area (mm^2)]])), Tabella2[[#This Row],[Amplitute AXIAL stress  (MPa)]]*Tabella2[[#This Row],[Area (mm^2)]],"Null")</f>
        <v>20011.94520336698</v>
      </c>
      <c r="AD113" s="8">
        <f>IF( AND(ISNUMBER(Tabella2[[#This Row],[Amplitude AXIAL force (N)]]), ISNUMBER(Tabella2[[#This Row],[Mean AXIAL force (N)]])), Tabella2[[#This Row],[Amplitude AXIAL force (N)]]+Tabella2[[#This Row],[Mean AXIAL force (N)]],"Null")</f>
        <v>20011.94520336698</v>
      </c>
      <c r="AE11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40438.656825601887</v>
      </c>
      <c r="AG113" s="1">
        <f>IF(
   AND(ISNUMBER(Tabella2[[#This Row],[Mean TORQUE (Nmm)]]), ISNUMBER(Tabella2[[#This Row],[Amplitude TORQUE (Nmm)]])),
   Tabella2[[#This Row],[Mean TORQUE (Nmm)]]+Tabella2[[#This Row],[Amplitude TORQUE (Nmm)]],
   "Null"
)</f>
        <v>40438.656825601887</v>
      </c>
      <c r="AH11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183.84776310850236</v>
      </c>
      <c r="AI11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14" spans="1:35" x14ac:dyDescent="0.25">
      <c r="A114" s="1" t="s">
        <v>52</v>
      </c>
      <c r="B114" s="1">
        <v>2025</v>
      </c>
      <c r="C114" s="1" t="s">
        <v>51</v>
      </c>
      <c r="D114" s="1" t="s">
        <v>170</v>
      </c>
      <c r="E114" s="1">
        <v>1605801</v>
      </c>
      <c r="F114" s="1" t="s">
        <v>34</v>
      </c>
      <c r="G114" s="1" t="s">
        <v>43</v>
      </c>
      <c r="H114" s="1" t="e" vm="6">
        <v>#VALUE!</v>
      </c>
      <c r="I114" s="1" t="s">
        <v>45</v>
      </c>
      <c r="J114" s="1" t="s">
        <v>47</v>
      </c>
      <c r="K114" s="1">
        <v>14</v>
      </c>
      <c r="L114" s="8">
        <f>PI()*(Tabella2[[#This Row],[Diameter (mm)]]/2)^2</f>
        <v>153.93804002589985</v>
      </c>
      <c r="M114" s="8">
        <f>(PI()*Tabella2[[#This Row],[Diameter (mm)]]^4)/32</f>
        <v>3771.4819806345467</v>
      </c>
      <c r="N114" s="1" t="s">
        <v>35</v>
      </c>
      <c r="O114" s="1">
        <v>0</v>
      </c>
      <c r="P114" s="1" t="s">
        <v>35</v>
      </c>
      <c r="Q114" s="1">
        <v>-1</v>
      </c>
      <c r="R114" s="1">
        <v>-1</v>
      </c>
      <c r="S11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4" s="1" t="s">
        <v>35</v>
      </c>
      <c r="U11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4" s="1">
        <v>110</v>
      </c>
      <c r="W11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4" s="7">
        <v>63.508529610858844</v>
      </c>
      <c r="Y114" s="7" t="str">
        <f>Tabella2[[#This Row],[Mean RADIAL stress  (MPa)]]</f>
        <v>Null</v>
      </c>
      <c r="Z114" s="7" t="str">
        <f>Tabella2[[#This Row],[Amplitute RADIAL stress  (MPa)]]</f>
        <v>Null</v>
      </c>
      <c r="AA11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4" s="8">
        <f>IF( AND(ISNUMBER(Tabella2[[#This Row],[Mean AXIAL stress  (MPa)]]), ISNUMBER(Tabella2[[#This Row],[Area (mm^2)]])), Tabella2[[#This Row],[Mean AXIAL stress  (MPa)]]*Tabella2[[#This Row],[Area (mm^2)]], "Null")</f>
        <v>0</v>
      </c>
      <c r="AC114" s="8">
        <f>IF( AND(ISNUMBER(Tabella2[[#This Row],[Amplitute AXIAL stress  (MPa)]]), ISNUMBER(Tabella2[[#This Row],[Area (mm^2)]])), Tabella2[[#This Row],[Amplitute AXIAL stress  (MPa)]]*Tabella2[[#This Row],[Area (mm^2)]],"Null")</f>
        <v>16933.184402848983</v>
      </c>
      <c r="AD114" s="8">
        <f>IF( AND(ISNUMBER(Tabella2[[#This Row],[Amplitude AXIAL force (N)]]), ISNUMBER(Tabella2[[#This Row],[Mean AXIAL force (N)]])), Tabella2[[#This Row],[Amplitude AXIAL force (N)]]+Tabella2[[#This Row],[Mean AXIAL force (N)]],"Null")</f>
        <v>16933.184402848983</v>
      </c>
      <c r="AE11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34217.325006278523</v>
      </c>
      <c r="AG114" s="1">
        <f>IF(
   AND(ISNUMBER(Tabella2[[#This Row],[Mean TORQUE (Nmm)]]), ISNUMBER(Tabella2[[#This Row],[Amplitude TORQUE (Nmm)]])),
   Tabella2[[#This Row],[Mean TORQUE (Nmm)]]+Tabella2[[#This Row],[Amplitude TORQUE (Nmm)]],
   "Null"
)</f>
        <v>34217.325006278523</v>
      </c>
      <c r="AH11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155.56349186104046</v>
      </c>
      <c r="AI11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15" spans="1:35" x14ac:dyDescent="0.25">
      <c r="A115" s="1" t="s">
        <v>52</v>
      </c>
      <c r="B115" s="1">
        <v>2025</v>
      </c>
      <c r="C115" s="1" t="s">
        <v>51</v>
      </c>
      <c r="D115" s="1" t="s">
        <v>171</v>
      </c>
      <c r="E115" s="1">
        <v>5000000</v>
      </c>
      <c r="F115" s="1" t="s">
        <v>70</v>
      </c>
      <c r="G115" s="1" t="s">
        <v>43</v>
      </c>
      <c r="H115" s="1" t="e" vm="6">
        <v>#VALUE!</v>
      </c>
      <c r="I115" s="1" t="s">
        <v>45</v>
      </c>
      <c r="J115" s="1" t="s">
        <v>47</v>
      </c>
      <c r="K115" s="1">
        <v>14</v>
      </c>
      <c r="L115" s="8">
        <f>PI()*(Tabella2[[#This Row],[Diameter (mm)]]/2)^2</f>
        <v>153.93804002589985</v>
      </c>
      <c r="M115" s="8">
        <f>(PI()*Tabella2[[#This Row],[Diameter (mm)]]^4)/32</f>
        <v>3771.4819806345467</v>
      </c>
      <c r="N115" s="1" t="s">
        <v>35</v>
      </c>
      <c r="O115" s="1">
        <v>0</v>
      </c>
      <c r="P115" s="1" t="s">
        <v>35</v>
      </c>
      <c r="Q115" s="1">
        <v>-1</v>
      </c>
      <c r="R115" s="1">
        <v>-1</v>
      </c>
      <c r="S11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5" s="1" t="s">
        <v>35</v>
      </c>
      <c r="U11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5" s="1">
        <v>110</v>
      </c>
      <c r="W11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5" s="7">
        <v>63.508529610858844</v>
      </c>
      <c r="Y115" s="7" t="str">
        <f>Tabella2[[#This Row],[Mean RADIAL stress  (MPa)]]</f>
        <v>Null</v>
      </c>
      <c r="Z115" s="7" t="str">
        <f>Tabella2[[#This Row],[Amplitute RADIAL stress  (MPa)]]</f>
        <v>Null</v>
      </c>
      <c r="AA11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5" s="8">
        <f>IF( AND(ISNUMBER(Tabella2[[#This Row],[Mean AXIAL stress  (MPa)]]), ISNUMBER(Tabella2[[#This Row],[Area (mm^2)]])), Tabella2[[#This Row],[Mean AXIAL stress  (MPa)]]*Tabella2[[#This Row],[Area (mm^2)]], "Null")</f>
        <v>0</v>
      </c>
      <c r="AC115" s="8">
        <f>IF( AND(ISNUMBER(Tabella2[[#This Row],[Amplitute AXIAL stress  (MPa)]]), ISNUMBER(Tabella2[[#This Row],[Area (mm^2)]])), Tabella2[[#This Row],[Amplitute AXIAL stress  (MPa)]]*Tabella2[[#This Row],[Area (mm^2)]],"Null")</f>
        <v>16933.184402848983</v>
      </c>
      <c r="AD115" s="8">
        <f>IF( AND(ISNUMBER(Tabella2[[#This Row],[Amplitude AXIAL force (N)]]), ISNUMBER(Tabella2[[#This Row],[Mean AXIAL force (N)]])), Tabella2[[#This Row],[Amplitude AXIAL force (N)]]+Tabella2[[#This Row],[Mean AXIAL force (N)]],"Null")</f>
        <v>16933.184402848983</v>
      </c>
      <c r="AE11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34217.325006278523</v>
      </c>
      <c r="AG115" s="1">
        <f>IF(
   AND(ISNUMBER(Tabella2[[#This Row],[Mean TORQUE (Nmm)]]), ISNUMBER(Tabella2[[#This Row],[Amplitude TORQUE (Nmm)]])),
   Tabella2[[#This Row],[Mean TORQUE (Nmm)]]+Tabella2[[#This Row],[Amplitude TORQUE (Nmm)]],
   "Null"
)</f>
        <v>34217.325006278523</v>
      </c>
      <c r="AH11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155.56349186104046</v>
      </c>
      <c r="AI11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16" spans="1:35" x14ac:dyDescent="0.25">
      <c r="A116" s="1" t="s">
        <v>52</v>
      </c>
      <c r="B116" s="1">
        <v>2025</v>
      </c>
      <c r="C116" s="1" t="s">
        <v>51</v>
      </c>
      <c r="D116" s="1" t="s">
        <v>172</v>
      </c>
      <c r="E116" s="1">
        <v>318867</v>
      </c>
      <c r="F116" s="1" t="s">
        <v>34</v>
      </c>
      <c r="G116" s="1" t="s">
        <v>43</v>
      </c>
      <c r="H116" s="1" t="e" vm="6">
        <v>#VALUE!</v>
      </c>
      <c r="I116" s="1" t="s">
        <v>45</v>
      </c>
      <c r="J116" s="1" t="s">
        <v>47</v>
      </c>
      <c r="K116" s="1">
        <v>14</v>
      </c>
      <c r="L116" s="8">
        <f>PI()*(Tabella2[[#This Row],[Diameter (mm)]]/2)^2</f>
        <v>153.93804002589985</v>
      </c>
      <c r="M116" s="8">
        <f>(PI()*Tabella2[[#This Row],[Diameter (mm)]]^4)/32</f>
        <v>3771.4819806345467</v>
      </c>
      <c r="N116" s="1" t="s">
        <v>35</v>
      </c>
      <c r="O116" s="1">
        <v>0</v>
      </c>
      <c r="P116" s="1" t="s">
        <v>35</v>
      </c>
      <c r="Q116" s="1">
        <v>-1</v>
      </c>
      <c r="R116" s="1">
        <v>-1</v>
      </c>
      <c r="S11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6" s="1" t="s">
        <v>35</v>
      </c>
      <c r="U11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6" s="1">
        <v>130</v>
      </c>
      <c r="W11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6" s="7">
        <v>75.055534994651353</v>
      </c>
      <c r="Y116" s="7" t="str">
        <f>Tabella2[[#This Row],[Mean RADIAL stress  (MPa)]]</f>
        <v>Null</v>
      </c>
      <c r="Z116" s="7" t="str">
        <f>Tabella2[[#This Row],[Amplitute RADIAL stress  (MPa)]]</f>
        <v>Null</v>
      </c>
      <c r="AA11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6" s="8">
        <f>IF( AND(ISNUMBER(Tabella2[[#This Row],[Mean AXIAL stress  (MPa)]]), ISNUMBER(Tabella2[[#This Row],[Area (mm^2)]])), Tabella2[[#This Row],[Mean AXIAL stress  (MPa)]]*Tabella2[[#This Row],[Area (mm^2)]], "Null")</f>
        <v>0</v>
      </c>
      <c r="AC116" s="8">
        <f>IF( AND(ISNUMBER(Tabella2[[#This Row],[Amplitute AXIAL stress  (MPa)]]), ISNUMBER(Tabella2[[#This Row],[Area (mm^2)]])), Tabella2[[#This Row],[Amplitute AXIAL stress  (MPa)]]*Tabella2[[#This Row],[Area (mm^2)]],"Null")</f>
        <v>20011.94520336698</v>
      </c>
      <c r="AD116" s="8">
        <f>IF( AND(ISNUMBER(Tabella2[[#This Row],[Amplitude AXIAL force (N)]]), ISNUMBER(Tabella2[[#This Row],[Mean AXIAL force (N)]])), Tabella2[[#This Row],[Amplitude AXIAL force (N)]]+Tabella2[[#This Row],[Mean AXIAL force (N)]],"Null")</f>
        <v>20011.94520336698</v>
      </c>
      <c r="AE11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40438.656825601887</v>
      </c>
      <c r="AG116" s="1">
        <f>IF(
   AND(ISNUMBER(Tabella2[[#This Row],[Mean TORQUE (Nmm)]]), ISNUMBER(Tabella2[[#This Row],[Amplitude TORQUE (Nmm)]])),
   Tabella2[[#This Row],[Mean TORQUE (Nmm)]]+Tabella2[[#This Row],[Amplitude TORQUE (Nmm)]],
   "Null"
)</f>
        <v>40438.656825601887</v>
      </c>
      <c r="AH11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183.84776310850236</v>
      </c>
      <c r="AI11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17" spans="1:35" x14ac:dyDescent="0.25">
      <c r="A117" s="1" t="s">
        <v>52</v>
      </c>
      <c r="B117" s="1">
        <v>2025</v>
      </c>
      <c r="C117" s="1" t="s">
        <v>51</v>
      </c>
      <c r="D117" s="1" t="s">
        <v>173</v>
      </c>
      <c r="E117" s="1">
        <v>355812</v>
      </c>
      <c r="F117" s="1" t="s">
        <v>34</v>
      </c>
      <c r="G117" s="1" t="s">
        <v>43</v>
      </c>
      <c r="H117" s="1" t="e" vm="6">
        <v>#VALUE!</v>
      </c>
      <c r="I117" s="1" t="s">
        <v>45</v>
      </c>
      <c r="J117" s="1" t="s">
        <v>47</v>
      </c>
      <c r="K117" s="1">
        <v>14</v>
      </c>
      <c r="L117" s="8">
        <f>PI()*(Tabella2[[#This Row],[Diameter (mm)]]/2)^2</f>
        <v>153.93804002589985</v>
      </c>
      <c r="M117" s="8">
        <f>(PI()*Tabella2[[#This Row],[Diameter (mm)]]^4)/32</f>
        <v>3771.4819806345467</v>
      </c>
      <c r="N117" s="1" t="s">
        <v>35</v>
      </c>
      <c r="O117" s="1">
        <v>0</v>
      </c>
      <c r="P117" s="1" t="s">
        <v>35</v>
      </c>
      <c r="Q117" s="1">
        <v>-1</v>
      </c>
      <c r="R117" s="1">
        <v>-1</v>
      </c>
      <c r="S11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7" s="1" t="s">
        <v>35</v>
      </c>
      <c r="U11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7" s="1">
        <v>130</v>
      </c>
      <c r="W11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7" s="7">
        <v>75.055534994651353</v>
      </c>
      <c r="Y117" s="7" t="str">
        <f>Tabella2[[#This Row],[Mean RADIAL stress  (MPa)]]</f>
        <v>Null</v>
      </c>
      <c r="Z117" s="7" t="str">
        <f>Tabella2[[#This Row],[Amplitute RADIAL stress  (MPa)]]</f>
        <v>Null</v>
      </c>
      <c r="AA11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7" s="8">
        <f>IF( AND(ISNUMBER(Tabella2[[#This Row],[Mean AXIAL stress  (MPa)]]), ISNUMBER(Tabella2[[#This Row],[Area (mm^2)]])), Tabella2[[#This Row],[Mean AXIAL stress  (MPa)]]*Tabella2[[#This Row],[Area (mm^2)]], "Null")</f>
        <v>0</v>
      </c>
      <c r="AC117" s="8">
        <f>IF( AND(ISNUMBER(Tabella2[[#This Row],[Amplitute AXIAL stress  (MPa)]]), ISNUMBER(Tabella2[[#This Row],[Area (mm^2)]])), Tabella2[[#This Row],[Amplitute AXIAL stress  (MPa)]]*Tabella2[[#This Row],[Area (mm^2)]],"Null")</f>
        <v>20011.94520336698</v>
      </c>
      <c r="AD117" s="8">
        <f>IF( AND(ISNUMBER(Tabella2[[#This Row],[Amplitude AXIAL force (N)]]), ISNUMBER(Tabella2[[#This Row],[Mean AXIAL force (N)]])), Tabella2[[#This Row],[Amplitude AXIAL force (N)]]+Tabella2[[#This Row],[Mean AXIAL force (N)]],"Null")</f>
        <v>20011.94520336698</v>
      </c>
      <c r="AE11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40438.656825601887</v>
      </c>
      <c r="AG117" s="1">
        <f>IF(
   AND(ISNUMBER(Tabella2[[#This Row],[Mean TORQUE (Nmm)]]), ISNUMBER(Tabella2[[#This Row],[Amplitude TORQUE (Nmm)]])),
   Tabella2[[#This Row],[Mean TORQUE (Nmm)]]+Tabella2[[#This Row],[Amplitude TORQUE (Nmm)]],
   "Null"
)</f>
        <v>40438.656825601887</v>
      </c>
      <c r="AH11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183.84776310850236</v>
      </c>
      <c r="AI11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18" spans="1:35" x14ac:dyDescent="0.25">
      <c r="A118" s="1" t="s">
        <v>52</v>
      </c>
      <c r="B118" s="1">
        <v>2025</v>
      </c>
      <c r="C118" s="1" t="s">
        <v>51</v>
      </c>
      <c r="D118" s="1" t="s">
        <v>174</v>
      </c>
      <c r="E118" s="1">
        <v>4311055</v>
      </c>
      <c r="F118" s="1" t="s">
        <v>34</v>
      </c>
      <c r="G118" s="1" t="s">
        <v>43</v>
      </c>
      <c r="H118" s="1" t="e" vm="6">
        <v>#VALUE!</v>
      </c>
      <c r="I118" s="1" t="s">
        <v>45</v>
      </c>
      <c r="J118" s="1" t="s">
        <v>47</v>
      </c>
      <c r="K118" s="1">
        <v>14</v>
      </c>
      <c r="L118" s="8">
        <f>PI()*(Tabella2[[#This Row],[Diameter (mm)]]/2)^2</f>
        <v>153.93804002589985</v>
      </c>
      <c r="M118" s="8">
        <f>(PI()*Tabella2[[#This Row],[Diameter (mm)]]^4)/32</f>
        <v>3771.4819806345467</v>
      </c>
      <c r="N118" s="1" t="s">
        <v>35</v>
      </c>
      <c r="O118" s="1">
        <v>0</v>
      </c>
      <c r="P118" s="1" t="s">
        <v>35</v>
      </c>
      <c r="Q118" s="1">
        <v>-1</v>
      </c>
      <c r="R118" s="1">
        <v>-1</v>
      </c>
      <c r="S11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8" s="1" t="s">
        <v>35</v>
      </c>
      <c r="U11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8" s="1">
        <v>110</v>
      </c>
      <c r="W11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8" s="7">
        <v>63.508529610858844</v>
      </c>
      <c r="Y118" s="7" t="str">
        <f>Tabella2[[#This Row],[Mean RADIAL stress  (MPa)]]</f>
        <v>Null</v>
      </c>
      <c r="Z118" s="7" t="str">
        <f>Tabella2[[#This Row],[Amplitute RADIAL stress  (MPa)]]</f>
        <v>Null</v>
      </c>
      <c r="AA11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8" s="8">
        <f>IF( AND(ISNUMBER(Tabella2[[#This Row],[Mean AXIAL stress  (MPa)]]), ISNUMBER(Tabella2[[#This Row],[Area (mm^2)]])), Tabella2[[#This Row],[Mean AXIAL stress  (MPa)]]*Tabella2[[#This Row],[Area (mm^2)]], "Null")</f>
        <v>0</v>
      </c>
      <c r="AC118" s="8">
        <f>IF( AND(ISNUMBER(Tabella2[[#This Row],[Amplitute AXIAL stress  (MPa)]]), ISNUMBER(Tabella2[[#This Row],[Area (mm^2)]])), Tabella2[[#This Row],[Amplitute AXIAL stress  (MPa)]]*Tabella2[[#This Row],[Area (mm^2)]],"Null")</f>
        <v>16933.184402848983</v>
      </c>
      <c r="AD118" s="8">
        <f>IF( AND(ISNUMBER(Tabella2[[#This Row],[Amplitude AXIAL force (N)]]), ISNUMBER(Tabella2[[#This Row],[Mean AXIAL force (N)]])), Tabella2[[#This Row],[Amplitude AXIAL force (N)]]+Tabella2[[#This Row],[Mean AXIAL force (N)]],"Null")</f>
        <v>16933.184402848983</v>
      </c>
      <c r="AE11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34217.325006278523</v>
      </c>
      <c r="AG118" s="1">
        <f>IF(
   AND(ISNUMBER(Tabella2[[#This Row],[Mean TORQUE (Nmm)]]), ISNUMBER(Tabella2[[#This Row],[Amplitude TORQUE (Nmm)]])),
   Tabella2[[#This Row],[Mean TORQUE (Nmm)]]+Tabella2[[#This Row],[Amplitude TORQUE (Nmm)]],
   "Null"
)</f>
        <v>34217.325006278523</v>
      </c>
      <c r="AH11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155.56349186104046</v>
      </c>
      <c r="AI11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19" spans="1:35" x14ac:dyDescent="0.25">
      <c r="A119" s="1" t="s">
        <v>52</v>
      </c>
      <c r="B119" s="1">
        <v>2025</v>
      </c>
      <c r="C119" s="1" t="s">
        <v>51</v>
      </c>
      <c r="D119" s="1" t="s">
        <v>175</v>
      </c>
      <c r="E119" s="1">
        <v>193439</v>
      </c>
      <c r="F119" s="1" t="s">
        <v>34</v>
      </c>
      <c r="G119" s="1" t="s">
        <v>43</v>
      </c>
      <c r="H119" s="1" t="e" vm="6">
        <v>#VALUE!</v>
      </c>
      <c r="I119" s="1" t="s">
        <v>45</v>
      </c>
      <c r="J119" s="1" t="s">
        <v>47</v>
      </c>
      <c r="K119" s="1">
        <v>14</v>
      </c>
      <c r="L119" s="8">
        <f>PI()*(Tabella2[[#This Row],[Diameter (mm)]]/2)^2</f>
        <v>153.93804002589985</v>
      </c>
      <c r="M119" s="8">
        <f>(PI()*Tabella2[[#This Row],[Diameter (mm)]]^4)/32</f>
        <v>3771.4819806345467</v>
      </c>
      <c r="N119" s="1" t="s">
        <v>35</v>
      </c>
      <c r="O119" s="1">
        <v>0</v>
      </c>
      <c r="P119" s="1" t="s">
        <v>35</v>
      </c>
      <c r="Q119" s="1">
        <v>-1</v>
      </c>
      <c r="R119" s="1">
        <v>-1</v>
      </c>
      <c r="S11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9" s="1" t="s">
        <v>35</v>
      </c>
      <c r="U11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9" s="1">
        <v>150</v>
      </c>
      <c r="W11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9" s="7">
        <v>86.602540378443877</v>
      </c>
      <c r="Y119" s="7" t="str">
        <f>Tabella2[[#This Row],[Mean RADIAL stress  (MPa)]]</f>
        <v>Null</v>
      </c>
      <c r="Z119" s="7" t="str">
        <f>Tabella2[[#This Row],[Amplitute RADIAL stress  (MPa)]]</f>
        <v>Null</v>
      </c>
      <c r="AA11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9" s="8">
        <f>IF( AND(ISNUMBER(Tabella2[[#This Row],[Mean AXIAL stress  (MPa)]]), ISNUMBER(Tabella2[[#This Row],[Area (mm^2)]])), Tabella2[[#This Row],[Mean AXIAL stress  (MPa)]]*Tabella2[[#This Row],[Area (mm^2)]], "Null")</f>
        <v>0</v>
      </c>
      <c r="AC119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119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11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46659.988644925259</v>
      </c>
      <c r="AG119" s="1">
        <f>IF(
   AND(ISNUMBER(Tabella2[[#This Row],[Mean TORQUE (Nmm)]]), ISNUMBER(Tabella2[[#This Row],[Amplitude TORQUE (Nmm)]])),
   Tabella2[[#This Row],[Mean TORQUE (Nmm)]]+Tabella2[[#This Row],[Amplitude TORQUE (Nmm)]],
   "Null"
)</f>
        <v>46659.988644925259</v>
      </c>
      <c r="AH11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212.13203435596427</v>
      </c>
      <c r="AI11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20" spans="1:35" x14ac:dyDescent="0.25">
      <c r="A120" s="1" t="s">
        <v>52</v>
      </c>
      <c r="B120" s="1">
        <v>2025</v>
      </c>
      <c r="C120" s="1" t="s">
        <v>51</v>
      </c>
      <c r="D120" s="1" t="s">
        <v>176</v>
      </c>
      <c r="E120" s="1">
        <v>68777</v>
      </c>
      <c r="F120" s="1" t="s">
        <v>34</v>
      </c>
      <c r="G120" s="1" t="s">
        <v>43</v>
      </c>
      <c r="H120" s="1" t="e" vm="6">
        <v>#VALUE!</v>
      </c>
      <c r="I120" s="1" t="s">
        <v>45</v>
      </c>
      <c r="J120" s="1" t="s">
        <v>47</v>
      </c>
      <c r="K120" s="1">
        <v>14</v>
      </c>
      <c r="L120" s="8">
        <f>PI()*(Tabella2[[#This Row],[Diameter (mm)]]/2)^2</f>
        <v>153.93804002589985</v>
      </c>
      <c r="M120" s="8">
        <f>(PI()*Tabella2[[#This Row],[Diameter (mm)]]^4)/32</f>
        <v>3771.4819806345467</v>
      </c>
      <c r="N120" s="1" t="s">
        <v>35</v>
      </c>
      <c r="O120" s="1">
        <v>0</v>
      </c>
      <c r="P120" s="1" t="s">
        <v>35</v>
      </c>
      <c r="Q120" s="1">
        <v>-1</v>
      </c>
      <c r="R120" s="1">
        <v>-1</v>
      </c>
      <c r="S12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0" s="1" t="s">
        <v>35</v>
      </c>
      <c r="U12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0" s="1">
        <v>150</v>
      </c>
      <c r="W12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0" s="7">
        <v>86.602540378443877</v>
      </c>
      <c r="Y120" s="7" t="str">
        <f>Tabella2[[#This Row],[Mean RADIAL stress  (MPa)]]</f>
        <v>Null</v>
      </c>
      <c r="Z120" s="7" t="str">
        <f>Tabella2[[#This Row],[Amplitute RADIAL stress  (MPa)]]</f>
        <v>Null</v>
      </c>
      <c r="AA12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0" s="8">
        <f>IF( AND(ISNUMBER(Tabella2[[#This Row],[Mean AXIAL stress  (MPa)]]), ISNUMBER(Tabella2[[#This Row],[Area (mm^2)]])), Tabella2[[#This Row],[Mean AXIAL stress  (MPa)]]*Tabella2[[#This Row],[Area (mm^2)]], "Null")</f>
        <v>0</v>
      </c>
      <c r="AC120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120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12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46659.988644925259</v>
      </c>
      <c r="AG120" s="1">
        <f>IF(
   AND(ISNUMBER(Tabella2[[#This Row],[Mean TORQUE (Nmm)]]), ISNUMBER(Tabella2[[#This Row],[Amplitude TORQUE (Nmm)]])),
   Tabella2[[#This Row],[Mean TORQUE (Nmm)]]+Tabella2[[#This Row],[Amplitude TORQUE (Nmm)]],
   "Null"
)</f>
        <v>46659.988644925259</v>
      </c>
      <c r="AH12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212.13203435596427</v>
      </c>
      <c r="AI12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21" spans="1:35" x14ac:dyDescent="0.25">
      <c r="A121" s="1" t="s">
        <v>52</v>
      </c>
      <c r="B121" s="1">
        <v>2025</v>
      </c>
      <c r="C121" s="1" t="s">
        <v>51</v>
      </c>
      <c r="D121" s="1" t="s">
        <v>177</v>
      </c>
      <c r="E121" s="1">
        <v>162022</v>
      </c>
      <c r="F121" s="1" t="s">
        <v>34</v>
      </c>
      <c r="G121" s="1" t="s">
        <v>43</v>
      </c>
      <c r="H121" s="1" t="e" vm="6">
        <v>#VALUE!</v>
      </c>
      <c r="I121" s="1" t="s">
        <v>45</v>
      </c>
      <c r="J121" s="1" t="s">
        <v>47</v>
      </c>
      <c r="K121" s="1">
        <v>14</v>
      </c>
      <c r="L121" s="8">
        <f>PI()*(Tabella2[[#This Row],[Diameter (mm)]]/2)^2</f>
        <v>153.93804002589985</v>
      </c>
      <c r="M121" s="8">
        <f>(PI()*Tabella2[[#This Row],[Diameter (mm)]]^4)/32</f>
        <v>3771.4819806345467</v>
      </c>
      <c r="N121" s="1" t="s">
        <v>35</v>
      </c>
      <c r="O121" s="1">
        <v>0</v>
      </c>
      <c r="P121" s="1" t="s">
        <v>35</v>
      </c>
      <c r="Q121" s="1">
        <v>-1</v>
      </c>
      <c r="R121" s="1">
        <v>-1</v>
      </c>
      <c r="S12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1" s="1" t="s">
        <v>35</v>
      </c>
      <c r="U12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1" s="11">
        <v>150</v>
      </c>
      <c r="W12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1" s="7">
        <v>86.602540378443877</v>
      </c>
      <c r="Y121" s="7" t="str">
        <f>Tabella2[[#This Row],[Mean RADIAL stress  (MPa)]]</f>
        <v>Null</v>
      </c>
      <c r="Z121" s="7" t="str">
        <f>Tabella2[[#This Row],[Amplitute RADIAL stress  (MPa)]]</f>
        <v>Null</v>
      </c>
      <c r="AA12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1" s="8">
        <f>IF( AND(ISNUMBER(Tabella2[[#This Row],[Mean AXIAL stress  (MPa)]]), ISNUMBER(Tabella2[[#This Row],[Area (mm^2)]])), Tabella2[[#This Row],[Mean AXIAL stress  (MPa)]]*Tabella2[[#This Row],[Area (mm^2)]], "Null")</f>
        <v>0</v>
      </c>
      <c r="AC121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121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12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46659.988644925259</v>
      </c>
      <c r="AG121" s="1">
        <f>IF(
   AND(ISNUMBER(Tabella2[[#This Row],[Mean TORQUE (Nmm)]]), ISNUMBER(Tabella2[[#This Row],[Amplitude TORQUE (Nmm)]])),
   Tabella2[[#This Row],[Mean TORQUE (Nmm)]]+Tabella2[[#This Row],[Amplitude TORQUE (Nmm)]],
   "Null"
)</f>
        <v>46659.988644925259</v>
      </c>
      <c r="AH12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212.13203435596427</v>
      </c>
      <c r="AI12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22" spans="1:35" x14ac:dyDescent="0.25">
      <c r="A122" s="1" t="s">
        <v>52</v>
      </c>
      <c r="B122" s="1">
        <v>2025</v>
      </c>
      <c r="C122" s="1" t="s">
        <v>51</v>
      </c>
      <c r="D122" s="1" t="s">
        <v>178</v>
      </c>
      <c r="E122" s="11">
        <v>667210</v>
      </c>
      <c r="F122" s="1" t="s">
        <v>34</v>
      </c>
      <c r="G122" s="1" t="s">
        <v>43</v>
      </c>
      <c r="H122" s="1" t="e" vm="6">
        <v>#VALUE!</v>
      </c>
      <c r="I122" s="1" t="s">
        <v>45</v>
      </c>
      <c r="J122" s="1" t="s">
        <v>47</v>
      </c>
      <c r="K122" s="1">
        <v>14</v>
      </c>
      <c r="L122" s="8">
        <f>PI()*(Tabella2[[#This Row],[Diameter (mm)]]/2)^2</f>
        <v>153.93804002589985</v>
      </c>
      <c r="M122" s="8">
        <f>(PI()*Tabella2[[#This Row],[Diameter (mm)]]^4)/32</f>
        <v>3771.4819806345467</v>
      </c>
      <c r="N122" s="1" t="s">
        <v>35</v>
      </c>
      <c r="O122" s="1">
        <v>0</v>
      </c>
      <c r="P122" s="1" t="s">
        <v>35</v>
      </c>
      <c r="Q122" s="1">
        <v>-1</v>
      </c>
      <c r="R122" s="1">
        <v>-1</v>
      </c>
      <c r="S12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2" s="1" t="s">
        <v>35</v>
      </c>
      <c r="U12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2" s="11">
        <v>120</v>
      </c>
      <c r="W12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2" s="7">
        <v>69.282032302755098</v>
      </c>
      <c r="Y122" s="7" t="str">
        <f>Tabella2[[#This Row],[Mean RADIAL stress  (MPa)]]</f>
        <v>Null</v>
      </c>
      <c r="Z122" s="7" t="str">
        <f>Tabella2[[#This Row],[Amplitute RADIAL stress  (MPa)]]</f>
        <v>Null</v>
      </c>
      <c r="AA12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2" s="8">
        <f>IF( AND(ISNUMBER(Tabella2[[#This Row],[Mean AXIAL stress  (MPa)]]), ISNUMBER(Tabella2[[#This Row],[Area (mm^2)]])), Tabella2[[#This Row],[Mean AXIAL stress  (MPa)]]*Tabella2[[#This Row],[Area (mm^2)]], "Null")</f>
        <v>0</v>
      </c>
      <c r="AC122" s="8">
        <f>IF( AND(ISNUMBER(Tabella2[[#This Row],[Amplitute AXIAL stress  (MPa)]]), ISNUMBER(Tabella2[[#This Row],[Area (mm^2)]])), Tabella2[[#This Row],[Amplitute AXIAL stress  (MPa)]]*Tabella2[[#This Row],[Area (mm^2)]],"Null")</f>
        <v>18472.564803107984</v>
      </c>
      <c r="AD122" s="8">
        <f>IF( AND(ISNUMBER(Tabella2[[#This Row],[Amplitude AXIAL force (N)]]), ISNUMBER(Tabella2[[#This Row],[Mean AXIAL force (N)]])), Tabella2[[#This Row],[Amplitude AXIAL force (N)]]+Tabella2[[#This Row],[Mean AXIAL force (N)]],"Null")</f>
        <v>18472.564803107984</v>
      </c>
      <c r="AE12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37327.990915940209</v>
      </c>
      <c r="AG122" s="1">
        <f>IF(
   AND(ISNUMBER(Tabella2[[#This Row],[Mean TORQUE (Nmm)]]), ISNUMBER(Tabella2[[#This Row],[Amplitude TORQUE (Nmm)]])),
   Tabella2[[#This Row],[Mean TORQUE (Nmm)]]+Tabella2[[#This Row],[Amplitude TORQUE (Nmm)]],
   "Null"
)</f>
        <v>37327.990915940209</v>
      </c>
      <c r="AH12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169.70562748477141</v>
      </c>
      <c r="AI12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23" spans="1:35" x14ac:dyDescent="0.25">
      <c r="A123" s="1" t="s">
        <v>52</v>
      </c>
      <c r="B123" s="1">
        <v>2025</v>
      </c>
      <c r="C123" s="1" t="s">
        <v>51</v>
      </c>
      <c r="D123" s="1" t="s">
        <v>179</v>
      </c>
      <c r="E123" s="11">
        <v>2146853</v>
      </c>
      <c r="F123" s="1" t="s">
        <v>34</v>
      </c>
      <c r="G123" s="1" t="s">
        <v>43</v>
      </c>
      <c r="H123" s="1" t="e" vm="6">
        <v>#VALUE!</v>
      </c>
      <c r="I123" s="1" t="s">
        <v>45</v>
      </c>
      <c r="J123" s="1" t="s">
        <v>47</v>
      </c>
      <c r="K123" s="1">
        <v>14</v>
      </c>
      <c r="L123" s="8">
        <f>PI()*(Tabella2[[#This Row],[Diameter (mm)]]/2)^2</f>
        <v>153.93804002589985</v>
      </c>
      <c r="M123" s="8">
        <f>(PI()*Tabella2[[#This Row],[Diameter (mm)]]^4)/32</f>
        <v>3771.4819806345467</v>
      </c>
      <c r="N123" s="1" t="s">
        <v>35</v>
      </c>
      <c r="O123" s="1">
        <v>0</v>
      </c>
      <c r="P123" s="1" t="s">
        <v>35</v>
      </c>
      <c r="Q123" s="1">
        <v>-1</v>
      </c>
      <c r="R123" s="1">
        <v>-1</v>
      </c>
      <c r="S12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3" s="1" t="s">
        <v>35</v>
      </c>
      <c r="U12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3" s="11">
        <v>120</v>
      </c>
      <c r="W12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3" s="7">
        <v>69.282032302755098</v>
      </c>
      <c r="Y123" s="7" t="str">
        <f>Tabella2[[#This Row],[Mean RADIAL stress  (MPa)]]</f>
        <v>Null</v>
      </c>
      <c r="Z123" s="7" t="str">
        <f>Tabella2[[#This Row],[Amplitute RADIAL stress  (MPa)]]</f>
        <v>Null</v>
      </c>
      <c r="AA12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3" s="8">
        <f>IF( AND(ISNUMBER(Tabella2[[#This Row],[Mean AXIAL stress  (MPa)]]), ISNUMBER(Tabella2[[#This Row],[Area (mm^2)]])), Tabella2[[#This Row],[Mean AXIAL stress  (MPa)]]*Tabella2[[#This Row],[Area (mm^2)]], "Null")</f>
        <v>0</v>
      </c>
      <c r="AC123" s="8">
        <f>IF( AND(ISNUMBER(Tabella2[[#This Row],[Amplitute AXIAL stress  (MPa)]]), ISNUMBER(Tabella2[[#This Row],[Area (mm^2)]])), Tabella2[[#This Row],[Amplitute AXIAL stress  (MPa)]]*Tabella2[[#This Row],[Area (mm^2)]],"Null")</f>
        <v>18472.564803107984</v>
      </c>
      <c r="AD123" s="8">
        <f>IF( AND(ISNUMBER(Tabella2[[#This Row],[Amplitude AXIAL force (N)]]), ISNUMBER(Tabella2[[#This Row],[Mean AXIAL force (N)]])), Tabella2[[#This Row],[Amplitude AXIAL force (N)]]+Tabella2[[#This Row],[Mean AXIAL force (N)]],"Null")</f>
        <v>18472.564803107984</v>
      </c>
      <c r="AE12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37327.990915940209</v>
      </c>
      <c r="AG123" s="1">
        <f>IF(
   AND(ISNUMBER(Tabella2[[#This Row],[Mean TORQUE (Nmm)]]), ISNUMBER(Tabella2[[#This Row],[Amplitude TORQUE (Nmm)]])),
   Tabella2[[#This Row],[Mean TORQUE (Nmm)]]+Tabella2[[#This Row],[Amplitude TORQUE (Nmm)]],
   "Null"
)</f>
        <v>37327.990915940209</v>
      </c>
      <c r="AH12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169.70562748477141</v>
      </c>
      <c r="AI12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24" spans="1:35" x14ac:dyDescent="0.25">
      <c r="A124" s="1" t="s">
        <v>52</v>
      </c>
      <c r="B124" s="1">
        <v>2025</v>
      </c>
      <c r="C124" s="1" t="s">
        <v>51</v>
      </c>
      <c r="D124" s="1" t="s">
        <v>180</v>
      </c>
      <c r="E124" s="1">
        <v>539150</v>
      </c>
      <c r="F124" s="1" t="s">
        <v>34</v>
      </c>
      <c r="G124" s="1" t="s">
        <v>43</v>
      </c>
      <c r="H124" s="1" t="e" vm="6">
        <v>#VALUE!</v>
      </c>
      <c r="I124" s="1" t="s">
        <v>45</v>
      </c>
      <c r="J124" s="1" t="s">
        <v>47</v>
      </c>
      <c r="K124" s="1">
        <v>14</v>
      </c>
      <c r="L124" s="8">
        <f>PI()*(Tabella2[[#This Row],[Diameter (mm)]]/2)^2</f>
        <v>153.93804002589985</v>
      </c>
      <c r="M124" s="8">
        <f>(PI()*Tabella2[[#This Row],[Diameter (mm)]]^4)/32</f>
        <v>3771.4819806345467</v>
      </c>
      <c r="N124" s="1" t="s">
        <v>35</v>
      </c>
      <c r="O124" s="1">
        <v>0</v>
      </c>
      <c r="P124" s="1" t="s">
        <v>35</v>
      </c>
      <c r="Q124" s="1">
        <v>-1</v>
      </c>
      <c r="R124" s="1">
        <v>-1</v>
      </c>
      <c r="S12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4" s="1" t="s">
        <v>35</v>
      </c>
      <c r="U12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4" s="1">
        <v>90</v>
      </c>
      <c r="W12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4" s="7">
        <v>90</v>
      </c>
      <c r="Y124" s="7" t="str">
        <f>Tabella2[[#This Row],[Mean RADIAL stress  (MPa)]]</f>
        <v>Null</v>
      </c>
      <c r="Z124" s="7" t="str">
        <f>Tabella2[[#This Row],[Amplitute RADIAL stress  (MPa)]]</f>
        <v>Null</v>
      </c>
      <c r="AA12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4" s="8">
        <f>IF( AND(ISNUMBER(Tabella2[[#This Row],[Mean AXIAL stress  (MPa)]]), ISNUMBER(Tabella2[[#This Row],[Area (mm^2)]])), Tabella2[[#This Row],[Mean AXIAL stress  (MPa)]]*Tabella2[[#This Row],[Area (mm^2)]], "Null")</f>
        <v>0</v>
      </c>
      <c r="AC124" s="8">
        <f>IF( AND(ISNUMBER(Tabella2[[#This Row],[Amplitute AXIAL stress  (MPa)]]), ISNUMBER(Tabella2[[#This Row],[Area (mm^2)]])), Tabella2[[#This Row],[Amplitute AXIAL stress  (MPa)]]*Tabella2[[#This Row],[Area (mm^2)]],"Null")</f>
        <v>13854.423602330986</v>
      </c>
      <c r="AD124" s="8">
        <f>IF( AND(ISNUMBER(Tabella2[[#This Row],[Amplitude AXIAL force (N)]]), ISNUMBER(Tabella2[[#This Row],[Mean AXIAL force (N)]])), Tabella2[[#This Row],[Amplitude AXIAL force (N)]]+Tabella2[[#This Row],[Mean AXIAL force (N)]],"Null")</f>
        <v>13854.423602330986</v>
      </c>
      <c r="AE12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48490.482608158454</v>
      </c>
      <c r="AG124" s="1">
        <f>IF(
   AND(ISNUMBER(Tabella2[[#This Row],[Mean TORQUE (Nmm)]]), ISNUMBER(Tabella2[[#This Row],[Amplitude TORQUE (Nmm)]])),
   Tabella2[[#This Row],[Mean TORQUE (Nmm)]]+Tabella2[[#This Row],[Amplitude TORQUE (Nmm)]],
   "Null"
)</f>
        <v>48490.482608158454</v>
      </c>
      <c r="AH12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180</v>
      </c>
      <c r="AI12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25" spans="1:35" x14ac:dyDescent="0.25">
      <c r="A125" s="1" t="s">
        <v>52</v>
      </c>
      <c r="B125" s="1">
        <v>2025</v>
      </c>
      <c r="C125" s="1" t="s">
        <v>51</v>
      </c>
      <c r="D125" s="1" t="s">
        <v>181</v>
      </c>
      <c r="E125" s="1">
        <v>284880</v>
      </c>
      <c r="F125" s="1" t="s">
        <v>34</v>
      </c>
      <c r="G125" s="1" t="s">
        <v>43</v>
      </c>
      <c r="H125" s="1" t="e" vm="6">
        <v>#VALUE!</v>
      </c>
      <c r="I125" s="1" t="s">
        <v>45</v>
      </c>
      <c r="J125" s="1" t="s">
        <v>47</v>
      </c>
      <c r="K125" s="1">
        <v>14</v>
      </c>
      <c r="L125" s="8">
        <f>PI()*(Tabella2[[#This Row],[Diameter (mm)]]/2)^2</f>
        <v>153.93804002589985</v>
      </c>
      <c r="M125" s="8">
        <f>(PI()*Tabella2[[#This Row],[Diameter (mm)]]^4)/32</f>
        <v>3771.4819806345467</v>
      </c>
      <c r="N125" s="1" t="s">
        <v>35</v>
      </c>
      <c r="O125" s="1">
        <v>0</v>
      </c>
      <c r="P125" s="1" t="s">
        <v>35</v>
      </c>
      <c r="Q125" s="1">
        <v>-1</v>
      </c>
      <c r="R125" s="1">
        <v>-1</v>
      </c>
      <c r="S12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5" s="1" t="s">
        <v>35</v>
      </c>
      <c r="U12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5" s="1">
        <v>90</v>
      </c>
      <c r="W12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5" s="7">
        <v>90</v>
      </c>
      <c r="Y125" s="7" t="str">
        <f>Tabella2[[#This Row],[Mean RADIAL stress  (MPa)]]</f>
        <v>Null</v>
      </c>
      <c r="Z125" s="7" t="str">
        <f>Tabella2[[#This Row],[Amplitute RADIAL stress  (MPa)]]</f>
        <v>Null</v>
      </c>
      <c r="AA12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5" s="8">
        <f>IF( AND(ISNUMBER(Tabella2[[#This Row],[Mean AXIAL stress  (MPa)]]), ISNUMBER(Tabella2[[#This Row],[Area (mm^2)]])), Tabella2[[#This Row],[Mean AXIAL stress  (MPa)]]*Tabella2[[#This Row],[Area (mm^2)]], "Null")</f>
        <v>0</v>
      </c>
      <c r="AC125" s="8">
        <f>IF( AND(ISNUMBER(Tabella2[[#This Row],[Amplitute AXIAL stress  (MPa)]]), ISNUMBER(Tabella2[[#This Row],[Area (mm^2)]])), Tabella2[[#This Row],[Amplitute AXIAL stress  (MPa)]]*Tabella2[[#This Row],[Area (mm^2)]],"Null")</f>
        <v>13854.423602330986</v>
      </c>
      <c r="AD125" s="8">
        <f>IF( AND(ISNUMBER(Tabella2[[#This Row],[Amplitude AXIAL force (N)]]), ISNUMBER(Tabella2[[#This Row],[Mean AXIAL force (N)]])), Tabella2[[#This Row],[Amplitude AXIAL force (N)]]+Tabella2[[#This Row],[Mean AXIAL force (N)]],"Null")</f>
        <v>13854.423602330986</v>
      </c>
      <c r="AE12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48490.482608158454</v>
      </c>
      <c r="AG125" s="1">
        <f>IF(
   AND(ISNUMBER(Tabella2[[#This Row],[Mean TORQUE (Nmm)]]), ISNUMBER(Tabella2[[#This Row],[Amplitude TORQUE (Nmm)]])),
   Tabella2[[#This Row],[Mean TORQUE (Nmm)]]+Tabella2[[#This Row],[Amplitude TORQUE (Nmm)]],
   "Null"
)</f>
        <v>48490.482608158454</v>
      </c>
      <c r="AH12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180</v>
      </c>
      <c r="AI12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26" spans="1:35" x14ac:dyDescent="0.25">
      <c r="A126" s="1" t="s">
        <v>52</v>
      </c>
      <c r="B126" s="1">
        <v>2025</v>
      </c>
      <c r="C126" s="1" t="s">
        <v>51</v>
      </c>
      <c r="D126" s="1" t="s">
        <v>182</v>
      </c>
      <c r="E126" s="1">
        <v>2795292</v>
      </c>
      <c r="F126" s="1" t="s">
        <v>34</v>
      </c>
      <c r="G126" s="1" t="s">
        <v>43</v>
      </c>
      <c r="H126" s="1" t="e" vm="6">
        <v>#VALUE!</v>
      </c>
      <c r="I126" s="1" t="s">
        <v>45</v>
      </c>
      <c r="J126" s="1" t="s">
        <v>47</v>
      </c>
      <c r="K126" s="1">
        <v>14</v>
      </c>
      <c r="L126" s="8">
        <f>PI()*(Tabella2[[#This Row],[Diameter (mm)]]/2)^2</f>
        <v>153.93804002589985</v>
      </c>
      <c r="M126" s="8">
        <f>(PI()*Tabella2[[#This Row],[Diameter (mm)]]^4)/32</f>
        <v>3771.4819806345467</v>
      </c>
      <c r="N126" s="1" t="s">
        <v>35</v>
      </c>
      <c r="O126" s="1">
        <v>0</v>
      </c>
      <c r="P126" s="1" t="s">
        <v>35</v>
      </c>
      <c r="Q126" s="1">
        <v>-1</v>
      </c>
      <c r="R126" s="1">
        <v>-1</v>
      </c>
      <c r="S12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6" s="1" t="s">
        <v>35</v>
      </c>
      <c r="U12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6" s="1">
        <v>70</v>
      </c>
      <c r="W12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6" s="7">
        <v>70</v>
      </c>
      <c r="Y126" s="7" t="str">
        <f>Tabella2[[#This Row],[Mean RADIAL stress  (MPa)]]</f>
        <v>Null</v>
      </c>
      <c r="Z126" s="7" t="str">
        <f>Tabella2[[#This Row],[Amplitute RADIAL stress  (MPa)]]</f>
        <v>Null</v>
      </c>
      <c r="AA12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6" s="8">
        <f>IF( AND(ISNUMBER(Tabella2[[#This Row],[Mean AXIAL stress  (MPa)]]), ISNUMBER(Tabella2[[#This Row],[Area (mm^2)]])), Tabella2[[#This Row],[Mean AXIAL stress  (MPa)]]*Tabella2[[#This Row],[Area (mm^2)]], "Null")</f>
        <v>0</v>
      </c>
      <c r="AC126" s="8">
        <f>IF( AND(ISNUMBER(Tabella2[[#This Row],[Amplitute AXIAL stress  (MPa)]]), ISNUMBER(Tabella2[[#This Row],[Area (mm^2)]])), Tabella2[[#This Row],[Amplitute AXIAL stress  (MPa)]]*Tabella2[[#This Row],[Area (mm^2)]],"Null")</f>
        <v>10775.66280181299</v>
      </c>
      <c r="AD126" s="8">
        <f>IF( AND(ISNUMBER(Tabella2[[#This Row],[Amplitude AXIAL force (N)]]), ISNUMBER(Tabella2[[#This Row],[Mean AXIAL force (N)]])), Tabella2[[#This Row],[Amplitude AXIAL force (N)]]+Tabella2[[#This Row],[Mean AXIAL force (N)]],"Null")</f>
        <v>10775.66280181299</v>
      </c>
      <c r="AE12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37714.819806345462</v>
      </c>
      <c r="AG126" s="1">
        <f>IF(
   AND(ISNUMBER(Tabella2[[#This Row],[Mean TORQUE (Nmm)]]), ISNUMBER(Tabella2[[#This Row],[Amplitude TORQUE (Nmm)]])),
   Tabella2[[#This Row],[Mean TORQUE (Nmm)]]+Tabella2[[#This Row],[Amplitude TORQUE (Nmm)]],
   "Null"
)</f>
        <v>37714.819806345462</v>
      </c>
      <c r="AH12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2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27" spans="1:35" x14ac:dyDescent="0.25">
      <c r="A127" s="1" t="s">
        <v>52</v>
      </c>
      <c r="B127" s="1">
        <v>2025</v>
      </c>
      <c r="C127" s="1" t="s">
        <v>51</v>
      </c>
      <c r="D127" s="1" t="s">
        <v>183</v>
      </c>
      <c r="E127" s="1">
        <v>1659597</v>
      </c>
      <c r="F127" s="1" t="s">
        <v>34</v>
      </c>
      <c r="G127" s="1" t="s">
        <v>43</v>
      </c>
      <c r="H127" s="1" t="e" vm="6">
        <v>#VALUE!</v>
      </c>
      <c r="I127" s="1" t="s">
        <v>45</v>
      </c>
      <c r="J127" s="1" t="s">
        <v>47</v>
      </c>
      <c r="K127" s="1">
        <v>14</v>
      </c>
      <c r="L127" s="8">
        <f>PI()*(Tabella2[[#This Row],[Diameter (mm)]]/2)^2</f>
        <v>153.93804002589985</v>
      </c>
      <c r="M127" s="8">
        <f>(PI()*Tabella2[[#This Row],[Diameter (mm)]]^4)/32</f>
        <v>3771.4819806345467</v>
      </c>
      <c r="N127" s="1" t="s">
        <v>35</v>
      </c>
      <c r="O127" s="1">
        <v>0</v>
      </c>
      <c r="P127" s="1" t="s">
        <v>35</v>
      </c>
      <c r="Q127" s="1">
        <v>-1</v>
      </c>
      <c r="R127" s="1">
        <v>-1</v>
      </c>
      <c r="S12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7" s="1" t="s">
        <v>35</v>
      </c>
      <c r="U12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7" s="1">
        <v>70</v>
      </c>
      <c r="W12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7" s="7">
        <v>70</v>
      </c>
      <c r="Y127" s="7" t="str">
        <f>Tabella2[[#This Row],[Mean RADIAL stress  (MPa)]]</f>
        <v>Null</v>
      </c>
      <c r="Z127" s="7" t="str">
        <f>Tabella2[[#This Row],[Amplitute RADIAL stress  (MPa)]]</f>
        <v>Null</v>
      </c>
      <c r="AA12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7" s="8">
        <f>IF( AND(ISNUMBER(Tabella2[[#This Row],[Mean AXIAL stress  (MPa)]]), ISNUMBER(Tabella2[[#This Row],[Area (mm^2)]])), Tabella2[[#This Row],[Mean AXIAL stress  (MPa)]]*Tabella2[[#This Row],[Area (mm^2)]], "Null")</f>
        <v>0</v>
      </c>
      <c r="AC127" s="8">
        <f>IF( AND(ISNUMBER(Tabella2[[#This Row],[Amplitute AXIAL stress  (MPa)]]), ISNUMBER(Tabella2[[#This Row],[Area (mm^2)]])), Tabella2[[#This Row],[Amplitute AXIAL stress  (MPa)]]*Tabella2[[#This Row],[Area (mm^2)]],"Null")</f>
        <v>10775.66280181299</v>
      </c>
      <c r="AD127" s="8">
        <f>IF( AND(ISNUMBER(Tabella2[[#This Row],[Amplitude AXIAL force (N)]]), ISNUMBER(Tabella2[[#This Row],[Mean AXIAL force (N)]])), Tabella2[[#This Row],[Amplitude AXIAL force (N)]]+Tabella2[[#This Row],[Mean AXIAL force (N)]],"Null")</f>
        <v>10775.66280181299</v>
      </c>
      <c r="AE12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37714.819806345462</v>
      </c>
      <c r="AG127" s="1">
        <f>IF(
   AND(ISNUMBER(Tabella2[[#This Row],[Mean TORQUE (Nmm)]]), ISNUMBER(Tabella2[[#This Row],[Amplitude TORQUE (Nmm)]])),
   Tabella2[[#This Row],[Mean TORQUE (Nmm)]]+Tabella2[[#This Row],[Amplitude TORQUE (Nmm)]],
   "Null"
)</f>
        <v>37714.819806345462</v>
      </c>
      <c r="AH12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2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28" spans="1:35" x14ac:dyDescent="0.25">
      <c r="A128" s="1" t="s">
        <v>52</v>
      </c>
      <c r="B128" s="1">
        <v>2025</v>
      </c>
      <c r="C128" s="1" t="s">
        <v>51</v>
      </c>
      <c r="D128" s="1" t="s">
        <v>184</v>
      </c>
      <c r="E128" s="1">
        <v>5000000</v>
      </c>
      <c r="F128" s="1" t="s">
        <v>70</v>
      </c>
      <c r="G128" s="1" t="s">
        <v>43</v>
      </c>
      <c r="H128" s="1" t="e" vm="6">
        <v>#VALUE!</v>
      </c>
      <c r="I128" s="1" t="s">
        <v>45</v>
      </c>
      <c r="J128" s="1" t="s">
        <v>47</v>
      </c>
      <c r="K128" s="1">
        <v>14</v>
      </c>
      <c r="L128" s="8">
        <f>PI()*(Tabella2[[#This Row],[Diameter (mm)]]/2)^2</f>
        <v>153.93804002589985</v>
      </c>
      <c r="M128" s="8">
        <f>(PI()*Tabella2[[#This Row],[Diameter (mm)]]^4)/32</f>
        <v>3771.4819806345467</v>
      </c>
      <c r="N128" s="1" t="s">
        <v>35</v>
      </c>
      <c r="O128" s="1">
        <v>0</v>
      </c>
      <c r="P128" s="1" t="s">
        <v>35</v>
      </c>
      <c r="Q128" s="1">
        <v>-1</v>
      </c>
      <c r="R128" s="1">
        <v>-1</v>
      </c>
      <c r="S12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8" s="1" t="s">
        <v>35</v>
      </c>
      <c r="U12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8" s="1">
        <v>60</v>
      </c>
      <c r="W12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8" s="7">
        <v>60</v>
      </c>
      <c r="Y128" s="7" t="str">
        <f>Tabella2[[#This Row],[Mean RADIAL stress  (MPa)]]</f>
        <v>Null</v>
      </c>
      <c r="Z128" s="7" t="str">
        <f>Tabella2[[#This Row],[Amplitute RADIAL stress  (MPa)]]</f>
        <v>Null</v>
      </c>
      <c r="AA12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8" s="8">
        <f>IF( AND(ISNUMBER(Tabella2[[#This Row],[Mean AXIAL stress  (MPa)]]), ISNUMBER(Tabella2[[#This Row],[Area (mm^2)]])), Tabella2[[#This Row],[Mean AXIAL stress  (MPa)]]*Tabella2[[#This Row],[Area (mm^2)]], "Null")</f>
        <v>0</v>
      </c>
      <c r="AC128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128" s="8">
        <f>IF( AND(ISNUMBER(Tabella2[[#This Row],[Amplitude AXIAL force (N)]]), ISNUMBER(Tabella2[[#This Row],[Mean AXIAL force (N)]])), Tabella2[[#This Row],[Amplitude AXIAL force (N)]]+Tabella2[[#This Row],[Mean AXIAL force (N)]],"Null")</f>
        <v>9236.2824015539918</v>
      </c>
      <c r="AE12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32326.988405438973</v>
      </c>
      <c r="AG128" s="1">
        <f>IF(
   AND(ISNUMBER(Tabella2[[#This Row],[Mean TORQUE (Nmm)]]), ISNUMBER(Tabella2[[#This Row],[Amplitude TORQUE (Nmm)]])),
   Tabella2[[#This Row],[Mean TORQUE (Nmm)]]+Tabella2[[#This Row],[Amplitude TORQUE (Nmm)]],
   "Null"
)</f>
        <v>32326.988405438973</v>
      </c>
      <c r="AH12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12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29" spans="1:35" x14ac:dyDescent="0.25">
      <c r="A129" s="1" t="s">
        <v>52</v>
      </c>
      <c r="B129" s="1">
        <v>2025</v>
      </c>
      <c r="C129" s="1" t="s">
        <v>51</v>
      </c>
      <c r="D129" s="1" t="s">
        <v>185</v>
      </c>
      <c r="E129" s="1">
        <v>5000000</v>
      </c>
      <c r="F129" s="1" t="s">
        <v>70</v>
      </c>
      <c r="G129" s="1" t="s">
        <v>43</v>
      </c>
      <c r="H129" s="1" t="e" vm="6">
        <v>#VALUE!</v>
      </c>
      <c r="I129" s="1" t="s">
        <v>45</v>
      </c>
      <c r="J129" s="1" t="s">
        <v>47</v>
      </c>
      <c r="K129" s="1">
        <v>14</v>
      </c>
      <c r="L129" s="8">
        <f>PI()*(Tabella2[[#This Row],[Diameter (mm)]]/2)^2</f>
        <v>153.93804002589985</v>
      </c>
      <c r="M129" s="8">
        <f>(PI()*Tabella2[[#This Row],[Diameter (mm)]]^4)/32</f>
        <v>3771.4819806345467</v>
      </c>
      <c r="N129" s="1" t="s">
        <v>35</v>
      </c>
      <c r="O129" s="1">
        <v>0</v>
      </c>
      <c r="P129" s="1" t="s">
        <v>35</v>
      </c>
      <c r="Q129" s="1">
        <v>-1</v>
      </c>
      <c r="R129" s="1">
        <v>-1</v>
      </c>
      <c r="S12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9" s="1" t="s">
        <v>35</v>
      </c>
      <c r="U12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9" s="1">
        <v>70</v>
      </c>
      <c r="W12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9" s="7">
        <v>70</v>
      </c>
      <c r="Y129" s="7" t="str">
        <f>Tabella2[[#This Row],[Mean RADIAL stress  (MPa)]]</f>
        <v>Null</v>
      </c>
      <c r="Z129" s="7" t="str">
        <f>Tabella2[[#This Row],[Amplitute RADIAL stress  (MPa)]]</f>
        <v>Null</v>
      </c>
      <c r="AA12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9" s="8">
        <f>IF( AND(ISNUMBER(Tabella2[[#This Row],[Mean AXIAL stress  (MPa)]]), ISNUMBER(Tabella2[[#This Row],[Area (mm^2)]])), Tabella2[[#This Row],[Mean AXIAL stress  (MPa)]]*Tabella2[[#This Row],[Area (mm^2)]], "Null")</f>
        <v>0</v>
      </c>
      <c r="AC129" s="8">
        <f>IF( AND(ISNUMBER(Tabella2[[#This Row],[Amplitute AXIAL stress  (MPa)]]), ISNUMBER(Tabella2[[#This Row],[Area (mm^2)]])), Tabella2[[#This Row],[Amplitute AXIAL stress  (MPa)]]*Tabella2[[#This Row],[Area (mm^2)]],"Null")</f>
        <v>10775.66280181299</v>
      </c>
      <c r="AD129" s="8">
        <f>IF( AND(ISNUMBER(Tabella2[[#This Row],[Amplitude AXIAL force (N)]]), ISNUMBER(Tabella2[[#This Row],[Mean AXIAL force (N)]])), Tabella2[[#This Row],[Amplitude AXIAL force (N)]]+Tabella2[[#This Row],[Mean AXIAL force (N)]],"Null")</f>
        <v>10775.66280181299</v>
      </c>
      <c r="AE12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37714.819806345462</v>
      </c>
      <c r="AG129" s="1">
        <f>IF(
   AND(ISNUMBER(Tabella2[[#This Row],[Mean TORQUE (Nmm)]]), ISNUMBER(Tabella2[[#This Row],[Amplitude TORQUE (Nmm)]])),
   Tabella2[[#This Row],[Mean TORQUE (Nmm)]]+Tabella2[[#This Row],[Amplitude TORQUE (Nmm)]],
   "Null"
)</f>
        <v>37714.819806345462</v>
      </c>
      <c r="AH12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2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0" spans="1:35" x14ac:dyDescent="0.25">
      <c r="A130" s="1" t="s">
        <v>52</v>
      </c>
      <c r="B130" s="1">
        <v>2025</v>
      </c>
      <c r="C130" s="1" t="s">
        <v>51</v>
      </c>
      <c r="D130" s="1" t="s">
        <v>186</v>
      </c>
      <c r="E130" s="1">
        <v>1054036</v>
      </c>
      <c r="F130" s="1" t="s">
        <v>34</v>
      </c>
      <c r="G130" s="1" t="s">
        <v>43</v>
      </c>
      <c r="H130" s="1" t="e" vm="6">
        <v>#VALUE!</v>
      </c>
      <c r="I130" s="1" t="s">
        <v>45</v>
      </c>
      <c r="J130" s="1" t="s">
        <v>47</v>
      </c>
      <c r="K130" s="1">
        <v>14</v>
      </c>
      <c r="L130" s="8">
        <f>PI()*(Tabella2[[#This Row],[Diameter (mm)]]/2)^2</f>
        <v>153.93804002589985</v>
      </c>
      <c r="M130" s="8">
        <f>(PI()*Tabella2[[#This Row],[Diameter (mm)]]^4)/32</f>
        <v>3771.4819806345467</v>
      </c>
      <c r="N130" s="1" t="s">
        <v>35</v>
      </c>
      <c r="O130" s="1">
        <v>0</v>
      </c>
      <c r="P130" s="1" t="s">
        <v>35</v>
      </c>
      <c r="Q130" s="1">
        <v>-1</v>
      </c>
      <c r="R130" s="1">
        <v>-1</v>
      </c>
      <c r="S13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0" s="1" t="s">
        <v>35</v>
      </c>
      <c r="U13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30" s="1">
        <v>90</v>
      </c>
      <c r="W13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30" s="7">
        <v>90</v>
      </c>
      <c r="Y130" s="7" t="str">
        <f>Tabella2[[#This Row],[Mean RADIAL stress  (MPa)]]</f>
        <v>Null</v>
      </c>
      <c r="Z130" s="7" t="str">
        <f>Tabella2[[#This Row],[Amplitute RADIAL stress  (MPa)]]</f>
        <v>Null</v>
      </c>
      <c r="AA13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0" s="8">
        <f>IF( AND(ISNUMBER(Tabella2[[#This Row],[Mean AXIAL stress  (MPa)]]), ISNUMBER(Tabella2[[#This Row],[Area (mm^2)]])), Tabella2[[#This Row],[Mean AXIAL stress  (MPa)]]*Tabella2[[#This Row],[Area (mm^2)]], "Null")</f>
        <v>0</v>
      </c>
      <c r="AC130" s="8">
        <f>IF( AND(ISNUMBER(Tabella2[[#This Row],[Amplitute AXIAL stress  (MPa)]]), ISNUMBER(Tabella2[[#This Row],[Area (mm^2)]])), Tabella2[[#This Row],[Amplitute AXIAL stress  (MPa)]]*Tabella2[[#This Row],[Area (mm^2)]],"Null")</f>
        <v>13854.423602330986</v>
      </c>
      <c r="AD130" s="8">
        <f>IF( AND(ISNUMBER(Tabella2[[#This Row],[Amplitude AXIAL force (N)]]), ISNUMBER(Tabella2[[#This Row],[Mean AXIAL force (N)]])), Tabella2[[#This Row],[Amplitude AXIAL force (N)]]+Tabella2[[#This Row],[Mean AXIAL force (N)]],"Null")</f>
        <v>13854.423602330986</v>
      </c>
      <c r="AE13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3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48490.482608158454</v>
      </c>
      <c r="AG130" s="1">
        <f>IF(
   AND(ISNUMBER(Tabella2[[#This Row],[Mean TORQUE (Nmm)]]), ISNUMBER(Tabella2[[#This Row],[Amplitude TORQUE (Nmm)]])),
   Tabella2[[#This Row],[Mean TORQUE (Nmm)]]+Tabella2[[#This Row],[Amplitude TORQUE (Nmm)]],
   "Null"
)</f>
        <v>48490.482608158454</v>
      </c>
      <c r="AH13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180</v>
      </c>
      <c r="AI13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1" spans="1:35" x14ac:dyDescent="0.25">
      <c r="A131" s="1" t="s">
        <v>52</v>
      </c>
      <c r="B131" s="1">
        <v>2025</v>
      </c>
      <c r="C131" s="1" t="s">
        <v>51</v>
      </c>
      <c r="D131" s="1" t="s">
        <v>187</v>
      </c>
      <c r="E131" s="1">
        <v>105266</v>
      </c>
      <c r="F131" s="1" t="s">
        <v>34</v>
      </c>
      <c r="G131" s="1" t="s">
        <v>43</v>
      </c>
      <c r="H131" s="1" t="e" vm="6">
        <v>#VALUE!</v>
      </c>
      <c r="I131" s="1" t="s">
        <v>45</v>
      </c>
      <c r="J131" s="1" t="s">
        <v>47</v>
      </c>
      <c r="K131" s="1">
        <v>14</v>
      </c>
      <c r="L131" s="8">
        <f>PI()*(Tabella2[[#This Row],[Diameter (mm)]]/2)^2</f>
        <v>153.93804002589985</v>
      </c>
      <c r="M131" s="8">
        <f>(PI()*Tabella2[[#This Row],[Diameter (mm)]]^4)/32</f>
        <v>3771.4819806345467</v>
      </c>
      <c r="N131" s="1" t="s">
        <v>35</v>
      </c>
      <c r="O131" s="1">
        <v>0</v>
      </c>
      <c r="P131" s="1" t="s">
        <v>35</v>
      </c>
      <c r="Q131" s="1">
        <v>-1</v>
      </c>
      <c r="R131" s="1">
        <v>-1</v>
      </c>
      <c r="S13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1" s="1" t="s">
        <v>35</v>
      </c>
      <c r="U13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31" s="1">
        <v>110</v>
      </c>
      <c r="W13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31" s="7">
        <v>110</v>
      </c>
      <c r="Y131" s="7" t="str">
        <f>Tabella2[[#This Row],[Mean RADIAL stress  (MPa)]]</f>
        <v>Null</v>
      </c>
      <c r="Z131" s="7" t="str">
        <f>Tabella2[[#This Row],[Amplitute RADIAL stress  (MPa)]]</f>
        <v>Null</v>
      </c>
      <c r="AA13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1" s="8">
        <f>IF( AND(ISNUMBER(Tabella2[[#This Row],[Mean AXIAL stress  (MPa)]]), ISNUMBER(Tabella2[[#This Row],[Area (mm^2)]])), Tabella2[[#This Row],[Mean AXIAL stress  (MPa)]]*Tabella2[[#This Row],[Area (mm^2)]], "Null")</f>
        <v>0</v>
      </c>
      <c r="AC131" s="8">
        <f>IF( AND(ISNUMBER(Tabella2[[#This Row],[Amplitute AXIAL stress  (MPa)]]), ISNUMBER(Tabella2[[#This Row],[Area (mm^2)]])), Tabella2[[#This Row],[Amplitute AXIAL stress  (MPa)]]*Tabella2[[#This Row],[Area (mm^2)]],"Null")</f>
        <v>16933.184402848983</v>
      </c>
      <c r="AD131" s="8">
        <f>IF( AND(ISNUMBER(Tabella2[[#This Row],[Amplitude AXIAL force (N)]]), ISNUMBER(Tabella2[[#This Row],[Mean AXIAL force (N)]])), Tabella2[[#This Row],[Amplitude AXIAL force (N)]]+Tabella2[[#This Row],[Mean AXIAL force (N)]],"Null")</f>
        <v>16933.184402848983</v>
      </c>
      <c r="AE13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3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131" s="1">
        <f>IF(
   AND(ISNUMBER(Tabella2[[#This Row],[Mean TORQUE (Nmm)]]), ISNUMBER(Tabella2[[#This Row],[Amplitude TORQUE (Nmm)]])),
   Tabella2[[#This Row],[Mean TORQUE (Nmm)]]+Tabella2[[#This Row],[Amplitude TORQUE (Nmm)]],
   "Null"
)</f>
        <v>59266.145409971454</v>
      </c>
      <c r="AH13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220</v>
      </c>
      <c r="AI13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2" spans="1:35" x14ac:dyDescent="0.25">
      <c r="A132" s="1" t="s">
        <v>52</v>
      </c>
      <c r="B132" s="1">
        <v>2025</v>
      </c>
      <c r="C132" s="1" t="s">
        <v>51</v>
      </c>
      <c r="D132" s="1" t="s">
        <v>188</v>
      </c>
      <c r="E132" s="1">
        <v>180306</v>
      </c>
      <c r="F132" s="1" t="s">
        <v>34</v>
      </c>
      <c r="G132" s="1" t="s">
        <v>43</v>
      </c>
      <c r="H132" s="1" t="e" vm="6">
        <v>#VALUE!</v>
      </c>
      <c r="I132" s="1" t="s">
        <v>45</v>
      </c>
      <c r="J132" s="1" t="s">
        <v>47</v>
      </c>
      <c r="K132" s="1">
        <v>14</v>
      </c>
      <c r="L132" s="8">
        <f>PI()*(Tabella2[[#This Row],[Diameter (mm)]]/2)^2</f>
        <v>153.93804002589985</v>
      </c>
      <c r="M132" s="8">
        <f>(PI()*Tabella2[[#This Row],[Diameter (mm)]]^4)/32</f>
        <v>3771.4819806345467</v>
      </c>
      <c r="N132" s="1" t="s">
        <v>35</v>
      </c>
      <c r="O132" s="1">
        <v>0</v>
      </c>
      <c r="P132" s="1" t="s">
        <v>35</v>
      </c>
      <c r="Q132" s="1">
        <v>-1</v>
      </c>
      <c r="R132" s="1">
        <v>-1</v>
      </c>
      <c r="S13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2" s="1" t="s">
        <v>35</v>
      </c>
      <c r="U13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32" s="1">
        <v>110</v>
      </c>
      <c r="W13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32" s="7">
        <v>110</v>
      </c>
      <c r="Y132" s="7" t="str">
        <f>Tabella2[[#This Row],[Mean RADIAL stress  (MPa)]]</f>
        <v>Null</v>
      </c>
      <c r="Z132" s="7" t="str">
        <f>Tabella2[[#This Row],[Amplitute RADIAL stress  (MPa)]]</f>
        <v>Null</v>
      </c>
      <c r="AA13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2" s="8">
        <f>IF( AND(ISNUMBER(Tabella2[[#This Row],[Mean AXIAL stress  (MPa)]]), ISNUMBER(Tabella2[[#This Row],[Area (mm^2)]])), Tabella2[[#This Row],[Mean AXIAL stress  (MPa)]]*Tabella2[[#This Row],[Area (mm^2)]], "Null")</f>
        <v>0</v>
      </c>
      <c r="AC132" s="8">
        <f>IF( AND(ISNUMBER(Tabella2[[#This Row],[Amplitute AXIAL stress  (MPa)]]), ISNUMBER(Tabella2[[#This Row],[Area (mm^2)]])), Tabella2[[#This Row],[Amplitute AXIAL stress  (MPa)]]*Tabella2[[#This Row],[Area (mm^2)]],"Null")</f>
        <v>16933.184402848983</v>
      </c>
      <c r="AD132" s="8">
        <f>IF( AND(ISNUMBER(Tabella2[[#This Row],[Amplitude AXIAL force (N)]]), ISNUMBER(Tabella2[[#This Row],[Mean AXIAL force (N)]])), Tabella2[[#This Row],[Amplitude AXIAL force (N)]]+Tabella2[[#This Row],[Mean AXIAL force (N)]],"Null")</f>
        <v>16933.184402848983</v>
      </c>
      <c r="AE13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3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132" s="1">
        <f>IF(
   AND(ISNUMBER(Tabella2[[#This Row],[Mean TORQUE (Nmm)]]), ISNUMBER(Tabella2[[#This Row],[Amplitude TORQUE (Nmm)]])),
   Tabella2[[#This Row],[Mean TORQUE (Nmm)]]+Tabella2[[#This Row],[Amplitude TORQUE (Nmm)]],
   "Null"
)</f>
        <v>59266.145409971454</v>
      </c>
      <c r="AH13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220</v>
      </c>
      <c r="AI13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3" spans="1:35" x14ac:dyDescent="0.25">
      <c r="A133" s="1" t="s">
        <v>52</v>
      </c>
      <c r="B133" s="1">
        <v>2025</v>
      </c>
      <c r="C133" s="1" t="s">
        <v>51</v>
      </c>
      <c r="D133" s="1" t="s">
        <v>189</v>
      </c>
      <c r="E133" s="1">
        <v>95224</v>
      </c>
      <c r="F133" s="1" t="s">
        <v>34</v>
      </c>
      <c r="G133" s="1" t="s">
        <v>43</v>
      </c>
      <c r="H133" s="1" t="e" vm="6">
        <v>#VALUE!</v>
      </c>
      <c r="I133" s="1" t="s">
        <v>45</v>
      </c>
      <c r="J133" s="1" t="s">
        <v>47</v>
      </c>
      <c r="K133" s="1">
        <v>14</v>
      </c>
      <c r="L133" s="8">
        <f>PI()*(Tabella2[[#This Row],[Diameter (mm)]]/2)^2</f>
        <v>153.93804002589985</v>
      </c>
      <c r="M133" s="8">
        <f>(PI()*Tabella2[[#This Row],[Diameter (mm)]]^4)/32</f>
        <v>3771.4819806345467</v>
      </c>
      <c r="N133" s="1" t="s">
        <v>35</v>
      </c>
      <c r="O133" s="1">
        <v>0</v>
      </c>
      <c r="P133" s="1" t="s">
        <v>35</v>
      </c>
      <c r="Q133" s="1">
        <v>-1</v>
      </c>
      <c r="R133" s="1">
        <v>-1</v>
      </c>
      <c r="S13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3" s="1" t="s">
        <v>35</v>
      </c>
      <c r="U13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33" s="11">
        <v>110</v>
      </c>
      <c r="W13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33" s="7">
        <v>110</v>
      </c>
      <c r="Y133" s="7" t="str">
        <f>Tabella2[[#This Row],[Mean RADIAL stress  (MPa)]]</f>
        <v>Null</v>
      </c>
      <c r="Z133" s="7" t="str">
        <f>Tabella2[[#This Row],[Amplitute RADIAL stress  (MPa)]]</f>
        <v>Null</v>
      </c>
      <c r="AA13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3" s="8">
        <f>IF( AND(ISNUMBER(Tabella2[[#This Row],[Mean AXIAL stress  (MPa)]]), ISNUMBER(Tabella2[[#This Row],[Area (mm^2)]])), Tabella2[[#This Row],[Mean AXIAL stress  (MPa)]]*Tabella2[[#This Row],[Area (mm^2)]], "Null")</f>
        <v>0</v>
      </c>
      <c r="AC133" s="8">
        <f>IF( AND(ISNUMBER(Tabella2[[#This Row],[Amplitute AXIAL stress  (MPa)]]), ISNUMBER(Tabella2[[#This Row],[Area (mm^2)]])), Tabella2[[#This Row],[Amplitute AXIAL stress  (MPa)]]*Tabella2[[#This Row],[Area (mm^2)]],"Null")</f>
        <v>16933.184402848983</v>
      </c>
      <c r="AD133" s="8">
        <f>IF( AND(ISNUMBER(Tabella2[[#This Row],[Amplitude AXIAL force (N)]]), ISNUMBER(Tabella2[[#This Row],[Mean AXIAL force (N)]])), Tabella2[[#This Row],[Amplitude AXIAL force (N)]]+Tabella2[[#This Row],[Mean AXIAL force (N)]],"Null")</f>
        <v>16933.184402848983</v>
      </c>
      <c r="AE13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3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59266.145409971454</v>
      </c>
      <c r="AG133" s="1">
        <f>IF(
   AND(ISNUMBER(Tabella2[[#This Row],[Mean TORQUE (Nmm)]]), ISNUMBER(Tabella2[[#This Row],[Amplitude TORQUE (Nmm)]])),
   Tabella2[[#This Row],[Mean TORQUE (Nmm)]]+Tabella2[[#This Row],[Amplitude TORQUE (Nmm)]],
   "Null"
)</f>
        <v>59266.145409971454</v>
      </c>
      <c r="AH13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220</v>
      </c>
      <c r="AI13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4" spans="1:35" x14ac:dyDescent="0.25">
      <c r="A134" s="1" t="s">
        <v>52</v>
      </c>
      <c r="B134" s="1">
        <v>2025</v>
      </c>
      <c r="C134" s="1" t="s">
        <v>51</v>
      </c>
      <c r="D134" s="1" t="s">
        <v>190</v>
      </c>
      <c r="E134" s="1">
        <v>1713825</v>
      </c>
      <c r="F134" s="1" t="s">
        <v>34</v>
      </c>
      <c r="G134" s="1" t="s">
        <v>43</v>
      </c>
      <c r="H134" s="1" t="e" vm="6">
        <v>#VALUE!</v>
      </c>
      <c r="I134" s="1" t="s">
        <v>45</v>
      </c>
      <c r="J134" s="1" t="s">
        <v>47</v>
      </c>
      <c r="K134" s="1">
        <v>14</v>
      </c>
      <c r="L134" s="8">
        <f>PI()*(Tabella2[[#This Row],[Diameter (mm)]]/2)^2</f>
        <v>153.93804002589985</v>
      </c>
      <c r="M134" s="8">
        <f>(PI()*Tabella2[[#This Row],[Diameter (mm)]]^4)/32</f>
        <v>3771.4819806345467</v>
      </c>
      <c r="N134" s="1" t="s">
        <v>35</v>
      </c>
      <c r="O134" s="1">
        <v>0</v>
      </c>
      <c r="P134" s="1" t="s">
        <v>35</v>
      </c>
      <c r="Q134" s="1">
        <v>0.1</v>
      </c>
      <c r="R134" s="1">
        <v>0.1</v>
      </c>
      <c r="S13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4" s="1" t="s">
        <v>35</v>
      </c>
      <c r="U134" s="1">
        <f>IF(ISNUMBER(Tabella2[[#This Row],[Amplitute AXIAL stress  (MPa)]]), (1+Tabella2[[#This Row],[Load ratio (AXIAL)]])*Tabella2[[#This Row],[Amplitute AXIAL stress  (MPa)]]/(1-Tabella2[[#This Row],[Load ratio (AXIAL)]]), "Null")</f>
        <v>73.333333333333329</v>
      </c>
      <c r="V134" s="1">
        <v>60</v>
      </c>
      <c r="W134" s="7">
        <f>IF(ISNUMBER(Tabella2[[#This Row],[Amplitute SHEAR stress  (MPa)]]), (1+Tabella2[[#This Row],[Load ratio (TORSIONAL)]])*Tabella2[[#This Row],[Amplitute SHEAR stress  (MPa)]]/(1-Tabella2[[#This Row],[Load ratio (TORSIONAL)]]), "Null")</f>
        <v>73.333333333333329</v>
      </c>
      <c r="X134" s="7">
        <v>60</v>
      </c>
      <c r="Y134" s="7" t="str">
        <f>Tabella2[[#This Row],[Mean RADIAL stress  (MPa)]]</f>
        <v>Null</v>
      </c>
      <c r="Z134" s="7" t="str">
        <f>Tabella2[[#This Row],[Amplitute RADIAL stress  (MPa)]]</f>
        <v>Null</v>
      </c>
      <c r="AA13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4" s="8">
        <f>IF( AND(ISNUMBER(Tabella2[[#This Row],[Mean AXIAL stress  (MPa)]]), ISNUMBER(Tabella2[[#This Row],[Area (mm^2)]])), Tabella2[[#This Row],[Mean AXIAL stress  (MPa)]]*Tabella2[[#This Row],[Area (mm^2)]], "Null")</f>
        <v>11288.789601899321</v>
      </c>
      <c r="AC134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134" s="8">
        <f>IF( AND(ISNUMBER(Tabella2[[#This Row],[Amplitude AXIAL force (N)]]), ISNUMBER(Tabella2[[#This Row],[Mean AXIAL force (N)]])), Tabella2[[#This Row],[Amplitude AXIAL force (N)]]+Tabella2[[#This Row],[Mean AXIAL force (N)]],"Null")</f>
        <v>20525.072003453315</v>
      </c>
      <c r="AE13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39510.763606647626</v>
      </c>
      <c r="AF13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32326.988405438973</v>
      </c>
      <c r="AG134" s="1">
        <f>IF(
   AND(ISNUMBER(Tabella2[[#This Row],[Mean TORQUE (Nmm)]]), ISNUMBER(Tabella2[[#This Row],[Amplitude TORQUE (Nmm)]])),
   Tabella2[[#This Row],[Mean TORQUE (Nmm)]]+Tabella2[[#This Row],[Amplitude TORQUE (Nmm)]],
   "Null"
)</f>
        <v>71837.752012086596</v>
      </c>
      <c r="AH13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13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5" spans="1:35" x14ac:dyDescent="0.25">
      <c r="A135" s="1" t="s">
        <v>52</v>
      </c>
      <c r="B135" s="1">
        <v>2025</v>
      </c>
      <c r="C135" s="1" t="s">
        <v>51</v>
      </c>
      <c r="D135" s="1" t="s">
        <v>191</v>
      </c>
      <c r="E135" s="1">
        <v>5000000</v>
      </c>
      <c r="F135" s="1" t="s">
        <v>70</v>
      </c>
      <c r="G135" s="1" t="s">
        <v>43</v>
      </c>
      <c r="H135" s="1" t="e" vm="6">
        <v>#VALUE!</v>
      </c>
      <c r="I135" s="1" t="s">
        <v>45</v>
      </c>
      <c r="J135" s="1" t="s">
        <v>47</v>
      </c>
      <c r="K135" s="1">
        <v>14</v>
      </c>
      <c r="L135" s="8">
        <f>PI()*(Tabella2[[#This Row],[Diameter (mm)]]/2)^2</f>
        <v>153.93804002589985</v>
      </c>
      <c r="M135" s="8">
        <f>(PI()*Tabella2[[#This Row],[Diameter (mm)]]^4)/32</f>
        <v>3771.4819806345467</v>
      </c>
      <c r="N135" s="1" t="s">
        <v>35</v>
      </c>
      <c r="O135" s="1">
        <v>0</v>
      </c>
      <c r="P135" s="1" t="s">
        <v>35</v>
      </c>
      <c r="Q135" s="1">
        <v>0.1</v>
      </c>
      <c r="R135" s="1">
        <v>0.1</v>
      </c>
      <c r="S13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5" s="1" t="s">
        <v>35</v>
      </c>
      <c r="U135" s="1">
        <f>IF(ISNUMBER(Tabella2[[#This Row],[Amplitute AXIAL stress  (MPa)]]), (1+Tabella2[[#This Row],[Load ratio (AXIAL)]])*Tabella2[[#This Row],[Amplitute AXIAL stress  (MPa)]]/(1-Tabella2[[#This Row],[Load ratio (AXIAL)]]), "Null")</f>
        <v>73.333333333333329</v>
      </c>
      <c r="V135" s="1">
        <v>60</v>
      </c>
      <c r="W135" s="7">
        <f>IF(ISNUMBER(Tabella2[[#This Row],[Amplitute SHEAR stress  (MPa)]]), (1+Tabella2[[#This Row],[Load ratio (TORSIONAL)]])*Tabella2[[#This Row],[Amplitute SHEAR stress  (MPa)]]/(1-Tabella2[[#This Row],[Load ratio (TORSIONAL)]]), "Null")</f>
        <v>73.333333333333329</v>
      </c>
      <c r="X135" s="7">
        <v>60</v>
      </c>
      <c r="Y135" s="7" t="str">
        <f>Tabella2[[#This Row],[Mean RADIAL stress  (MPa)]]</f>
        <v>Null</v>
      </c>
      <c r="Z135" s="7" t="str">
        <f>Tabella2[[#This Row],[Amplitute RADIAL stress  (MPa)]]</f>
        <v>Null</v>
      </c>
      <c r="AA13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5" s="8">
        <f>IF( AND(ISNUMBER(Tabella2[[#This Row],[Mean AXIAL stress  (MPa)]]), ISNUMBER(Tabella2[[#This Row],[Area (mm^2)]])), Tabella2[[#This Row],[Mean AXIAL stress  (MPa)]]*Tabella2[[#This Row],[Area (mm^2)]], "Null")</f>
        <v>11288.789601899321</v>
      </c>
      <c r="AC135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135" s="8">
        <f>IF( AND(ISNUMBER(Tabella2[[#This Row],[Amplitude AXIAL force (N)]]), ISNUMBER(Tabella2[[#This Row],[Mean AXIAL force (N)]])), Tabella2[[#This Row],[Amplitude AXIAL force (N)]]+Tabella2[[#This Row],[Mean AXIAL force (N)]],"Null")</f>
        <v>20525.072003453315</v>
      </c>
      <c r="AE13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39510.763606647626</v>
      </c>
      <c r="AF13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32326.988405438973</v>
      </c>
      <c r="AG135" s="1">
        <f>IF(
   AND(ISNUMBER(Tabella2[[#This Row],[Mean TORQUE (Nmm)]]), ISNUMBER(Tabella2[[#This Row],[Amplitude TORQUE (Nmm)]])),
   Tabella2[[#This Row],[Mean TORQUE (Nmm)]]+Tabella2[[#This Row],[Amplitude TORQUE (Nmm)]],
   "Null"
)</f>
        <v>71837.752012086596</v>
      </c>
      <c r="AH13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13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6" spans="1:35" x14ac:dyDescent="0.25">
      <c r="A136" s="1" t="s">
        <v>52</v>
      </c>
      <c r="B136" s="1">
        <v>2025</v>
      </c>
      <c r="C136" s="1" t="s">
        <v>51</v>
      </c>
      <c r="D136" s="1" t="s">
        <v>192</v>
      </c>
      <c r="E136" s="1">
        <v>169671</v>
      </c>
      <c r="F136" s="1" t="s">
        <v>34</v>
      </c>
      <c r="G136" s="1" t="s">
        <v>43</v>
      </c>
      <c r="H136" s="1" t="e" vm="6">
        <v>#VALUE!</v>
      </c>
      <c r="I136" s="1" t="s">
        <v>45</v>
      </c>
      <c r="J136" s="1" t="s">
        <v>47</v>
      </c>
      <c r="K136" s="1">
        <v>14</v>
      </c>
      <c r="L136" s="8">
        <f>PI()*(Tabella2[[#This Row],[Diameter (mm)]]/2)^2</f>
        <v>153.93804002589985</v>
      </c>
      <c r="M136" s="8">
        <f>(PI()*Tabella2[[#This Row],[Diameter (mm)]]^4)/32</f>
        <v>3771.4819806345467</v>
      </c>
      <c r="N136" s="1" t="s">
        <v>35</v>
      </c>
      <c r="O136" s="1">
        <v>0</v>
      </c>
      <c r="P136" s="1" t="s">
        <v>35</v>
      </c>
      <c r="Q136" s="1">
        <v>0.1</v>
      </c>
      <c r="R136" s="1">
        <v>0.1</v>
      </c>
      <c r="S13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6" s="1" t="s">
        <v>35</v>
      </c>
      <c r="U136" s="1">
        <f>IF(ISNUMBER(Tabella2[[#This Row],[Amplitute AXIAL stress  (MPa)]]), (1+Tabella2[[#This Row],[Load ratio (AXIAL)]])*Tabella2[[#This Row],[Amplitute AXIAL stress  (MPa)]]/(1-Tabella2[[#This Row],[Load ratio (AXIAL)]]), "Null")</f>
        <v>97.777777777777771</v>
      </c>
      <c r="V136" s="1">
        <v>80</v>
      </c>
      <c r="W136" s="7">
        <f>IF(ISNUMBER(Tabella2[[#This Row],[Amplitute SHEAR stress  (MPa)]]), (1+Tabella2[[#This Row],[Load ratio (TORSIONAL)]])*Tabella2[[#This Row],[Amplitute SHEAR stress  (MPa)]]/(1-Tabella2[[#This Row],[Load ratio (TORSIONAL)]]), "Null")</f>
        <v>97.777777777777771</v>
      </c>
      <c r="X136" s="7">
        <v>80</v>
      </c>
      <c r="Y136" s="7" t="str">
        <f>Tabella2[[#This Row],[Mean RADIAL stress  (MPa)]]</f>
        <v>Null</v>
      </c>
      <c r="Z136" s="7" t="str">
        <f>Tabella2[[#This Row],[Amplitute RADIAL stress  (MPa)]]</f>
        <v>Null</v>
      </c>
      <c r="AA13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6" s="8">
        <f>IF( AND(ISNUMBER(Tabella2[[#This Row],[Mean AXIAL stress  (MPa)]]), ISNUMBER(Tabella2[[#This Row],[Area (mm^2)]])), Tabella2[[#This Row],[Mean AXIAL stress  (MPa)]]*Tabella2[[#This Row],[Area (mm^2)]], "Null")</f>
        <v>15051.719469199095</v>
      </c>
      <c r="AC136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136" s="8">
        <f>IF( AND(ISNUMBER(Tabella2[[#This Row],[Amplitude AXIAL force (N)]]), ISNUMBER(Tabella2[[#This Row],[Mean AXIAL force (N)]])), Tabella2[[#This Row],[Amplitude AXIAL force (N)]]+Tabella2[[#This Row],[Mean AXIAL force (N)]],"Null")</f>
        <v>27366.762671271084</v>
      </c>
      <c r="AE13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52681.018142196837</v>
      </c>
      <c r="AF13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43102.651207251962</v>
      </c>
      <c r="AG136" s="1">
        <f>IF(
   AND(ISNUMBER(Tabella2[[#This Row],[Mean TORQUE (Nmm)]]), ISNUMBER(Tabella2[[#This Row],[Amplitude TORQUE (Nmm)]])),
   Tabella2[[#This Row],[Mean TORQUE (Nmm)]]+Tabella2[[#This Row],[Amplitude TORQUE (Nmm)]],
   "Null"
)</f>
        <v>95783.669349448799</v>
      </c>
      <c r="AH13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  <c r="AI13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7" spans="1:35" x14ac:dyDescent="0.25">
      <c r="A137" s="1" t="s">
        <v>52</v>
      </c>
      <c r="B137" s="1">
        <v>2025</v>
      </c>
      <c r="C137" s="1" t="s">
        <v>51</v>
      </c>
      <c r="D137" s="1" t="s">
        <v>193</v>
      </c>
      <c r="E137" s="1">
        <v>112468</v>
      </c>
      <c r="F137" s="1" t="s">
        <v>34</v>
      </c>
      <c r="G137" s="1" t="s">
        <v>43</v>
      </c>
      <c r="H137" s="1" t="e" vm="6">
        <v>#VALUE!</v>
      </c>
      <c r="I137" s="1" t="s">
        <v>45</v>
      </c>
      <c r="J137" s="1" t="s">
        <v>47</v>
      </c>
      <c r="K137" s="1">
        <v>14</v>
      </c>
      <c r="L137" s="8">
        <f>PI()*(Tabella2[[#This Row],[Diameter (mm)]]/2)^2</f>
        <v>153.93804002589985</v>
      </c>
      <c r="M137" s="8">
        <f>(PI()*Tabella2[[#This Row],[Diameter (mm)]]^4)/32</f>
        <v>3771.4819806345467</v>
      </c>
      <c r="N137" s="1" t="s">
        <v>35</v>
      </c>
      <c r="O137" s="1">
        <v>0</v>
      </c>
      <c r="P137" s="1" t="s">
        <v>35</v>
      </c>
      <c r="Q137" s="1">
        <v>0.1</v>
      </c>
      <c r="R137" s="1">
        <v>0.1</v>
      </c>
      <c r="S13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7" s="1" t="s">
        <v>35</v>
      </c>
      <c r="U137" s="1">
        <f>IF(ISNUMBER(Tabella2[[#This Row],[Amplitute AXIAL stress  (MPa)]]), (1+Tabella2[[#This Row],[Load ratio (AXIAL)]])*Tabella2[[#This Row],[Amplitute AXIAL stress  (MPa)]]/(1-Tabella2[[#This Row],[Load ratio (AXIAL)]]), "Null")</f>
        <v>97.777777777777771</v>
      </c>
      <c r="V137" s="1">
        <v>80</v>
      </c>
      <c r="W137" s="7">
        <f>IF(ISNUMBER(Tabella2[[#This Row],[Amplitute SHEAR stress  (MPa)]]), (1+Tabella2[[#This Row],[Load ratio (TORSIONAL)]])*Tabella2[[#This Row],[Amplitute SHEAR stress  (MPa)]]/(1-Tabella2[[#This Row],[Load ratio (TORSIONAL)]]), "Null")</f>
        <v>97.777777777777771</v>
      </c>
      <c r="X137" s="7">
        <v>80</v>
      </c>
      <c r="Y137" s="7" t="str">
        <f>Tabella2[[#This Row],[Mean RADIAL stress  (MPa)]]</f>
        <v>Null</v>
      </c>
      <c r="Z137" s="7" t="str">
        <f>Tabella2[[#This Row],[Amplitute RADIAL stress  (MPa)]]</f>
        <v>Null</v>
      </c>
      <c r="AA13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7" s="8">
        <f>IF( AND(ISNUMBER(Tabella2[[#This Row],[Mean AXIAL stress  (MPa)]]), ISNUMBER(Tabella2[[#This Row],[Area (mm^2)]])), Tabella2[[#This Row],[Mean AXIAL stress  (MPa)]]*Tabella2[[#This Row],[Area (mm^2)]], "Null")</f>
        <v>15051.719469199095</v>
      </c>
      <c r="AC137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137" s="8">
        <f>IF( AND(ISNUMBER(Tabella2[[#This Row],[Amplitude AXIAL force (N)]]), ISNUMBER(Tabella2[[#This Row],[Mean AXIAL force (N)]])), Tabella2[[#This Row],[Amplitude AXIAL force (N)]]+Tabella2[[#This Row],[Mean AXIAL force (N)]],"Null")</f>
        <v>27366.762671271084</v>
      </c>
      <c r="AE13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52681.018142196837</v>
      </c>
      <c r="AF13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43102.651207251962</v>
      </c>
      <c r="AG137" s="1">
        <f>IF(
   AND(ISNUMBER(Tabella2[[#This Row],[Mean TORQUE (Nmm)]]), ISNUMBER(Tabella2[[#This Row],[Amplitude TORQUE (Nmm)]])),
   Tabella2[[#This Row],[Mean TORQUE (Nmm)]]+Tabella2[[#This Row],[Amplitude TORQUE (Nmm)]],
   "Null"
)</f>
        <v>95783.669349448799</v>
      </c>
      <c r="AH13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  <c r="AI13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8" spans="1:35" x14ac:dyDescent="0.25">
      <c r="A138" s="1" t="s">
        <v>52</v>
      </c>
      <c r="B138" s="1">
        <v>2025</v>
      </c>
      <c r="C138" s="1" t="s">
        <v>51</v>
      </c>
      <c r="D138" s="1" t="s">
        <v>194</v>
      </c>
      <c r="E138" s="1">
        <v>272000</v>
      </c>
      <c r="F138" s="1" t="s">
        <v>34</v>
      </c>
      <c r="G138" s="1" t="s">
        <v>43</v>
      </c>
      <c r="H138" s="1" t="e" vm="6">
        <v>#VALUE!</v>
      </c>
      <c r="I138" s="1" t="s">
        <v>45</v>
      </c>
      <c r="J138" s="1" t="s">
        <v>47</v>
      </c>
      <c r="K138" s="1">
        <v>14</v>
      </c>
      <c r="L138" s="8">
        <f>PI()*(Tabella2[[#This Row],[Diameter (mm)]]/2)^2</f>
        <v>153.93804002589985</v>
      </c>
      <c r="M138" s="8">
        <f>(PI()*Tabella2[[#This Row],[Diameter (mm)]]^4)/32</f>
        <v>3771.4819806345467</v>
      </c>
      <c r="N138" s="1" t="s">
        <v>35</v>
      </c>
      <c r="O138" s="1">
        <v>0</v>
      </c>
      <c r="P138" s="1" t="s">
        <v>35</v>
      </c>
      <c r="Q138" s="1">
        <v>0.1</v>
      </c>
      <c r="R138" s="1">
        <v>0.1</v>
      </c>
      <c r="S13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8" s="1" t="s">
        <v>35</v>
      </c>
      <c r="U138" s="1">
        <f>IF(ISNUMBER(Tabella2[[#This Row],[Amplitute AXIAL stress  (MPa)]]), (1+Tabella2[[#This Row],[Load ratio (AXIAL)]])*Tabella2[[#This Row],[Amplitute AXIAL stress  (MPa)]]/(1-Tabella2[[#This Row],[Load ratio (AXIAL)]]), "Null")</f>
        <v>85.555555555555557</v>
      </c>
      <c r="V138" s="1">
        <v>70</v>
      </c>
      <c r="W138" s="7">
        <f>IF(ISNUMBER(Tabella2[[#This Row],[Amplitute SHEAR stress  (MPa)]]), (1+Tabella2[[#This Row],[Load ratio (TORSIONAL)]])*Tabella2[[#This Row],[Amplitute SHEAR stress  (MPa)]]/(1-Tabella2[[#This Row],[Load ratio (TORSIONAL)]]), "Null")</f>
        <v>85.555555555555557</v>
      </c>
      <c r="X138" s="7">
        <v>70</v>
      </c>
      <c r="Y138" s="7" t="str">
        <f>Tabella2[[#This Row],[Mean RADIAL stress  (MPa)]]</f>
        <v>Null</v>
      </c>
      <c r="Z138" s="7" t="str">
        <f>Tabella2[[#This Row],[Amplitute RADIAL stress  (MPa)]]</f>
        <v>Null</v>
      </c>
      <c r="AA13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8" s="8">
        <f>IF( AND(ISNUMBER(Tabella2[[#This Row],[Mean AXIAL stress  (MPa)]]), ISNUMBER(Tabella2[[#This Row],[Area (mm^2)]])), Tabella2[[#This Row],[Mean AXIAL stress  (MPa)]]*Tabella2[[#This Row],[Area (mm^2)]], "Null")</f>
        <v>13170.254535549209</v>
      </c>
      <c r="AC138" s="8">
        <f>IF( AND(ISNUMBER(Tabella2[[#This Row],[Amplitute AXIAL stress  (MPa)]]), ISNUMBER(Tabella2[[#This Row],[Area (mm^2)]])), Tabella2[[#This Row],[Amplitute AXIAL stress  (MPa)]]*Tabella2[[#This Row],[Area (mm^2)]],"Null")</f>
        <v>10775.66280181299</v>
      </c>
      <c r="AD138" s="8">
        <f>IF( AND(ISNUMBER(Tabella2[[#This Row],[Amplitude AXIAL force (N)]]), ISNUMBER(Tabella2[[#This Row],[Mean AXIAL force (N)]])), Tabella2[[#This Row],[Amplitude AXIAL force (N)]]+Tabella2[[#This Row],[Mean AXIAL force (N)]],"Null")</f>
        <v>23945.9173373622</v>
      </c>
      <c r="AE13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46095.890874422235</v>
      </c>
      <c r="AF13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37714.819806345462</v>
      </c>
      <c r="AG138" s="1">
        <f>IF(
   AND(ISNUMBER(Tabella2[[#This Row],[Mean TORQUE (Nmm)]]), ISNUMBER(Tabella2[[#This Row],[Amplitude TORQUE (Nmm)]])),
   Tabella2[[#This Row],[Mean TORQUE (Nmm)]]+Tabella2[[#This Row],[Amplitude TORQUE (Nmm)]],
   "Null"
)</f>
        <v>83810.71068076769</v>
      </c>
      <c r="AH13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3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39" spans="1:35" x14ac:dyDescent="0.25">
      <c r="A139" s="1" t="s">
        <v>52</v>
      </c>
      <c r="B139" s="1">
        <v>2025</v>
      </c>
      <c r="C139" s="1" t="s">
        <v>51</v>
      </c>
      <c r="D139" s="1" t="s">
        <v>195</v>
      </c>
      <c r="E139" s="1">
        <v>177000</v>
      </c>
      <c r="F139" s="1" t="s">
        <v>34</v>
      </c>
      <c r="G139" s="1" t="s">
        <v>43</v>
      </c>
      <c r="H139" s="1" t="e" vm="6">
        <v>#VALUE!</v>
      </c>
      <c r="I139" s="1" t="s">
        <v>45</v>
      </c>
      <c r="J139" s="1" t="s">
        <v>47</v>
      </c>
      <c r="K139" s="1">
        <v>14</v>
      </c>
      <c r="L139" s="8">
        <f>PI()*(Tabella2[[#This Row],[Diameter (mm)]]/2)^2</f>
        <v>153.93804002589985</v>
      </c>
      <c r="M139" s="8">
        <f>(PI()*Tabella2[[#This Row],[Diameter (mm)]]^4)/32</f>
        <v>3771.4819806345467</v>
      </c>
      <c r="N139" s="1" t="s">
        <v>35</v>
      </c>
      <c r="O139" s="1">
        <v>0</v>
      </c>
      <c r="P139" s="1" t="s">
        <v>35</v>
      </c>
      <c r="Q139" s="1">
        <v>0.1</v>
      </c>
      <c r="R139" s="1">
        <v>0.1</v>
      </c>
      <c r="S13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9" s="1" t="s">
        <v>35</v>
      </c>
      <c r="U139" s="1">
        <f>IF(ISNUMBER(Tabella2[[#This Row],[Amplitute AXIAL stress  (MPa)]]), (1+Tabella2[[#This Row],[Load ratio (AXIAL)]])*Tabella2[[#This Row],[Amplitute AXIAL stress  (MPa)]]/(1-Tabella2[[#This Row],[Load ratio (AXIAL)]]), "Null")</f>
        <v>85.555555555555557</v>
      </c>
      <c r="V139" s="1">
        <v>70</v>
      </c>
      <c r="W139" s="7">
        <f>IF(ISNUMBER(Tabella2[[#This Row],[Amplitute SHEAR stress  (MPa)]]), (1+Tabella2[[#This Row],[Load ratio (TORSIONAL)]])*Tabella2[[#This Row],[Amplitute SHEAR stress  (MPa)]]/(1-Tabella2[[#This Row],[Load ratio (TORSIONAL)]]), "Null")</f>
        <v>85.555555555555557</v>
      </c>
      <c r="X139" s="7">
        <v>70</v>
      </c>
      <c r="Y139" s="7" t="str">
        <f>Tabella2[[#This Row],[Mean RADIAL stress  (MPa)]]</f>
        <v>Null</v>
      </c>
      <c r="Z139" s="7" t="str">
        <f>Tabella2[[#This Row],[Amplitute RADIAL stress  (MPa)]]</f>
        <v>Null</v>
      </c>
      <c r="AA13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9" s="8">
        <f>IF( AND(ISNUMBER(Tabella2[[#This Row],[Mean AXIAL stress  (MPa)]]), ISNUMBER(Tabella2[[#This Row],[Area (mm^2)]])), Tabella2[[#This Row],[Mean AXIAL stress  (MPa)]]*Tabella2[[#This Row],[Area (mm^2)]], "Null")</f>
        <v>13170.254535549209</v>
      </c>
      <c r="AC139" s="8">
        <f>IF( AND(ISNUMBER(Tabella2[[#This Row],[Amplitute AXIAL stress  (MPa)]]), ISNUMBER(Tabella2[[#This Row],[Area (mm^2)]])), Tabella2[[#This Row],[Amplitute AXIAL stress  (MPa)]]*Tabella2[[#This Row],[Area (mm^2)]],"Null")</f>
        <v>10775.66280181299</v>
      </c>
      <c r="AD139" s="8">
        <f>IF( AND(ISNUMBER(Tabella2[[#This Row],[Amplitude AXIAL force (N)]]), ISNUMBER(Tabella2[[#This Row],[Mean AXIAL force (N)]])), Tabella2[[#This Row],[Amplitude AXIAL force (N)]]+Tabella2[[#This Row],[Mean AXIAL force (N)]],"Null")</f>
        <v>23945.9173373622</v>
      </c>
      <c r="AE13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46095.890874422235</v>
      </c>
      <c r="AF13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37714.819806345462</v>
      </c>
      <c r="AG139" s="1">
        <f>IF(
   AND(ISNUMBER(Tabella2[[#This Row],[Mean TORQUE (Nmm)]]), ISNUMBER(Tabella2[[#This Row],[Amplitude TORQUE (Nmm)]])),
   Tabella2[[#This Row],[Mean TORQUE (Nmm)]]+Tabella2[[#This Row],[Amplitude TORQUE (Nmm)]],
   "Null"
)</f>
        <v>83810.71068076769</v>
      </c>
      <c r="AH13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3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40" spans="1:35" x14ac:dyDescent="0.25">
      <c r="A140" s="1" t="s">
        <v>52</v>
      </c>
      <c r="B140" s="1">
        <v>2025</v>
      </c>
      <c r="C140" s="1" t="s">
        <v>51</v>
      </c>
      <c r="D140" s="1" t="s">
        <v>196</v>
      </c>
      <c r="E140" s="1">
        <v>1220000</v>
      </c>
      <c r="F140" s="1" t="s">
        <v>34</v>
      </c>
      <c r="G140" s="1" t="s">
        <v>43</v>
      </c>
      <c r="H140" s="1" t="e" vm="4">
        <v>#VALUE!</v>
      </c>
      <c r="I140" s="1" t="s">
        <v>45</v>
      </c>
      <c r="J140" s="1" t="s">
        <v>70</v>
      </c>
      <c r="K140" s="1">
        <v>22.5</v>
      </c>
      <c r="L140" s="8">
        <f>PI()*(Tabella2[[#This Row],[Diameter (mm)]]/2)^2</f>
        <v>397.60782021995817</v>
      </c>
      <c r="M140" s="8">
        <f>(PI()*Tabella2[[#This Row],[Diameter (mm)]]^4)/32</f>
        <v>25161.119873294228</v>
      </c>
      <c r="N140" s="1" t="s">
        <v>35</v>
      </c>
      <c r="O140" s="1">
        <v>0</v>
      </c>
      <c r="P140" s="1" t="s">
        <v>35</v>
      </c>
      <c r="Q140" s="1">
        <v>-1</v>
      </c>
      <c r="R140" s="1">
        <v>-1</v>
      </c>
      <c r="S14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0" s="1" t="s">
        <v>35</v>
      </c>
      <c r="U14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0" s="1">
        <v>35</v>
      </c>
      <c r="W14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0" s="7">
        <v>20.207259421636905</v>
      </c>
      <c r="Y140" s="7" t="str">
        <f>Tabella2[[#This Row],[Mean RADIAL stress  (MPa)]]</f>
        <v>Null</v>
      </c>
      <c r="Z140" s="7" t="str">
        <f>Tabella2[[#This Row],[Amplitute RADIAL stress  (MPa)]]</f>
        <v>Null</v>
      </c>
      <c r="AA14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0" s="8">
        <f>IF( AND(ISNUMBER(Tabella2[[#This Row],[Mean AXIAL stress  (MPa)]]), ISNUMBER(Tabella2[[#This Row],[Area (mm^2)]])), Tabella2[[#This Row],[Mean AXIAL stress  (MPa)]]*Tabella2[[#This Row],[Area (mm^2)]], "Null")</f>
        <v>0</v>
      </c>
      <c r="AC140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40" s="8">
        <f>IF( AND(ISNUMBER(Tabella2[[#This Row],[Amplitude AXIAL force (N)]]), ISNUMBER(Tabella2[[#This Row],[Mean AXIAL force (N)]])), Tabella2[[#This Row],[Amplitude AXIAL force (N)]]+Tabella2[[#This Row],[Mean AXIAL force (N)]],"Null")</f>
        <v>13916.273707698536</v>
      </c>
      <c r="AE14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40" s="1">
        <f>IF(
   AND(ISNUMBER(Tabella2[[#This Row],[Mean TORQUE (Nmm)]]), ISNUMBER(Tabella2[[#This Row],[Amplitude TORQUE (Nmm)]])),
   Tabella2[[#This Row],[Mean TORQUE (Nmm)]]+Tabella2[[#This Row],[Amplitude TORQUE (Nmm)]],
   "Null"
)</f>
        <v>45194.424588316477</v>
      </c>
      <c r="AH14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4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1" spans="1:35" x14ac:dyDescent="0.25">
      <c r="A141" s="1" t="s">
        <v>52</v>
      </c>
      <c r="B141" s="1">
        <v>2025</v>
      </c>
      <c r="C141" s="1" t="s">
        <v>51</v>
      </c>
      <c r="D141" s="1" t="s">
        <v>197</v>
      </c>
      <c r="E141" s="1">
        <v>623622</v>
      </c>
      <c r="F141" s="1" t="s">
        <v>34</v>
      </c>
      <c r="G141" s="1" t="s">
        <v>43</v>
      </c>
      <c r="H141" s="1" t="e" vm="4">
        <v>#VALUE!</v>
      </c>
      <c r="I141" s="1" t="s">
        <v>45</v>
      </c>
      <c r="J141" s="1" t="s">
        <v>70</v>
      </c>
      <c r="K141" s="1">
        <v>22.5</v>
      </c>
      <c r="L141" s="8">
        <f>PI()*(Tabella2[[#This Row],[Diameter (mm)]]/2)^2</f>
        <v>397.60782021995817</v>
      </c>
      <c r="M141" s="8">
        <f>(PI()*Tabella2[[#This Row],[Diameter (mm)]]^4)/32</f>
        <v>25161.119873294228</v>
      </c>
      <c r="N141" s="1" t="s">
        <v>35</v>
      </c>
      <c r="O141" s="1">
        <v>0</v>
      </c>
      <c r="P141" s="1" t="s">
        <v>35</v>
      </c>
      <c r="Q141" s="1">
        <v>-1</v>
      </c>
      <c r="R141" s="1">
        <v>-1</v>
      </c>
      <c r="S14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1" s="1" t="s">
        <v>35</v>
      </c>
      <c r="U14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1" s="1">
        <v>45</v>
      </c>
      <c r="W14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1" s="7">
        <v>25.980762113533164</v>
      </c>
      <c r="Y141" s="7" t="str">
        <f>Tabella2[[#This Row],[Mean RADIAL stress  (MPa)]]</f>
        <v>Null</v>
      </c>
      <c r="Z141" s="7" t="str">
        <f>Tabella2[[#This Row],[Amplitute RADIAL stress  (MPa)]]</f>
        <v>Null</v>
      </c>
      <c r="AA14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1" s="8">
        <f>IF( AND(ISNUMBER(Tabella2[[#This Row],[Mean AXIAL stress  (MPa)]]), ISNUMBER(Tabella2[[#This Row],[Area (mm^2)]])), Tabella2[[#This Row],[Mean AXIAL stress  (MPa)]]*Tabella2[[#This Row],[Area (mm^2)]], "Null")</f>
        <v>0</v>
      </c>
      <c r="AC141" s="8">
        <f>IF( AND(ISNUMBER(Tabella2[[#This Row],[Amplitute AXIAL stress  (MPa)]]), ISNUMBER(Tabella2[[#This Row],[Area (mm^2)]])), Tabella2[[#This Row],[Amplitute AXIAL stress  (MPa)]]*Tabella2[[#This Row],[Area (mm^2)]],"Null")</f>
        <v>17892.351909898116</v>
      </c>
      <c r="AD141" s="8">
        <f>IF( AND(ISNUMBER(Tabella2[[#This Row],[Amplitude AXIAL force (N)]]), ISNUMBER(Tabella2[[#This Row],[Mean AXIAL force (N)]])), Tabella2[[#This Row],[Amplitude AXIAL force (N)]]+Tabella2[[#This Row],[Mean AXIAL force (N)]],"Null")</f>
        <v>17892.351909898116</v>
      </c>
      <c r="AE14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58107.117327835476</v>
      </c>
      <c r="AG141" s="1">
        <f>IF(
   AND(ISNUMBER(Tabella2[[#This Row],[Mean TORQUE (Nmm)]]), ISNUMBER(Tabella2[[#This Row],[Amplitude TORQUE (Nmm)]])),
   Tabella2[[#This Row],[Mean TORQUE (Nmm)]]+Tabella2[[#This Row],[Amplitude TORQUE (Nmm)]],
   "Null"
)</f>
        <v>58107.117327835476</v>
      </c>
      <c r="AH14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63.639610306789287</v>
      </c>
      <c r="AI14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2" spans="1:35" x14ac:dyDescent="0.25">
      <c r="A142" s="1" t="s">
        <v>52</v>
      </c>
      <c r="B142" s="1">
        <v>2025</v>
      </c>
      <c r="C142" s="1" t="s">
        <v>51</v>
      </c>
      <c r="D142" s="1" t="s">
        <v>198</v>
      </c>
      <c r="E142" s="1">
        <v>5000000</v>
      </c>
      <c r="F142" s="1" t="s">
        <v>70</v>
      </c>
      <c r="G142" s="1" t="s">
        <v>43</v>
      </c>
      <c r="H142" s="1" t="e" vm="4">
        <v>#VALUE!</v>
      </c>
      <c r="I142" s="1" t="s">
        <v>45</v>
      </c>
      <c r="J142" s="1" t="s">
        <v>70</v>
      </c>
      <c r="K142" s="1">
        <v>22.5</v>
      </c>
      <c r="L142" s="8">
        <f>PI()*(Tabella2[[#This Row],[Diameter (mm)]]/2)^2</f>
        <v>397.60782021995817</v>
      </c>
      <c r="M142" s="8">
        <f>(PI()*Tabella2[[#This Row],[Diameter (mm)]]^4)/32</f>
        <v>25161.119873294228</v>
      </c>
      <c r="N142" s="1" t="s">
        <v>35</v>
      </c>
      <c r="O142" s="1">
        <v>0</v>
      </c>
      <c r="P142" s="1" t="s">
        <v>35</v>
      </c>
      <c r="Q142" s="1">
        <v>-1</v>
      </c>
      <c r="R142" s="1">
        <v>-1</v>
      </c>
      <c r="S14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2" s="1" t="s">
        <v>35</v>
      </c>
      <c r="U14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2" s="1">
        <v>35</v>
      </c>
      <c r="W14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2" s="7">
        <v>20.207259421636905</v>
      </c>
      <c r="Y142" s="7" t="str">
        <f>Tabella2[[#This Row],[Mean RADIAL stress  (MPa)]]</f>
        <v>Null</v>
      </c>
      <c r="Z142" s="7" t="str">
        <f>Tabella2[[#This Row],[Amplitute RADIAL stress  (MPa)]]</f>
        <v>Null</v>
      </c>
      <c r="AA14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2" s="8">
        <f>IF( AND(ISNUMBER(Tabella2[[#This Row],[Mean AXIAL stress  (MPa)]]), ISNUMBER(Tabella2[[#This Row],[Area (mm^2)]])), Tabella2[[#This Row],[Mean AXIAL stress  (MPa)]]*Tabella2[[#This Row],[Area (mm^2)]], "Null")</f>
        <v>0</v>
      </c>
      <c r="AC142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42" s="8">
        <f>IF( AND(ISNUMBER(Tabella2[[#This Row],[Amplitude AXIAL force (N)]]), ISNUMBER(Tabella2[[#This Row],[Mean AXIAL force (N)]])), Tabella2[[#This Row],[Amplitude AXIAL force (N)]]+Tabella2[[#This Row],[Mean AXIAL force (N)]],"Null")</f>
        <v>13916.273707698536</v>
      </c>
      <c r="AE14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42" s="1">
        <f>IF(
   AND(ISNUMBER(Tabella2[[#This Row],[Mean TORQUE (Nmm)]]), ISNUMBER(Tabella2[[#This Row],[Amplitude TORQUE (Nmm)]])),
   Tabella2[[#This Row],[Mean TORQUE (Nmm)]]+Tabella2[[#This Row],[Amplitude TORQUE (Nmm)]],
   "Null"
)</f>
        <v>45194.424588316477</v>
      </c>
      <c r="AH14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4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3" spans="1:35" x14ac:dyDescent="0.25">
      <c r="A143" s="1" t="s">
        <v>52</v>
      </c>
      <c r="B143" s="1">
        <v>2025</v>
      </c>
      <c r="C143" s="1" t="s">
        <v>51</v>
      </c>
      <c r="D143" s="1" t="s">
        <v>199</v>
      </c>
      <c r="E143" s="1">
        <v>3330264</v>
      </c>
      <c r="F143" s="1" t="s">
        <v>34</v>
      </c>
      <c r="G143" s="1" t="s">
        <v>43</v>
      </c>
      <c r="H143" s="1" t="e" vm="4">
        <v>#VALUE!</v>
      </c>
      <c r="I143" s="1" t="s">
        <v>45</v>
      </c>
      <c r="J143" s="1" t="s">
        <v>70</v>
      </c>
      <c r="K143" s="1">
        <v>22.5</v>
      </c>
      <c r="L143" s="8">
        <f>PI()*(Tabella2[[#This Row],[Diameter (mm)]]/2)^2</f>
        <v>397.60782021995817</v>
      </c>
      <c r="M143" s="8">
        <f>(PI()*Tabella2[[#This Row],[Diameter (mm)]]^4)/32</f>
        <v>25161.119873294228</v>
      </c>
      <c r="N143" s="1" t="s">
        <v>35</v>
      </c>
      <c r="O143" s="1">
        <v>0</v>
      </c>
      <c r="P143" s="1" t="s">
        <v>35</v>
      </c>
      <c r="Q143" s="1">
        <v>-1</v>
      </c>
      <c r="R143" s="1">
        <v>-1</v>
      </c>
      <c r="S14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3" s="1" t="s">
        <v>35</v>
      </c>
      <c r="U14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3" s="1">
        <v>35</v>
      </c>
      <c r="W14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3" s="7">
        <v>20.207259421636905</v>
      </c>
      <c r="Y143" s="7" t="str">
        <f>Tabella2[[#This Row],[Mean RADIAL stress  (MPa)]]</f>
        <v>Null</v>
      </c>
      <c r="Z143" s="7" t="str">
        <f>Tabella2[[#This Row],[Amplitute RADIAL stress  (MPa)]]</f>
        <v>Null</v>
      </c>
      <c r="AA14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3" s="8">
        <f>IF( AND(ISNUMBER(Tabella2[[#This Row],[Mean AXIAL stress  (MPa)]]), ISNUMBER(Tabella2[[#This Row],[Area (mm^2)]])), Tabella2[[#This Row],[Mean AXIAL stress  (MPa)]]*Tabella2[[#This Row],[Area (mm^2)]], "Null")</f>
        <v>0</v>
      </c>
      <c r="AC143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43" s="8">
        <f>IF( AND(ISNUMBER(Tabella2[[#This Row],[Amplitude AXIAL force (N)]]), ISNUMBER(Tabella2[[#This Row],[Mean AXIAL force (N)]])), Tabella2[[#This Row],[Amplitude AXIAL force (N)]]+Tabella2[[#This Row],[Mean AXIAL force (N)]],"Null")</f>
        <v>13916.273707698536</v>
      </c>
      <c r="AE14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43" s="1">
        <f>IF(
   AND(ISNUMBER(Tabella2[[#This Row],[Mean TORQUE (Nmm)]]), ISNUMBER(Tabella2[[#This Row],[Amplitude TORQUE (Nmm)]])),
   Tabella2[[#This Row],[Mean TORQUE (Nmm)]]+Tabella2[[#This Row],[Amplitude TORQUE (Nmm)]],
   "Null"
)</f>
        <v>45194.424588316477</v>
      </c>
      <c r="AH14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4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4" spans="1:35" x14ac:dyDescent="0.25">
      <c r="A144" s="1" t="s">
        <v>52</v>
      </c>
      <c r="B144" s="1">
        <v>2025</v>
      </c>
      <c r="C144" s="1" t="s">
        <v>51</v>
      </c>
      <c r="D144" s="1" t="s">
        <v>200</v>
      </c>
      <c r="E144" s="1">
        <v>564220</v>
      </c>
      <c r="F144" s="1" t="s">
        <v>34</v>
      </c>
      <c r="G144" s="1" t="s">
        <v>43</v>
      </c>
      <c r="H144" s="1" t="e" vm="4">
        <v>#VALUE!</v>
      </c>
      <c r="I144" s="1" t="s">
        <v>45</v>
      </c>
      <c r="J144" s="1" t="s">
        <v>70</v>
      </c>
      <c r="K144" s="1">
        <v>22.5</v>
      </c>
      <c r="L144" s="8">
        <f>PI()*(Tabella2[[#This Row],[Diameter (mm)]]/2)^2</f>
        <v>397.60782021995817</v>
      </c>
      <c r="M144" s="8">
        <f>(PI()*Tabella2[[#This Row],[Diameter (mm)]]^4)/32</f>
        <v>25161.119873294228</v>
      </c>
      <c r="N144" s="1" t="s">
        <v>35</v>
      </c>
      <c r="O144" s="1">
        <v>0</v>
      </c>
      <c r="P144" s="1" t="s">
        <v>35</v>
      </c>
      <c r="Q144" s="1">
        <v>-1</v>
      </c>
      <c r="R144" s="1">
        <v>-1</v>
      </c>
      <c r="S14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4" s="1" t="s">
        <v>35</v>
      </c>
      <c r="U14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4" s="1">
        <v>45</v>
      </c>
      <c r="W14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4" s="7">
        <v>25.980762113533164</v>
      </c>
      <c r="Y144" s="7" t="str">
        <f>Tabella2[[#This Row],[Mean RADIAL stress  (MPa)]]</f>
        <v>Null</v>
      </c>
      <c r="Z144" s="7" t="str">
        <f>Tabella2[[#This Row],[Amplitute RADIAL stress  (MPa)]]</f>
        <v>Null</v>
      </c>
      <c r="AA14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4" s="8">
        <f>IF( AND(ISNUMBER(Tabella2[[#This Row],[Mean AXIAL stress  (MPa)]]), ISNUMBER(Tabella2[[#This Row],[Area (mm^2)]])), Tabella2[[#This Row],[Mean AXIAL stress  (MPa)]]*Tabella2[[#This Row],[Area (mm^2)]], "Null")</f>
        <v>0</v>
      </c>
      <c r="AC144" s="8">
        <f>IF( AND(ISNUMBER(Tabella2[[#This Row],[Amplitute AXIAL stress  (MPa)]]), ISNUMBER(Tabella2[[#This Row],[Area (mm^2)]])), Tabella2[[#This Row],[Amplitute AXIAL stress  (MPa)]]*Tabella2[[#This Row],[Area (mm^2)]],"Null")</f>
        <v>17892.351909898116</v>
      </c>
      <c r="AD144" s="8">
        <f>IF( AND(ISNUMBER(Tabella2[[#This Row],[Amplitude AXIAL force (N)]]), ISNUMBER(Tabella2[[#This Row],[Mean AXIAL force (N)]])), Tabella2[[#This Row],[Amplitude AXIAL force (N)]]+Tabella2[[#This Row],[Mean AXIAL force (N)]],"Null")</f>
        <v>17892.351909898116</v>
      </c>
      <c r="AE14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58107.117327835476</v>
      </c>
      <c r="AG144" s="1">
        <f>IF(
   AND(ISNUMBER(Tabella2[[#This Row],[Mean TORQUE (Nmm)]]), ISNUMBER(Tabella2[[#This Row],[Amplitude TORQUE (Nmm)]])),
   Tabella2[[#This Row],[Mean TORQUE (Nmm)]]+Tabella2[[#This Row],[Amplitude TORQUE (Nmm)]],
   "Null"
)</f>
        <v>58107.117327835476</v>
      </c>
      <c r="AH14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63.639610306789287</v>
      </c>
      <c r="AI14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5" spans="1:35" x14ac:dyDescent="0.25">
      <c r="A145" s="1" t="s">
        <v>52</v>
      </c>
      <c r="B145" s="1">
        <v>2025</v>
      </c>
      <c r="C145" s="1" t="s">
        <v>51</v>
      </c>
      <c r="D145" s="1" t="s">
        <v>201</v>
      </c>
      <c r="E145" s="1">
        <v>475486</v>
      </c>
      <c r="F145" s="1" t="s">
        <v>34</v>
      </c>
      <c r="G145" s="1" t="s">
        <v>43</v>
      </c>
      <c r="H145" s="1" t="e" vm="4">
        <v>#VALUE!</v>
      </c>
      <c r="I145" s="1" t="s">
        <v>45</v>
      </c>
      <c r="J145" s="1" t="s">
        <v>70</v>
      </c>
      <c r="K145" s="1">
        <v>22.5</v>
      </c>
      <c r="L145" s="8">
        <f>PI()*(Tabella2[[#This Row],[Diameter (mm)]]/2)^2</f>
        <v>397.60782021995817</v>
      </c>
      <c r="M145" s="8">
        <f>(PI()*Tabella2[[#This Row],[Diameter (mm)]]^4)/32</f>
        <v>25161.119873294228</v>
      </c>
      <c r="N145" s="1" t="s">
        <v>35</v>
      </c>
      <c r="O145" s="1">
        <v>0</v>
      </c>
      <c r="P145" s="1" t="s">
        <v>35</v>
      </c>
      <c r="Q145" s="1">
        <v>-1</v>
      </c>
      <c r="R145" s="1">
        <v>-1</v>
      </c>
      <c r="S14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5" s="1" t="s">
        <v>35</v>
      </c>
      <c r="U14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5" s="1">
        <v>45</v>
      </c>
      <c r="W14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5" s="7">
        <v>25.980762113533164</v>
      </c>
      <c r="Y145" s="7" t="str">
        <f>Tabella2[[#This Row],[Mean RADIAL stress  (MPa)]]</f>
        <v>Null</v>
      </c>
      <c r="Z145" s="7" t="str">
        <f>Tabella2[[#This Row],[Amplitute RADIAL stress  (MPa)]]</f>
        <v>Null</v>
      </c>
      <c r="AA14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5" s="8">
        <f>IF( AND(ISNUMBER(Tabella2[[#This Row],[Mean AXIAL stress  (MPa)]]), ISNUMBER(Tabella2[[#This Row],[Area (mm^2)]])), Tabella2[[#This Row],[Mean AXIAL stress  (MPa)]]*Tabella2[[#This Row],[Area (mm^2)]], "Null")</f>
        <v>0</v>
      </c>
      <c r="AC145" s="8">
        <f>IF( AND(ISNUMBER(Tabella2[[#This Row],[Amplitute AXIAL stress  (MPa)]]), ISNUMBER(Tabella2[[#This Row],[Area (mm^2)]])), Tabella2[[#This Row],[Amplitute AXIAL stress  (MPa)]]*Tabella2[[#This Row],[Area (mm^2)]],"Null")</f>
        <v>17892.351909898116</v>
      </c>
      <c r="AD145" s="8">
        <f>IF( AND(ISNUMBER(Tabella2[[#This Row],[Amplitude AXIAL force (N)]]), ISNUMBER(Tabella2[[#This Row],[Mean AXIAL force (N)]])), Tabella2[[#This Row],[Amplitude AXIAL force (N)]]+Tabella2[[#This Row],[Mean AXIAL force (N)]],"Null")</f>
        <v>17892.351909898116</v>
      </c>
      <c r="AE14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58107.117327835476</v>
      </c>
      <c r="AG145" s="1">
        <f>IF(
   AND(ISNUMBER(Tabella2[[#This Row],[Mean TORQUE (Nmm)]]), ISNUMBER(Tabella2[[#This Row],[Amplitude TORQUE (Nmm)]])),
   Tabella2[[#This Row],[Mean TORQUE (Nmm)]]+Tabella2[[#This Row],[Amplitude TORQUE (Nmm)]],
   "Null"
)</f>
        <v>58107.117327835476</v>
      </c>
      <c r="AH14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63.639610306789287</v>
      </c>
      <c r="AI14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6" spans="1:35" x14ac:dyDescent="0.25">
      <c r="A146" s="1" t="s">
        <v>52</v>
      </c>
      <c r="B146" s="1">
        <v>2025</v>
      </c>
      <c r="C146" s="1" t="s">
        <v>51</v>
      </c>
      <c r="D146" s="1" t="s">
        <v>202</v>
      </c>
      <c r="E146" s="1">
        <v>252093</v>
      </c>
      <c r="F146" s="1" t="s">
        <v>34</v>
      </c>
      <c r="G146" s="1" t="s">
        <v>43</v>
      </c>
      <c r="H146" s="1" t="e" vm="4">
        <v>#VALUE!</v>
      </c>
      <c r="I146" s="1" t="s">
        <v>45</v>
      </c>
      <c r="J146" s="1" t="s">
        <v>70</v>
      </c>
      <c r="K146" s="1">
        <v>22.5</v>
      </c>
      <c r="L146" s="8">
        <f>PI()*(Tabella2[[#This Row],[Diameter (mm)]]/2)^2</f>
        <v>397.60782021995817</v>
      </c>
      <c r="M146" s="8">
        <f>(PI()*Tabella2[[#This Row],[Diameter (mm)]]^4)/32</f>
        <v>25161.119873294228</v>
      </c>
      <c r="N146" s="1" t="s">
        <v>35</v>
      </c>
      <c r="O146" s="1">
        <v>0</v>
      </c>
      <c r="P146" s="1" t="s">
        <v>35</v>
      </c>
      <c r="Q146" s="1">
        <v>-1</v>
      </c>
      <c r="R146" s="1">
        <v>-1</v>
      </c>
      <c r="S14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6" s="1" t="s">
        <v>35</v>
      </c>
      <c r="U14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6" s="1">
        <v>55</v>
      </c>
      <c r="W14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6" s="7">
        <v>31.754264805429422</v>
      </c>
      <c r="Y146" s="7" t="str">
        <f>Tabella2[[#This Row],[Mean RADIAL stress  (MPa)]]</f>
        <v>Null</v>
      </c>
      <c r="Z146" s="7" t="str">
        <f>Tabella2[[#This Row],[Amplitute RADIAL stress  (MPa)]]</f>
        <v>Null</v>
      </c>
      <c r="AA14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6" s="8">
        <f>IF( AND(ISNUMBER(Tabella2[[#This Row],[Mean AXIAL stress  (MPa)]]), ISNUMBER(Tabella2[[#This Row],[Area (mm^2)]])), Tabella2[[#This Row],[Mean AXIAL stress  (MPa)]]*Tabella2[[#This Row],[Area (mm^2)]], "Null")</f>
        <v>0</v>
      </c>
      <c r="AC146" s="8">
        <f>IF( AND(ISNUMBER(Tabella2[[#This Row],[Amplitute AXIAL stress  (MPa)]]), ISNUMBER(Tabella2[[#This Row],[Area (mm^2)]])), Tabella2[[#This Row],[Amplitute AXIAL stress  (MPa)]]*Tabella2[[#This Row],[Area (mm^2)]],"Null")</f>
        <v>21868.4301120977</v>
      </c>
      <c r="AD146" s="8">
        <f>IF( AND(ISNUMBER(Tabella2[[#This Row],[Amplitude AXIAL force (N)]]), ISNUMBER(Tabella2[[#This Row],[Mean AXIAL force (N)]])), Tabella2[[#This Row],[Amplitude AXIAL force (N)]]+Tabella2[[#This Row],[Mean AXIAL force (N)]],"Null")</f>
        <v>21868.4301120977</v>
      </c>
      <c r="AE14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71019.810067354469</v>
      </c>
      <c r="AG146" s="1">
        <f>IF(
   AND(ISNUMBER(Tabella2[[#This Row],[Mean TORQUE (Nmm)]]), ISNUMBER(Tabella2[[#This Row],[Amplitude TORQUE (Nmm)]])),
   Tabella2[[#This Row],[Mean TORQUE (Nmm)]]+Tabella2[[#This Row],[Amplitude TORQUE (Nmm)]],
   "Null"
)</f>
        <v>71019.810067354469</v>
      </c>
      <c r="AH14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77.781745930520231</v>
      </c>
      <c r="AI14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7" spans="1:35" x14ac:dyDescent="0.25">
      <c r="A147" s="1" t="s">
        <v>52</v>
      </c>
      <c r="B147" s="1">
        <v>2025</v>
      </c>
      <c r="C147" s="1" t="s">
        <v>51</v>
      </c>
      <c r="D147" s="1" t="s">
        <v>203</v>
      </c>
      <c r="E147" s="1">
        <v>291176</v>
      </c>
      <c r="F147" s="1" t="s">
        <v>34</v>
      </c>
      <c r="G147" s="1" t="s">
        <v>43</v>
      </c>
      <c r="H147" s="1" t="e" vm="4">
        <v>#VALUE!</v>
      </c>
      <c r="I147" s="1" t="s">
        <v>45</v>
      </c>
      <c r="J147" s="1" t="s">
        <v>70</v>
      </c>
      <c r="K147" s="1">
        <v>22.5</v>
      </c>
      <c r="L147" s="8">
        <f>PI()*(Tabella2[[#This Row],[Diameter (mm)]]/2)^2</f>
        <v>397.60782021995817</v>
      </c>
      <c r="M147" s="8">
        <f>(PI()*Tabella2[[#This Row],[Diameter (mm)]]^4)/32</f>
        <v>25161.119873294228</v>
      </c>
      <c r="N147" s="1" t="s">
        <v>35</v>
      </c>
      <c r="O147" s="1">
        <v>0</v>
      </c>
      <c r="P147" s="1" t="s">
        <v>35</v>
      </c>
      <c r="Q147" s="1">
        <v>-1</v>
      </c>
      <c r="R147" s="1">
        <v>-1</v>
      </c>
      <c r="S14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7" s="1" t="s">
        <v>35</v>
      </c>
      <c r="U14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7" s="1">
        <v>55</v>
      </c>
      <c r="W14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7" s="7">
        <v>31.754264805429422</v>
      </c>
      <c r="Y147" s="7" t="str">
        <f>Tabella2[[#This Row],[Mean RADIAL stress  (MPa)]]</f>
        <v>Null</v>
      </c>
      <c r="Z147" s="7" t="str">
        <f>Tabella2[[#This Row],[Amplitute RADIAL stress  (MPa)]]</f>
        <v>Null</v>
      </c>
      <c r="AA14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7" s="8">
        <f>IF( AND(ISNUMBER(Tabella2[[#This Row],[Mean AXIAL stress  (MPa)]]), ISNUMBER(Tabella2[[#This Row],[Area (mm^2)]])), Tabella2[[#This Row],[Mean AXIAL stress  (MPa)]]*Tabella2[[#This Row],[Area (mm^2)]], "Null")</f>
        <v>0</v>
      </c>
      <c r="AC147" s="8">
        <f>IF( AND(ISNUMBER(Tabella2[[#This Row],[Amplitute AXIAL stress  (MPa)]]), ISNUMBER(Tabella2[[#This Row],[Area (mm^2)]])), Tabella2[[#This Row],[Amplitute AXIAL stress  (MPa)]]*Tabella2[[#This Row],[Area (mm^2)]],"Null")</f>
        <v>21868.4301120977</v>
      </c>
      <c r="AD147" s="8">
        <f>IF( AND(ISNUMBER(Tabella2[[#This Row],[Amplitude AXIAL force (N)]]), ISNUMBER(Tabella2[[#This Row],[Mean AXIAL force (N)]])), Tabella2[[#This Row],[Amplitude AXIAL force (N)]]+Tabella2[[#This Row],[Mean AXIAL force (N)]],"Null")</f>
        <v>21868.4301120977</v>
      </c>
      <c r="AE14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71019.810067354469</v>
      </c>
      <c r="AG147" s="1">
        <f>IF(
   AND(ISNUMBER(Tabella2[[#This Row],[Mean TORQUE (Nmm)]]), ISNUMBER(Tabella2[[#This Row],[Amplitude TORQUE (Nmm)]])),
   Tabella2[[#This Row],[Mean TORQUE (Nmm)]]+Tabella2[[#This Row],[Amplitude TORQUE (Nmm)]],
   "Null"
)</f>
        <v>71019.810067354469</v>
      </c>
      <c r="AH14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77.781745930520231</v>
      </c>
      <c r="AI14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8" spans="1:35" x14ac:dyDescent="0.25">
      <c r="A148" s="1" t="s">
        <v>52</v>
      </c>
      <c r="B148" s="1">
        <v>2025</v>
      </c>
      <c r="C148" s="1" t="s">
        <v>51</v>
      </c>
      <c r="D148" s="1" t="s">
        <v>204</v>
      </c>
      <c r="E148" s="1">
        <v>127321</v>
      </c>
      <c r="F148" s="1" t="s">
        <v>34</v>
      </c>
      <c r="G148" s="1" t="s">
        <v>43</v>
      </c>
      <c r="H148" s="1" t="e" vm="4">
        <v>#VALUE!</v>
      </c>
      <c r="I148" s="1" t="s">
        <v>45</v>
      </c>
      <c r="J148" s="1" t="s">
        <v>70</v>
      </c>
      <c r="K148" s="1">
        <v>22.5</v>
      </c>
      <c r="L148" s="8">
        <f>PI()*(Tabella2[[#This Row],[Diameter (mm)]]/2)^2</f>
        <v>397.60782021995817</v>
      </c>
      <c r="M148" s="8">
        <f>(PI()*Tabella2[[#This Row],[Diameter (mm)]]^4)/32</f>
        <v>25161.119873294228</v>
      </c>
      <c r="N148" s="1" t="s">
        <v>35</v>
      </c>
      <c r="O148" s="1">
        <v>0</v>
      </c>
      <c r="P148" s="1" t="s">
        <v>35</v>
      </c>
      <c r="Q148" s="1">
        <v>-1</v>
      </c>
      <c r="R148" s="1">
        <v>-1</v>
      </c>
      <c r="S14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8" s="1" t="s">
        <v>35</v>
      </c>
      <c r="U14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8" s="1">
        <v>65</v>
      </c>
      <c r="W14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8" s="7">
        <v>37.527767497325677</v>
      </c>
      <c r="Y148" s="7" t="str">
        <f>Tabella2[[#This Row],[Mean RADIAL stress  (MPa)]]</f>
        <v>Null</v>
      </c>
      <c r="Z148" s="7" t="str">
        <f>Tabella2[[#This Row],[Amplitute RADIAL stress  (MPa)]]</f>
        <v>Null</v>
      </c>
      <c r="AA14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8" s="8">
        <f>IF( AND(ISNUMBER(Tabella2[[#This Row],[Mean AXIAL stress  (MPa)]]), ISNUMBER(Tabella2[[#This Row],[Area (mm^2)]])), Tabella2[[#This Row],[Mean AXIAL stress  (MPa)]]*Tabella2[[#This Row],[Area (mm^2)]], "Null")</f>
        <v>0</v>
      </c>
      <c r="AC148" s="8">
        <f>IF( AND(ISNUMBER(Tabella2[[#This Row],[Amplitute AXIAL stress  (MPa)]]), ISNUMBER(Tabella2[[#This Row],[Area (mm^2)]])), Tabella2[[#This Row],[Amplitute AXIAL stress  (MPa)]]*Tabella2[[#This Row],[Area (mm^2)]],"Null")</f>
        <v>25844.50831429728</v>
      </c>
      <c r="AD148" s="8">
        <f>IF( AND(ISNUMBER(Tabella2[[#This Row],[Amplitude AXIAL force (N)]]), ISNUMBER(Tabella2[[#This Row],[Mean AXIAL force (N)]])), Tabella2[[#This Row],[Amplitude AXIAL force (N)]]+Tabella2[[#This Row],[Mean AXIAL force (N)]],"Null")</f>
        <v>25844.50831429728</v>
      </c>
      <c r="AE14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83932.502806873439</v>
      </c>
      <c r="AG148" s="1">
        <f>IF(
   AND(ISNUMBER(Tabella2[[#This Row],[Mean TORQUE (Nmm)]]), ISNUMBER(Tabella2[[#This Row],[Amplitude TORQUE (Nmm)]])),
   Tabella2[[#This Row],[Mean TORQUE (Nmm)]]+Tabella2[[#This Row],[Amplitude TORQUE (Nmm)]],
   "Null"
)</f>
        <v>83932.502806873439</v>
      </c>
      <c r="AH14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91.923881554251182</v>
      </c>
      <c r="AI14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49" spans="1:35" x14ac:dyDescent="0.25">
      <c r="A149" s="1" t="s">
        <v>52</v>
      </c>
      <c r="B149" s="1">
        <v>2025</v>
      </c>
      <c r="C149" s="1" t="s">
        <v>51</v>
      </c>
      <c r="D149" s="1" t="s">
        <v>205</v>
      </c>
      <c r="E149" s="1">
        <v>148710</v>
      </c>
      <c r="F149" s="1" t="s">
        <v>34</v>
      </c>
      <c r="G149" s="1" t="s">
        <v>43</v>
      </c>
      <c r="H149" s="1" t="e" vm="4">
        <v>#VALUE!</v>
      </c>
      <c r="I149" s="1" t="s">
        <v>45</v>
      </c>
      <c r="J149" s="1" t="s">
        <v>70</v>
      </c>
      <c r="K149" s="1">
        <v>22.5</v>
      </c>
      <c r="L149" s="8">
        <f>PI()*(Tabella2[[#This Row],[Diameter (mm)]]/2)^2</f>
        <v>397.60782021995817</v>
      </c>
      <c r="M149" s="8">
        <f>(PI()*Tabella2[[#This Row],[Diameter (mm)]]^4)/32</f>
        <v>25161.119873294228</v>
      </c>
      <c r="N149" s="1" t="s">
        <v>35</v>
      </c>
      <c r="O149" s="1">
        <v>0</v>
      </c>
      <c r="P149" s="1" t="s">
        <v>35</v>
      </c>
      <c r="Q149" s="1">
        <v>-1</v>
      </c>
      <c r="R149" s="1">
        <v>-1</v>
      </c>
      <c r="S14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9" s="1" t="s">
        <v>35</v>
      </c>
      <c r="U14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9" s="11">
        <v>65</v>
      </c>
      <c r="W14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9" s="7">
        <v>37.527767497325677</v>
      </c>
      <c r="Y149" s="7" t="str">
        <f>Tabella2[[#This Row],[Mean RADIAL stress  (MPa)]]</f>
        <v>Null</v>
      </c>
      <c r="Z149" s="7" t="str">
        <f>Tabella2[[#This Row],[Amplitute RADIAL stress  (MPa)]]</f>
        <v>Null</v>
      </c>
      <c r="AA14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9" s="8">
        <f>IF( AND(ISNUMBER(Tabella2[[#This Row],[Mean AXIAL stress  (MPa)]]), ISNUMBER(Tabella2[[#This Row],[Area (mm^2)]])), Tabella2[[#This Row],[Mean AXIAL stress  (MPa)]]*Tabella2[[#This Row],[Area (mm^2)]], "Null")</f>
        <v>0</v>
      </c>
      <c r="AC149" s="8">
        <f>IF( AND(ISNUMBER(Tabella2[[#This Row],[Amplitute AXIAL stress  (MPa)]]), ISNUMBER(Tabella2[[#This Row],[Area (mm^2)]])), Tabella2[[#This Row],[Amplitute AXIAL stress  (MPa)]]*Tabella2[[#This Row],[Area (mm^2)]],"Null")</f>
        <v>25844.50831429728</v>
      </c>
      <c r="AD149" s="8">
        <f>IF( AND(ISNUMBER(Tabella2[[#This Row],[Amplitude AXIAL force (N)]]), ISNUMBER(Tabella2[[#This Row],[Mean AXIAL force (N)]])), Tabella2[[#This Row],[Amplitude AXIAL force (N)]]+Tabella2[[#This Row],[Mean AXIAL force (N)]],"Null")</f>
        <v>25844.50831429728</v>
      </c>
      <c r="AE14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83932.502806873439</v>
      </c>
      <c r="AG149" s="1">
        <f>IF(
   AND(ISNUMBER(Tabella2[[#This Row],[Mean TORQUE (Nmm)]]), ISNUMBER(Tabella2[[#This Row],[Amplitude TORQUE (Nmm)]])),
   Tabella2[[#This Row],[Mean TORQUE (Nmm)]]+Tabella2[[#This Row],[Amplitude TORQUE (Nmm)]],
   "Null"
)</f>
        <v>83932.502806873439</v>
      </c>
      <c r="AH14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91.923881554251182</v>
      </c>
      <c r="AI14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0" spans="1:35" ht="13.15" customHeight="1" x14ac:dyDescent="0.25">
      <c r="A150" s="1" t="s">
        <v>52</v>
      </c>
      <c r="B150" s="1">
        <v>2025</v>
      </c>
      <c r="C150" s="1" t="s">
        <v>51</v>
      </c>
      <c r="D150" s="1" t="s">
        <v>206</v>
      </c>
      <c r="E150" s="1">
        <v>5000000</v>
      </c>
      <c r="F150" s="1" t="s">
        <v>70</v>
      </c>
      <c r="G150" s="1" t="s">
        <v>43</v>
      </c>
      <c r="H150" s="1" t="e" vm="4">
        <v>#VALUE!</v>
      </c>
      <c r="I150" s="1" t="s">
        <v>45</v>
      </c>
      <c r="J150" s="1" t="s">
        <v>70</v>
      </c>
      <c r="K150" s="1">
        <v>22.5</v>
      </c>
      <c r="L150" s="8">
        <f>PI()*(Tabella2[[#This Row],[Diameter (mm)]]/2)^2</f>
        <v>397.60782021995817</v>
      </c>
      <c r="M150" s="8">
        <f>(PI()*Tabella2[[#This Row],[Diameter (mm)]]^4)/32</f>
        <v>25161.119873294228</v>
      </c>
      <c r="N150" s="1" t="s">
        <v>35</v>
      </c>
      <c r="O150" s="1">
        <v>0</v>
      </c>
      <c r="P150" s="1" t="s">
        <v>35</v>
      </c>
      <c r="Q150" s="1">
        <v>-1</v>
      </c>
      <c r="R150" s="1">
        <v>-1</v>
      </c>
      <c r="S15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0" s="1" t="s">
        <v>35</v>
      </c>
      <c r="U15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50" s="11">
        <v>30</v>
      </c>
      <c r="W15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50" s="7">
        <v>17.320508075688775</v>
      </c>
      <c r="Y150" s="7" t="str">
        <f>Tabella2[[#This Row],[Mean RADIAL stress  (MPa)]]</f>
        <v>Null</v>
      </c>
      <c r="Z150" s="7" t="str">
        <f>Tabella2[[#This Row],[Amplitute RADIAL stress  (MPa)]]</f>
        <v>Null</v>
      </c>
      <c r="AA15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0" s="8">
        <f>IF( AND(ISNUMBER(Tabella2[[#This Row],[Mean AXIAL stress  (MPa)]]), ISNUMBER(Tabella2[[#This Row],[Area (mm^2)]])), Tabella2[[#This Row],[Mean AXIAL stress  (MPa)]]*Tabella2[[#This Row],[Area (mm^2)]], "Null")</f>
        <v>0</v>
      </c>
      <c r="AC150" s="8">
        <f>IF( AND(ISNUMBER(Tabella2[[#This Row],[Amplitute AXIAL stress  (MPa)]]), ISNUMBER(Tabella2[[#This Row],[Area (mm^2)]])), Tabella2[[#This Row],[Amplitute AXIAL stress  (MPa)]]*Tabella2[[#This Row],[Area (mm^2)]],"Null")</f>
        <v>11928.234606598746</v>
      </c>
      <c r="AD150" s="8">
        <f>IF( AND(ISNUMBER(Tabella2[[#This Row],[Amplitude AXIAL force (N)]]), ISNUMBER(Tabella2[[#This Row],[Mean AXIAL force (N)]])), Tabella2[[#This Row],[Amplitude AXIAL force (N)]]+Tabella2[[#This Row],[Mean AXIAL force (N)]],"Null")</f>
        <v>11928.234606598746</v>
      </c>
      <c r="AE15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5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38738.078218556977</v>
      </c>
      <c r="AG150" s="1">
        <f>IF(
   AND(ISNUMBER(Tabella2[[#This Row],[Mean TORQUE (Nmm)]]), ISNUMBER(Tabella2[[#This Row],[Amplitude TORQUE (Nmm)]])),
   Tabella2[[#This Row],[Mean TORQUE (Nmm)]]+Tabella2[[#This Row],[Amplitude TORQUE (Nmm)]],
   "Null"
)</f>
        <v>38738.078218556977</v>
      </c>
      <c r="AH15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42.426406871192853</v>
      </c>
      <c r="AI15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1" spans="1:35" x14ac:dyDescent="0.25">
      <c r="A151" s="1" t="s">
        <v>52</v>
      </c>
      <c r="B151" s="1">
        <v>2025</v>
      </c>
      <c r="C151" s="1" t="s">
        <v>51</v>
      </c>
      <c r="D151" s="1" t="s">
        <v>207</v>
      </c>
      <c r="E151" s="11">
        <v>280203</v>
      </c>
      <c r="F151" s="1" t="s">
        <v>34</v>
      </c>
      <c r="G151" s="1" t="s">
        <v>43</v>
      </c>
      <c r="H151" s="1" t="e" vm="4">
        <v>#VALUE!</v>
      </c>
      <c r="I151" s="1" t="s">
        <v>45</v>
      </c>
      <c r="J151" s="1" t="s">
        <v>70</v>
      </c>
      <c r="K151" s="1">
        <v>22.5</v>
      </c>
      <c r="L151" s="8">
        <f>PI()*(Tabella2[[#This Row],[Diameter (mm)]]/2)^2</f>
        <v>397.60782021995817</v>
      </c>
      <c r="M151" s="8">
        <f>(PI()*Tabella2[[#This Row],[Diameter (mm)]]^4)/32</f>
        <v>25161.119873294228</v>
      </c>
      <c r="N151" s="1" t="s">
        <v>35</v>
      </c>
      <c r="O151" s="1">
        <v>0</v>
      </c>
      <c r="P151" s="1" t="s">
        <v>35</v>
      </c>
      <c r="Q151" s="1">
        <v>-1</v>
      </c>
      <c r="R151" s="1">
        <v>-1</v>
      </c>
      <c r="S15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1" s="1" t="s">
        <v>35</v>
      </c>
      <c r="U15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51" s="11">
        <v>55</v>
      </c>
      <c r="W15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51" s="7">
        <v>31.754264805429422</v>
      </c>
      <c r="Y151" s="7" t="str">
        <f>Tabella2[[#This Row],[Mean RADIAL stress  (MPa)]]</f>
        <v>Null</v>
      </c>
      <c r="Z151" s="7" t="str">
        <f>Tabella2[[#This Row],[Amplitute RADIAL stress  (MPa)]]</f>
        <v>Null</v>
      </c>
      <c r="AA15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1" s="8">
        <f>IF( AND(ISNUMBER(Tabella2[[#This Row],[Mean AXIAL stress  (MPa)]]), ISNUMBER(Tabella2[[#This Row],[Area (mm^2)]])), Tabella2[[#This Row],[Mean AXIAL stress  (MPa)]]*Tabella2[[#This Row],[Area (mm^2)]], "Null")</f>
        <v>0</v>
      </c>
      <c r="AC151" s="8">
        <f>IF( AND(ISNUMBER(Tabella2[[#This Row],[Amplitute AXIAL stress  (MPa)]]), ISNUMBER(Tabella2[[#This Row],[Area (mm^2)]])), Tabella2[[#This Row],[Amplitute AXIAL stress  (MPa)]]*Tabella2[[#This Row],[Area (mm^2)]],"Null")</f>
        <v>21868.4301120977</v>
      </c>
      <c r="AD151" s="8">
        <f>IF( AND(ISNUMBER(Tabella2[[#This Row],[Amplitude AXIAL force (N)]]), ISNUMBER(Tabella2[[#This Row],[Mean AXIAL force (N)]])), Tabella2[[#This Row],[Amplitude AXIAL force (N)]]+Tabella2[[#This Row],[Mean AXIAL force (N)]],"Null")</f>
        <v>21868.4301120977</v>
      </c>
      <c r="AE15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5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71019.810067354469</v>
      </c>
      <c r="AG151" s="1">
        <f>IF(
   AND(ISNUMBER(Tabella2[[#This Row],[Mean TORQUE (Nmm)]]), ISNUMBER(Tabella2[[#This Row],[Amplitude TORQUE (Nmm)]])),
   Tabella2[[#This Row],[Mean TORQUE (Nmm)]]+Tabella2[[#This Row],[Amplitude TORQUE (Nmm)]],
   "Null"
)</f>
        <v>71019.810067354469</v>
      </c>
      <c r="AH15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77.781745930520231</v>
      </c>
      <c r="AI15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2" spans="1:35" x14ac:dyDescent="0.25">
      <c r="A152" s="1" t="s">
        <v>52</v>
      </c>
      <c r="B152" s="1">
        <v>2025</v>
      </c>
      <c r="C152" s="1" t="s">
        <v>51</v>
      </c>
      <c r="D152" s="1" t="s">
        <v>208</v>
      </c>
      <c r="E152" s="1">
        <v>46408</v>
      </c>
      <c r="F152" s="1" t="s">
        <v>34</v>
      </c>
      <c r="G152" s="1" t="s">
        <v>43</v>
      </c>
      <c r="H152" s="1" t="e" vm="4">
        <v>#VALUE!</v>
      </c>
      <c r="I152" s="1" t="s">
        <v>45</v>
      </c>
      <c r="J152" s="1" t="s">
        <v>70</v>
      </c>
      <c r="K152" s="1">
        <v>22.5</v>
      </c>
      <c r="L152" s="8">
        <f>PI()*(Tabella2[[#This Row],[Diameter (mm)]]/2)^2</f>
        <v>397.60782021995817</v>
      </c>
      <c r="M152" s="8">
        <f>(PI()*Tabella2[[#This Row],[Diameter (mm)]]^4)/32</f>
        <v>25161.119873294228</v>
      </c>
      <c r="N152" s="1" t="s">
        <v>35</v>
      </c>
      <c r="O152" s="1">
        <v>0</v>
      </c>
      <c r="P152" s="1" t="s">
        <v>35</v>
      </c>
      <c r="Q152" s="1">
        <v>-1</v>
      </c>
      <c r="R152" s="1">
        <v>-1</v>
      </c>
      <c r="S15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2" s="1" t="s">
        <v>35</v>
      </c>
      <c r="U15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52" s="1">
        <v>65</v>
      </c>
      <c r="W15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52" s="7">
        <v>37.527767497325677</v>
      </c>
      <c r="Y152" s="7" t="str">
        <f>Tabella2[[#This Row],[Mean RADIAL stress  (MPa)]]</f>
        <v>Null</v>
      </c>
      <c r="Z152" s="7" t="str">
        <f>Tabella2[[#This Row],[Amplitute RADIAL stress  (MPa)]]</f>
        <v>Null</v>
      </c>
      <c r="AA15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2" s="8">
        <f>IF( AND(ISNUMBER(Tabella2[[#This Row],[Mean AXIAL stress  (MPa)]]), ISNUMBER(Tabella2[[#This Row],[Area (mm^2)]])), Tabella2[[#This Row],[Mean AXIAL stress  (MPa)]]*Tabella2[[#This Row],[Area (mm^2)]], "Null")</f>
        <v>0</v>
      </c>
      <c r="AC152" s="8">
        <f>IF( AND(ISNUMBER(Tabella2[[#This Row],[Amplitute AXIAL stress  (MPa)]]), ISNUMBER(Tabella2[[#This Row],[Area (mm^2)]])), Tabella2[[#This Row],[Amplitute AXIAL stress  (MPa)]]*Tabella2[[#This Row],[Area (mm^2)]],"Null")</f>
        <v>25844.50831429728</v>
      </c>
      <c r="AD152" s="8">
        <f>IF( AND(ISNUMBER(Tabella2[[#This Row],[Amplitude AXIAL force (N)]]), ISNUMBER(Tabella2[[#This Row],[Mean AXIAL force (N)]])), Tabella2[[#This Row],[Amplitude AXIAL force (N)]]+Tabella2[[#This Row],[Mean AXIAL force (N)]],"Null")</f>
        <v>25844.50831429728</v>
      </c>
      <c r="AE15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5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83932.502806873439</v>
      </c>
      <c r="AG152" s="1">
        <f>IF(
   AND(ISNUMBER(Tabella2[[#This Row],[Mean TORQUE (Nmm)]]), ISNUMBER(Tabella2[[#This Row],[Amplitude TORQUE (Nmm)]])),
   Tabella2[[#This Row],[Mean TORQUE (Nmm)]]+Tabella2[[#This Row],[Amplitude TORQUE (Nmm)]],
   "Null"
)</f>
        <v>83932.502806873439</v>
      </c>
      <c r="AH15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91.923881554251182</v>
      </c>
      <c r="AI15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3" spans="1:35" x14ac:dyDescent="0.25">
      <c r="A153" s="1" t="s">
        <v>52</v>
      </c>
      <c r="B153" s="1">
        <v>2025</v>
      </c>
      <c r="C153" s="1" t="s">
        <v>51</v>
      </c>
      <c r="D153" s="1" t="s">
        <v>209</v>
      </c>
      <c r="E153" s="1">
        <v>775583</v>
      </c>
      <c r="F153" s="1" t="s">
        <v>34</v>
      </c>
      <c r="G153" s="1" t="s">
        <v>43</v>
      </c>
      <c r="H153" s="1" t="e" vm="4">
        <v>#VALUE!</v>
      </c>
      <c r="I153" s="1" t="s">
        <v>45</v>
      </c>
      <c r="J153" s="1" t="s">
        <v>70</v>
      </c>
      <c r="K153" s="1">
        <v>22.5</v>
      </c>
      <c r="L153" s="8">
        <f>PI()*(Tabella2[[#This Row],[Diameter (mm)]]/2)^2</f>
        <v>397.60782021995817</v>
      </c>
      <c r="M153" s="8">
        <f>(PI()*Tabella2[[#This Row],[Diameter (mm)]]^4)/32</f>
        <v>25161.119873294228</v>
      </c>
      <c r="N153" s="1" t="s">
        <v>35</v>
      </c>
      <c r="O153" s="1">
        <v>0</v>
      </c>
      <c r="P153" s="1" t="s">
        <v>35</v>
      </c>
      <c r="Q153" s="1">
        <v>0.1</v>
      </c>
      <c r="R153" s="1">
        <v>0.1</v>
      </c>
      <c r="S15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3" s="1" t="s">
        <v>35</v>
      </c>
      <c r="U153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153" s="7">
        <v>25</v>
      </c>
      <c r="W153" s="7">
        <f>IF(ISNUMBER(Tabella2[[#This Row],[Amplitute SHEAR stress  (MPa)]]), (1+Tabella2[[#This Row],[Load ratio (TORSIONAL)]])*Tabella2[[#This Row],[Amplitute SHEAR stress  (MPa)]]/(1-Tabella2[[#This Row],[Load ratio (TORSIONAL)]]), "Null")</f>
        <v>17.641258225238566</v>
      </c>
      <c r="X153" s="7">
        <v>14.433756729740645</v>
      </c>
      <c r="Y153" s="7" t="str">
        <f>Tabella2[[#This Row],[Mean RADIAL stress  (MPa)]]</f>
        <v>Null</v>
      </c>
      <c r="Z153" s="7" t="str">
        <f>Tabella2[[#This Row],[Amplitute RADIAL stress  (MPa)]]</f>
        <v>Null</v>
      </c>
      <c r="AA15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3" s="8">
        <f>IF( AND(ISNUMBER(Tabella2[[#This Row],[Mean AXIAL stress  (MPa)]]), ISNUMBER(Tabella2[[#This Row],[Area (mm^2)]])), Tabella2[[#This Row],[Mean AXIAL stress  (MPa)]]*Tabella2[[#This Row],[Area (mm^2)]], "Null")</f>
        <v>12149.127840054278</v>
      </c>
      <c r="AC153" s="8">
        <f>IF( AND(ISNUMBER(Tabella2[[#This Row],[Amplitute AXIAL stress  (MPa)]]), ISNUMBER(Tabella2[[#This Row],[Area (mm^2)]])), Tabella2[[#This Row],[Amplitute AXIAL stress  (MPa)]]*Tabella2[[#This Row],[Area (mm^2)]],"Null")</f>
        <v>9940.1955054989539</v>
      </c>
      <c r="AD153" s="8">
        <f>IF( AND(ISNUMBER(Tabella2[[#This Row],[Amplitude AXIAL force (N)]]), ISNUMBER(Tabella2[[#This Row],[Mean AXIAL force (N)]])), Tabella2[[#This Row],[Amplitude AXIAL force (N)]]+Tabella2[[#This Row],[Mean AXIAL force (N)]],"Null")</f>
        <v>22089.323345553232</v>
      </c>
      <c r="AE15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39455.450037419141</v>
      </c>
      <c r="AF15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32281.731848797481</v>
      </c>
      <c r="AG153" s="1">
        <f>IF(
   AND(ISNUMBER(Tabella2[[#This Row],[Mean TORQUE (Nmm)]]), ISNUMBER(Tabella2[[#This Row],[Amplitude TORQUE (Nmm)]])),
   Tabella2[[#This Row],[Mean TORQUE (Nmm)]]+Tabella2[[#This Row],[Amplitude TORQUE (Nmm)]],
   "Null"
)</f>
        <v>71737.181886216626</v>
      </c>
      <c r="AH15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35.355339059327378</v>
      </c>
      <c r="AI15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4" spans="1:35" x14ac:dyDescent="0.25">
      <c r="A154" s="1" t="s">
        <v>52</v>
      </c>
      <c r="B154" s="1">
        <v>2025</v>
      </c>
      <c r="C154" s="1" t="s">
        <v>51</v>
      </c>
      <c r="D154" s="1" t="s">
        <v>210</v>
      </c>
      <c r="E154" s="1">
        <v>110191</v>
      </c>
      <c r="F154" s="1" t="s">
        <v>34</v>
      </c>
      <c r="G154" s="1" t="s">
        <v>43</v>
      </c>
      <c r="H154" s="1" t="e" vm="4">
        <v>#VALUE!</v>
      </c>
      <c r="I154" s="1" t="s">
        <v>45</v>
      </c>
      <c r="J154" s="1" t="s">
        <v>70</v>
      </c>
      <c r="K154" s="1">
        <v>22.5</v>
      </c>
      <c r="L154" s="8">
        <f>PI()*(Tabella2[[#This Row],[Diameter (mm)]]/2)^2</f>
        <v>397.60782021995817</v>
      </c>
      <c r="M154" s="8">
        <f>(PI()*Tabella2[[#This Row],[Diameter (mm)]]^4)/32</f>
        <v>25161.119873294228</v>
      </c>
      <c r="N154" s="1" t="s">
        <v>35</v>
      </c>
      <c r="O154" s="1">
        <v>0</v>
      </c>
      <c r="P154" s="1" t="s">
        <v>35</v>
      </c>
      <c r="Q154" s="1">
        <v>0.1</v>
      </c>
      <c r="R154" s="1">
        <v>0.1</v>
      </c>
      <c r="S15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4" s="1" t="s">
        <v>35</v>
      </c>
      <c r="U154" s="1">
        <f>IF(ISNUMBER(Tabella2[[#This Row],[Amplitute AXIAL stress  (MPa)]]), (1+Tabella2[[#This Row],[Load ratio (AXIAL)]])*Tabella2[[#This Row],[Amplitute AXIAL stress  (MPa)]]/(1-Tabella2[[#This Row],[Load ratio (AXIAL)]]), "Null")</f>
        <v>42.777777777777779</v>
      </c>
      <c r="V154" s="7">
        <v>35</v>
      </c>
      <c r="W154" s="7">
        <f>IF(ISNUMBER(Tabella2[[#This Row],[Amplitute SHEAR stress  (MPa)]]), (1+Tabella2[[#This Row],[Load ratio (TORSIONAL)]])*Tabella2[[#This Row],[Amplitute SHEAR stress  (MPa)]]/(1-Tabella2[[#This Row],[Load ratio (TORSIONAL)]]), "Null")</f>
        <v>24.697761515333998</v>
      </c>
      <c r="X154" s="7">
        <v>20.207259421636905</v>
      </c>
      <c r="Y154" s="7" t="str">
        <f>Tabella2[[#This Row],[Mean RADIAL stress  (MPa)]]</f>
        <v>Null</v>
      </c>
      <c r="Z154" s="7" t="str">
        <f>Tabella2[[#This Row],[Amplitute RADIAL stress  (MPa)]]</f>
        <v>Null</v>
      </c>
      <c r="AA15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4" s="8">
        <f>IF( AND(ISNUMBER(Tabella2[[#This Row],[Mean AXIAL stress  (MPa)]]), ISNUMBER(Tabella2[[#This Row],[Area (mm^2)]])), Tabella2[[#This Row],[Mean AXIAL stress  (MPa)]]*Tabella2[[#This Row],[Area (mm^2)]], "Null")</f>
        <v>17008.778976075988</v>
      </c>
      <c r="AC154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54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5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55237.630052386812</v>
      </c>
      <c r="AF15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54" s="1">
        <f>IF(
   AND(ISNUMBER(Tabella2[[#This Row],[Mean TORQUE (Nmm)]]), ISNUMBER(Tabella2[[#This Row],[Amplitude TORQUE (Nmm)]])),
   Tabella2[[#This Row],[Mean TORQUE (Nmm)]]+Tabella2[[#This Row],[Amplitude TORQUE (Nmm)]],
   "Null"
)</f>
        <v>100432.05464070328</v>
      </c>
      <c r="AH15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5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5" spans="1:35" x14ac:dyDescent="0.25">
      <c r="A155" s="1" t="s">
        <v>52</v>
      </c>
      <c r="B155" s="1">
        <v>2025</v>
      </c>
      <c r="C155" s="1" t="s">
        <v>51</v>
      </c>
      <c r="D155" s="1" t="s">
        <v>211</v>
      </c>
      <c r="E155" s="1">
        <v>718099</v>
      </c>
      <c r="F155" s="1" t="s">
        <v>34</v>
      </c>
      <c r="G155" s="1" t="s">
        <v>43</v>
      </c>
      <c r="H155" s="1" t="e" vm="4">
        <v>#VALUE!</v>
      </c>
      <c r="I155" s="1" t="s">
        <v>45</v>
      </c>
      <c r="J155" s="1" t="s">
        <v>70</v>
      </c>
      <c r="K155" s="1">
        <v>22.5</v>
      </c>
      <c r="L155" s="8">
        <f>PI()*(Tabella2[[#This Row],[Diameter (mm)]]/2)^2</f>
        <v>397.60782021995817</v>
      </c>
      <c r="M155" s="8">
        <f>(PI()*Tabella2[[#This Row],[Diameter (mm)]]^4)/32</f>
        <v>25161.119873294228</v>
      </c>
      <c r="N155" s="1" t="s">
        <v>35</v>
      </c>
      <c r="O155" s="1">
        <v>0</v>
      </c>
      <c r="P155" s="1" t="s">
        <v>35</v>
      </c>
      <c r="Q155" s="1">
        <v>0.1</v>
      </c>
      <c r="R155" s="1">
        <v>0.1</v>
      </c>
      <c r="S15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5" s="1" t="s">
        <v>35</v>
      </c>
      <c r="U155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155" s="7">
        <v>25</v>
      </c>
      <c r="W155" s="7">
        <f>IF(ISNUMBER(Tabella2[[#This Row],[Amplitute SHEAR stress  (MPa)]]), (1+Tabella2[[#This Row],[Load ratio (TORSIONAL)]])*Tabella2[[#This Row],[Amplitute SHEAR stress  (MPa)]]/(1-Tabella2[[#This Row],[Load ratio (TORSIONAL)]]), "Null")</f>
        <v>17.641258225238566</v>
      </c>
      <c r="X155" s="7">
        <v>14.433756729740645</v>
      </c>
      <c r="Y155" s="7" t="str">
        <f>Tabella2[[#This Row],[Mean RADIAL stress  (MPa)]]</f>
        <v>Null</v>
      </c>
      <c r="Z155" s="7" t="str">
        <f>Tabella2[[#This Row],[Amplitute RADIAL stress  (MPa)]]</f>
        <v>Null</v>
      </c>
      <c r="AA15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5" s="8">
        <f>IF( AND(ISNUMBER(Tabella2[[#This Row],[Mean AXIAL stress  (MPa)]]), ISNUMBER(Tabella2[[#This Row],[Area (mm^2)]])), Tabella2[[#This Row],[Mean AXIAL stress  (MPa)]]*Tabella2[[#This Row],[Area (mm^2)]], "Null")</f>
        <v>12149.127840054278</v>
      </c>
      <c r="AC155" s="8">
        <f>IF( AND(ISNUMBER(Tabella2[[#This Row],[Amplitute AXIAL stress  (MPa)]]), ISNUMBER(Tabella2[[#This Row],[Area (mm^2)]])), Tabella2[[#This Row],[Amplitute AXIAL stress  (MPa)]]*Tabella2[[#This Row],[Area (mm^2)]],"Null")</f>
        <v>9940.1955054989539</v>
      </c>
      <c r="AD155" s="8">
        <f>IF( AND(ISNUMBER(Tabella2[[#This Row],[Amplitude AXIAL force (N)]]), ISNUMBER(Tabella2[[#This Row],[Mean AXIAL force (N)]])), Tabella2[[#This Row],[Amplitude AXIAL force (N)]]+Tabella2[[#This Row],[Mean AXIAL force (N)]],"Null")</f>
        <v>22089.323345553232</v>
      </c>
      <c r="AE15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39455.450037419141</v>
      </c>
      <c r="AF15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32281.731848797481</v>
      </c>
      <c r="AG155" s="1">
        <f>IF(
   AND(ISNUMBER(Tabella2[[#This Row],[Mean TORQUE (Nmm)]]), ISNUMBER(Tabella2[[#This Row],[Amplitude TORQUE (Nmm)]])),
   Tabella2[[#This Row],[Mean TORQUE (Nmm)]]+Tabella2[[#This Row],[Amplitude TORQUE (Nmm)]],
   "Null"
)</f>
        <v>71737.181886216626</v>
      </c>
      <c r="AH15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35.355339059327378</v>
      </c>
      <c r="AI15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6" spans="1:35" x14ac:dyDescent="0.25">
      <c r="A156" s="1" t="s">
        <v>52</v>
      </c>
      <c r="B156" s="1">
        <v>2025</v>
      </c>
      <c r="C156" s="1" t="s">
        <v>51</v>
      </c>
      <c r="D156" s="1" t="s">
        <v>212</v>
      </c>
      <c r="E156" s="1">
        <v>138788</v>
      </c>
      <c r="F156" s="1" t="s">
        <v>34</v>
      </c>
      <c r="G156" s="1" t="s">
        <v>43</v>
      </c>
      <c r="H156" s="1" t="e" vm="4">
        <v>#VALUE!</v>
      </c>
      <c r="I156" s="1" t="s">
        <v>45</v>
      </c>
      <c r="J156" s="1" t="s">
        <v>70</v>
      </c>
      <c r="K156" s="1">
        <v>22.5</v>
      </c>
      <c r="L156" s="8">
        <f>PI()*(Tabella2[[#This Row],[Diameter (mm)]]/2)^2</f>
        <v>397.60782021995817</v>
      </c>
      <c r="M156" s="8">
        <f>(PI()*Tabella2[[#This Row],[Diameter (mm)]]^4)/32</f>
        <v>25161.119873294228</v>
      </c>
      <c r="N156" s="1" t="s">
        <v>35</v>
      </c>
      <c r="O156" s="1">
        <v>0</v>
      </c>
      <c r="P156" s="1" t="s">
        <v>35</v>
      </c>
      <c r="Q156" s="1">
        <v>0.1</v>
      </c>
      <c r="R156" s="1">
        <v>0.1</v>
      </c>
      <c r="S15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6" s="1" t="s">
        <v>35</v>
      </c>
      <c r="U156" s="1">
        <f>IF(ISNUMBER(Tabella2[[#This Row],[Amplitute AXIAL stress  (MPa)]]), (1+Tabella2[[#This Row],[Load ratio (AXIAL)]])*Tabella2[[#This Row],[Amplitute AXIAL stress  (MPa)]]/(1-Tabella2[[#This Row],[Load ratio (AXIAL)]]), "Null")</f>
        <v>42.777777777777779</v>
      </c>
      <c r="V156" s="7">
        <v>35</v>
      </c>
      <c r="W156" s="7">
        <f>IF(ISNUMBER(Tabella2[[#This Row],[Amplitute SHEAR stress  (MPa)]]), (1+Tabella2[[#This Row],[Load ratio (TORSIONAL)]])*Tabella2[[#This Row],[Amplitute SHEAR stress  (MPa)]]/(1-Tabella2[[#This Row],[Load ratio (TORSIONAL)]]), "Null")</f>
        <v>24.697761515333998</v>
      </c>
      <c r="X156" s="7">
        <v>20.207259421636905</v>
      </c>
      <c r="Y156" s="7" t="str">
        <f>Tabella2[[#This Row],[Mean RADIAL stress  (MPa)]]</f>
        <v>Null</v>
      </c>
      <c r="Z156" s="7" t="str">
        <f>Tabella2[[#This Row],[Amplitute RADIAL stress  (MPa)]]</f>
        <v>Null</v>
      </c>
      <c r="AA15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6" s="8">
        <f>IF( AND(ISNUMBER(Tabella2[[#This Row],[Mean AXIAL stress  (MPa)]]), ISNUMBER(Tabella2[[#This Row],[Area (mm^2)]])), Tabella2[[#This Row],[Mean AXIAL stress  (MPa)]]*Tabella2[[#This Row],[Area (mm^2)]], "Null")</f>
        <v>17008.778976075988</v>
      </c>
      <c r="AC156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56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5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55237.630052386812</v>
      </c>
      <c r="AF15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56" s="1">
        <f>IF(
   AND(ISNUMBER(Tabella2[[#This Row],[Mean TORQUE (Nmm)]]), ISNUMBER(Tabella2[[#This Row],[Amplitude TORQUE (Nmm)]])),
   Tabella2[[#This Row],[Mean TORQUE (Nmm)]]+Tabella2[[#This Row],[Amplitude TORQUE (Nmm)]],
   "Null"
)</f>
        <v>100432.05464070328</v>
      </c>
      <c r="AH15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5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7" spans="1:35" x14ac:dyDescent="0.25">
      <c r="A157" s="1" t="s">
        <v>52</v>
      </c>
      <c r="B157" s="1">
        <v>2025</v>
      </c>
      <c r="C157" s="1" t="s">
        <v>51</v>
      </c>
      <c r="D157" s="1" t="s">
        <v>213</v>
      </c>
      <c r="E157" s="1">
        <v>5000000</v>
      </c>
      <c r="F157" s="1" t="s">
        <v>70</v>
      </c>
      <c r="G157" s="1" t="s">
        <v>43</v>
      </c>
      <c r="H157" s="1" t="e" vm="4">
        <v>#VALUE!</v>
      </c>
      <c r="I157" s="1" t="s">
        <v>45</v>
      </c>
      <c r="J157" s="1" t="s">
        <v>70</v>
      </c>
      <c r="K157" s="1">
        <v>22.5</v>
      </c>
      <c r="L157" s="8">
        <f>PI()*(Tabella2[[#This Row],[Diameter (mm)]]/2)^2</f>
        <v>397.60782021995817</v>
      </c>
      <c r="M157" s="8">
        <f>(PI()*Tabella2[[#This Row],[Diameter (mm)]]^4)/32</f>
        <v>25161.119873294228</v>
      </c>
      <c r="N157" s="1" t="s">
        <v>35</v>
      </c>
      <c r="O157" s="1">
        <v>0</v>
      </c>
      <c r="P157" s="1" t="s">
        <v>35</v>
      </c>
      <c r="Q157" s="1">
        <v>0.1</v>
      </c>
      <c r="R157" s="1">
        <v>0.1</v>
      </c>
      <c r="S15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7" s="1" t="s">
        <v>35</v>
      </c>
      <c r="U157" s="1">
        <f>IF(ISNUMBER(Tabella2[[#This Row],[Amplitute AXIAL stress  (MPa)]]), (1+Tabella2[[#This Row],[Load ratio (AXIAL)]])*Tabella2[[#This Row],[Amplitute AXIAL stress  (MPa)]]/(1-Tabella2[[#This Row],[Load ratio (AXIAL)]]), "Null")</f>
        <v>24.444444444444443</v>
      </c>
      <c r="V157" s="7">
        <v>20</v>
      </c>
      <c r="W157" s="7">
        <f>IF(ISNUMBER(Tabella2[[#This Row],[Amplitute SHEAR stress  (MPa)]]), (1+Tabella2[[#This Row],[Load ratio (TORSIONAL)]])*Tabella2[[#This Row],[Amplitute SHEAR stress  (MPa)]]/(1-Tabella2[[#This Row],[Load ratio (TORSIONAL)]]), "Null")</f>
        <v>14.113006580190854</v>
      </c>
      <c r="X157" s="7">
        <v>11.547005383792516</v>
      </c>
      <c r="Y157" s="7" t="str">
        <f>Tabella2[[#This Row],[Mean RADIAL stress  (MPa)]]</f>
        <v>Null</v>
      </c>
      <c r="Z157" s="7" t="str">
        <f>Tabella2[[#This Row],[Amplitute RADIAL stress  (MPa)]]</f>
        <v>Null</v>
      </c>
      <c r="AA15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7" s="8">
        <f>IF( AND(ISNUMBER(Tabella2[[#This Row],[Mean AXIAL stress  (MPa)]]), ISNUMBER(Tabella2[[#This Row],[Area (mm^2)]])), Tabella2[[#This Row],[Mean AXIAL stress  (MPa)]]*Tabella2[[#This Row],[Area (mm^2)]], "Null")</f>
        <v>9719.3022720434219</v>
      </c>
      <c r="AC157" s="8">
        <f>IF( AND(ISNUMBER(Tabella2[[#This Row],[Amplitute AXIAL stress  (MPa)]]), ISNUMBER(Tabella2[[#This Row],[Area (mm^2)]])), Tabella2[[#This Row],[Amplitute AXIAL stress  (MPa)]]*Tabella2[[#This Row],[Area (mm^2)]],"Null")</f>
        <v>7952.1564043991639</v>
      </c>
      <c r="AD157" s="8">
        <f>IF( AND(ISNUMBER(Tabella2[[#This Row],[Amplitude AXIAL force (N)]]), ISNUMBER(Tabella2[[#This Row],[Mean AXIAL force (N)]])), Tabella2[[#This Row],[Amplitude AXIAL force (N)]]+Tabella2[[#This Row],[Mean AXIAL force (N)]],"Null")</f>
        <v>17671.458676442584</v>
      </c>
      <c r="AE15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31564.360029935313</v>
      </c>
      <c r="AF15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25825.385479037985</v>
      </c>
      <c r="AG157" s="1">
        <f>IF(
   AND(ISNUMBER(Tabella2[[#This Row],[Mean TORQUE (Nmm)]]), ISNUMBER(Tabella2[[#This Row],[Amplitude TORQUE (Nmm)]])),
   Tabella2[[#This Row],[Mean TORQUE (Nmm)]]+Tabella2[[#This Row],[Amplitude TORQUE (Nmm)]],
   "Null"
)</f>
        <v>57389.745508973298</v>
      </c>
      <c r="AH15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28.284271247461902</v>
      </c>
      <c r="AI15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8" spans="1:35" x14ac:dyDescent="0.25">
      <c r="A158" s="1" t="s">
        <v>52</v>
      </c>
      <c r="B158" s="1">
        <v>2025</v>
      </c>
      <c r="C158" s="1" t="s">
        <v>51</v>
      </c>
      <c r="D158" s="1" t="s">
        <v>214</v>
      </c>
      <c r="E158" s="1">
        <v>70660</v>
      </c>
      <c r="F158" s="1" t="s">
        <v>34</v>
      </c>
      <c r="G158" s="1" t="s">
        <v>43</v>
      </c>
      <c r="H158" s="1" t="e" vm="4">
        <v>#VALUE!</v>
      </c>
      <c r="I158" s="1" t="s">
        <v>45</v>
      </c>
      <c r="J158" s="1" t="s">
        <v>70</v>
      </c>
      <c r="K158" s="1">
        <v>22.5</v>
      </c>
      <c r="L158" s="8">
        <f>PI()*(Tabella2[[#This Row],[Diameter (mm)]]/2)^2</f>
        <v>397.60782021995817</v>
      </c>
      <c r="M158" s="8">
        <f>(PI()*Tabella2[[#This Row],[Diameter (mm)]]^4)/32</f>
        <v>25161.119873294228</v>
      </c>
      <c r="N158" s="1" t="s">
        <v>35</v>
      </c>
      <c r="O158" s="1">
        <v>0</v>
      </c>
      <c r="P158" s="1" t="s">
        <v>35</v>
      </c>
      <c r="Q158" s="1">
        <v>0.1</v>
      </c>
      <c r="R158" s="1">
        <v>0.1</v>
      </c>
      <c r="S15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8" s="1" t="s">
        <v>35</v>
      </c>
      <c r="U158" s="1">
        <f>IF(ISNUMBER(Tabella2[[#This Row],[Amplitute AXIAL stress  (MPa)]]), (1+Tabella2[[#This Row],[Load ratio (AXIAL)]])*Tabella2[[#This Row],[Amplitute AXIAL stress  (MPa)]]/(1-Tabella2[[#This Row],[Load ratio (AXIAL)]]), "Null")</f>
        <v>48.888888888888886</v>
      </c>
      <c r="V158" s="7">
        <v>40</v>
      </c>
      <c r="W158" s="7">
        <f>IF(ISNUMBER(Tabella2[[#This Row],[Amplitute SHEAR stress  (MPa)]]), (1+Tabella2[[#This Row],[Load ratio (TORSIONAL)]])*Tabella2[[#This Row],[Amplitute SHEAR stress  (MPa)]]/(1-Tabella2[[#This Row],[Load ratio (TORSIONAL)]]), "Null")</f>
        <v>28.226013160381708</v>
      </c>
      <c r="X158" s="7">
        <v>23.094010767585033</v>
      </c>
      <c r="Y158" s="7" t="str">
        <f>Tabella2[[#This Row],[Mean RADIAL stress  (MPa)]]</f>
        <v>Null</v>
      </c>
      <c r="Z158" s="7" t="str">
        <f>Tabella2[[#This Row],[Amplitute RADIAL stress  (MPa)]]</f>
        <v>Null</v>
      </c>
      <c r="AA15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8" s="8">
        <f>IF( AND(ISNUMBER(Tabella2[[#This Row],[Mean AXIAL stress  (MPa)]]), ISNUMBER(Tabella2[[#This Row],[Area (mm^2)]])), Tabella2[[#This Row],[Mean AXIAL stress  (MPa)]]*Tabella2[[#This Row],[Area (mm^2)]], "Null")</f>
        <v>19438.604544086844</v>
      </c>
      <c r="AC158" s="8">
        <f>IF( AND(ISNUMBER(Tabella2[[#This Row],[Amplitute AXIAL stress  (MPa)]]), ISNUMBER(Tabella2[[#This Row],[Area (mm^2)]])), Tabella2[[#This Row],[Amplitute AXIAL stress  (MPa)]]*Tabella2[[#This Row],[Area (mm^2)]],"Null")</f>
        <v>15904.312808798328</v>
      </c>
      <c r="AD158" s="8">
        <f>IF( AND(ISNUMBER(Tabella2[[#This Row],[Amplitude AXIAL force (N)]]), ISNUMBER(Tabella2[[#This Row],[Mean AXIAL force (N)]])), Tabella2[[#This Row],[Amplitude AXIAL force (N)]]+Tabella2[[#This Row],[Mean AXIAL force (N)]],"Null")</f>
        <v>35342.917352885168</v>
      </c>
      <c r="AE15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63128.720059870626</v>
      </c>
      <c r="AF15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51650.770958075969</v>
      </c>
      <c r="AG158" s="1">
        <f>IF(
   AND(ISNUMBER(Tabella2[[#This Row],[Mean TORQUE (Nmm)]]), ISNUMBER(Tabella2[[#This Row],[Amplitude TORQUE (Nmm)]])),
   Tabella2[[#This Row],[Mean TORQUE (Nmm)]]+Tabella2[[#This Row],[Amplitude TORQUE (Nmm)]],
   "Null"
)</f>
        <v>114779.4910179466</v>
      </c>
      <c r="AH15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56.568542494923804</v>
      </c>
      <c r="AI15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59" spans="1:35" ht="13.9" customHeight="1" x14ac:dyDescent="0.25">
      <c r="A159" s="1" t="s">
        <v>52</v>
      </c>
      <c r="B159" s="1">
        <v>2025</v>
      </c>
      <c r="C159" s="1" t="s">
        <v>51</v>
      </c>
      <c r="D159" s="1" t="s">
        <v>215</v>
      </c>
      <c r="E159" s="1">
        <v>1368315</v>
      </c>
      <c r="F159" s="1" t="s">
        <v>34</v>
      </c>
      <c r="G159" s="1" t="s">
        <v>43</v>
      </c>
      <c r="H159" s="1" t="e" vm="6">
        <v>#VALUE!</v>
      </c>
      <c r="I159" s="1" t="s">
        <v>45</v>
      </c>
      <c r="J159" s="1" t="s">
        <v>47</v>
      </c>
      <c r="K159" s="1">
        <v>14</v>
      </c>
      <c r="L159" s="8">
        <f>PI()*(Tabella2[[#This Row],[Diameter (mm)]]/2)^2</f>
        <v>153.93804002589985</v>
      </c>
      <c r="M159" s="8">
        <f>(PI()*Tabella2[[#This Row],[Diameter (mm)]]^4)/32</f>
        <v>3771.4819806345467</v>
      </c>
      <c r="N159" s="1" t="s">
        <v>35</v>
      </c>
      <c r="O159" s="1">
        <v>90</v>
      </c>
      <c r="P159" s="1" t="s">
        <v>35</v>
      </c>
      <c r="Q159" s="1">
        <v>-1</v>
      </c>
      <c r="R159" s="1">
        <v>-1</v>
      </c>
      <c r="S15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9" s="1" t="s">
        <v>35</v>
      </c>
      <c r="U15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59" s="1">
        <v>140</v>
      </c>
      <c r="W15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59" s="7">
        <v>80.829037686547622</v>
      </c>
      <c r="Y159" s="7" t="str">
        <f>Tabella2[[#This Row],[Mean RADIAL stress  (MPa)]]</f>
        <v>Null</v>
      </c>
      <c r="Z159" s="7" t="str">
        <f>Tabella2[[#This Row],[Amplitute RADIAL stress  (MPa)]]</f>
        <v>Null</v>
      </c>
      <c r="AA15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9" s="8">
        <f>IF( AND(ISNUMBER(Tabella2[[#This Row],[Mean AXIAL stress  (MPa)]]), ISNUMBER(Tabella2[[#This Row],[Area (mm^2)]])), Tabella2[[#This Row],[Mean AXIAL stress  (MPa)]]*Tabella2[[#This Row],[Area (mm^2)]], "Null")</f>
        <v>0</v>
      </c>
      <c r="AC159" s="8">
        <f>IF( AND(ISNUMBER(Tabella2[[#This Row],[Amplitute AXIAL stress  (MPa)]]), ISNUMBER(Tabella2[[#This Row],[Area (mm^2)]])), Tabella2[[#This Row],[Amplitute AXIAL stress  (MPa)]]*Tabella2[[#This Row],[Area (mm^2)]],"Null")</f>
        <v>21551.325603625981</v>
      </c>
      <c r="AD159" s="8">
        <f>IF( AND(ISNUMBER(Tabella2[[#This Row],[Amplitude AXIAL force (N)]]), ISNUMBER(Tabella2[[#This Row],[Mean AXIAL force (N)]])), Tabella2[[#This Row],[Amplitude AXIAL force (N)]]+Tabella2[[#This Row],[Mean AXIAL force (N)]],"Null")</f>
        <v>21551.325603625981</v>
      </c>
      <c r="AE15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5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43549.322735263573</v>
      </c>
      <c r="AG159" s="1">
        <f>IF(
   AND(ISNUMBER(Tabella2[[#This Row],[Mean TORQUE (Nmm)]]), ISNUMBER(Tabella2[[#This Row],[Amplitude TORQUE (Nmm)]])),
   Tabella2[[#This Row],[Mean TORQUE (Nmm)]]+Tabella2[[#This Row],[Amplitude TORQUE (Nmm)]],
   "Null"
)</f>
        <v>43549.322735263573</v>
      </c>
      <c r="AH15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197.98989873223331</v>
      </c>
      <c r="AI15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0" spans="1:35" x14ac:dyDescent="0.25">
      <c r="A160" s="1" t="s">
        <v>52</v>
      </c>
      <c r="B160" s="1">
        <v>2025</v>
      </c>
      <c r="C160" s="1" t="s">
        <v>51</v>
      </c>
      <c r="D160" s="1" t="s">
        <v>216</v>
      </c>
      <c r="E160" s="1">
        <v>2073749</v>
      </c>
      <c r="F160" s="1" t="s">
        <v>34</v>
      </c>
      <c r="G160" s="1" t="s">
        <v>43</v>
      </c>
      <c r="H160" s="1" t="e" vm="6">
        <v>#VALUE!</v>
      </c>
      <c r="I160" s="1" t="s">
        <v>45</v>
      </c>
      <c r="J160" s="1" t="s">
        <v>47</v>
      </c>
      <c r="K160" s="1">
        <v>14</v>
      </c>
      <c r="L160" s="8">
        <f>PI()*(Tabella2[[#This Row],[Diameter (mm)]]/2)^2</f>
        <v>153.93804002589985</v>
      </c>
      <c r="M160" s="8">
        <f>(PI()*Tabella2[[#This Row],[Diameter (mm)]]^4)/32</f>
        <v>3771.4819806345467</v>
      </c>
      <c r="N160" s="1" t="s">
        <v>35</v>
      </c>
      <c r="O160" s="1">
        <v>90</v>
      </c>
      <c r="P160" s="1" t="s">
        <v>35</v>
      </c>
      <c r="Q160" s="1">
        <v>-1</v>
      </c>
      <c r="R160" s="1">
        <v>-1</v>
      </c>
      <c r="S16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0" s="1" t="s">
        <v>35</v>
      </c>
      <c r="U16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0" s="1">
        <v>140</v>
      </c>
      <c r="W16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0" s="7">
        <v>80.829037686547622</v>
      </c>
      <c r="Y160" s="7" t="str">
        <f>Tabella2[[#This Row],[Mean RADIAL stress  (MPa)]]</f>
        <v>Null</v>
      </c>
      <c r="Z160" s="7" t="str">
        <f>Tabella2[[#This Row],[Amplitute RADIAL stress  (MPa)]]</f>
        <v>Null</v>
      </c>
      <c r="AA16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0" s="8">
        <f>IF( AND(ISNUMBER(Tabella2[[#This Row],[Mean AXIAL stress  (MPa)]]), ISNUMBER(Tabella2[[#This Row],[Area (mm^2)]])), Tabella2[[#This Row],[Mean AXIAL stress  (MPa)]]*Tabella2[[#This Row],[Area (mm^2)]], "Null")</f>
        <v>0</v>
      </c>
      <c r="AC160" s="8">
        <f>IF( AND(ISNUMBER(Tabella2[[#This Row],[Amplitute AXIAL stress  (MPa)]]), ISNUMBER(Tabella2[[#This Row],[Area (mm^2)]])), Tabella2[[#This Row],[Amplitute AXIAL stress  (MPa)]]*Tabella2[[#This Row],[Area (mm^2)]],"Null")</f>
        <v>21551.325603625981</v>
      </c>
      <c r="AD160" s="8">
        <f>IF( AND(ISNUMBER(Tabella2[[#This Row],[Amplitude AXIAL force (N)]]), ISNUMBER(Tabella2[[#This Row],[Mean AXIAL force (N)]])), Tabella2[[#This Row],[Amplitude AXIAL force (N)]]+Tabella2[[#This Row],[Mean AXIAL force (N)]],"Null")</f>
        <v>21551.325603625981</v>
      </c>
      <c r="AE16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43549.322735263573</v>
      </c>
      <c r="AG160" s="1">
        <f>IF(
   AND(ISNUMBER(Tabella2[[#This Row],[Mean TORQUE (Nmm)]]), ISNUMBER(Tabella2[[#This Row],[Amplitude TORQUE (Nmm)]])),
   Tabella2[[#This Row],[Mean TORQUE (Nmm)]]+Tabella2[[#This Row],[Amplitude TORQUE (Nmm)]],
   "Null"
)</f>
        <v>43549.322735263573</v>
      </c>
      <c r="AH16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197.98989873223331</v>
      </c>
      <c r="AI16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1" spans="1:35" x14ac:dyDescent="0.25">
      <c r="A161" s="1" t="s">
        <v>52</v>
      </c>
      <c r="B161" s="1">
        <v>2025</v>
      </c>
      <c r="C161" s="1" t="s">
        <v>51</v>
      </c>
      <c r="D161" s="1" t="s">
        <v>217</v>
      </c>
      <c r="E161" s="1">
        <v>611726</v>
      </c>
      <c r="F161" s="1" t="s">
        <v>34</v>
      </c>
      <c r="G161" s="1" t="s">
        <v>43</v>
      </c>
      <c r="H161" s="1" t="e" vm="6">
        <v>#VALUE!</v>
      </c>
      <c r="I161" s="1" t="s">
        <v>45</v>
      </c>
      <c r="J161" s="1" t="s">
        <v>47</v>
      </c>
      <c r="K161" s="1">
        <v>14</v>
      </c>
      <c r="L161" s="8">
        <f>PI()*(Tabella2[[#This Row],[Diameter (mm)]]/2)^2</f>
        <v>153.93804002589985</v>
      </c>
      <c r="M161" s="8">
        <f>(PI()*Tabella2[[#This Row],[Diameter (mm)]]^4)/32</f>
        <v>3771.4819806345467</v>
      </c>
      <c r="N161" s="1" t="s">
        <v>35</v>
      </c>
      <c r="O161" s="1">
        <v>90</v>
      </c>
      <c r="P161" s="1" t="s">
        <v>35</v>
      </c>
      <c r="Q161" s="1">
        <v>-1</v>
      </c>
      <c r="R161" s="1">
        <v>-1</v>
      </c>
      <c r="S16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1" s="1" t="s">
        <v>35</v>
      </c>
      <c r="U16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1" s="1">
        <v>140</v>
      </c>
      <c r="W16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1" s="7">
        <v>80.829037686547622</v>
      </c>
      <c r="Y161" s="7" t="str">
        <f>Tabella2[[#This Row],[Mean RADIAL stress  (MPa)]]</f>
        <v>Null</v>
      </c>
      <c r="Z161" s="7" t="str">
        <f>Tabella2[[#This Row],[Amplitute RADIAL stress  (MPa)]]</f>
        <v>Null</v>
      </c>
      <c r="AA16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1" s="8">
        <f>IF( AND(ISNUMBER(Tabella2[[#This Row],[Mean AXIAL stress  (MPa)]]), ISNUMBER(Tabella2[[#This Row],[Area (mm^2)]])), Tabella2[[#This Row],[Mean AXIAL stress  (MPa)]]*Tabella2[[#This Row],[Area (mm^2)]], "Null")</f>
        <v>0</v>
      </c>
      <c r="AC161" s="8">
        <f>IF( AND(ISNUMBER(Tabella2[[#This Row],[Amplitute AXIAL stress  (MPa)]]), ISNUMBER(Tabella2[[#This Row],[Area (mm^2)]])), Tabella2[[#This Row],[Amplitute AXIAL stress  (MPa)]]*Tabella2[[#This Row],[Area (mm^2)]],"Null")</f>
        <v>21551.325603625981</v>
      </c>
      <c r="AD161" s="8">
        <f>IF( AND(ISNUMBER(Tabella2[[#This Row],[Amplitude AXIAL force (N)]]), ISNUMBER(Tabella2[[#This Row],[Mean AXIAL force (N)]])), Tabella2[[#This Row],[Amplitude AXIAL force (N)]]+Tabella2[[#This Row],[Mean AXIAL force (N)]],"Null")</f>
        <v>21551.325603625981</v>
      </c>
      <c r="AE16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43549.322735263573</v>
      </c>
      <c r="AG161" s="1">
        <f>IF(
   AND(ISNUMBER(Tabella2[[#This Row],[Mean TORQUE (Nmm)]]), ISNUMBER(Tabella2[[#This Row],[Amplitude TORQUE (Nmm)]])),
   Tabella2[[#This Row],[Mean TORQUE (Nmm)]]+Tabella2[[#This Row],[Amplitude TORQUE (Nmm)]],
   "Null"
)</f>
        <v>43549.322735263573</v>
      </c>
      <c r="AH16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197.98989873223331</v>
      </c>
      <c r="AI16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2" spans="1:35" x14ac:dyDescent="0.25">
      <c r="A162" s="1" t="s">
        <v>52</v>
      </c>
      <c r="B162" s="1">
        <v>2025</v>
      </c>
      <c r="C162" s="1" t="s">
        <v>51</v>
      </c>
      <c r="D162" s="1" t="s">
        <v>218</v>
      </c>
      <c r="E162" s="1">
        <v>46307</v>
      </c>
      <c r="F162" s="1" t="s">
        <v>34</v>
      </c>
      <c r="G162" s="1" t="s">
        <v>43</v>
      </c>
      <c r="H162" s="1" t="e" vm="6">
        <v>#VALUE!</v>
      </c>
      <c r="I162" s="1" t="s">
        <v>45</v>
      </c>
      <c r="J162" s="1" t="s">
        <v>47</v>
      </c>
      <c r="K162" s="1">
        <v>14</v>
      </c>
      <c r="L162" s="8">
        <f>PI()*(Tabella2[[#This Row],[Diameter (mm)]]/2)^2</f>
        <v>153.93804002589985</v>
      </c>
      <c r="M162" s="8">
        <f>(PI()*Tabella2[[#This Row],[Diameter (mm)]]^4)/32</f>
        <v>3771.4819806345467</v>
      </c>
      <c r="N162" s="1" t="s">
        <v>35</v>
      </c>
      <c r="O162" s="1">
        <v>90</v>
      </c>
      <c r="P162" s="1" t="s">
        <v>35</v>
      </c>
      <c r="Q162" s="1">
        <v>-1</v>
      </c>
      <c r="R162" s="1">
        <v>-1</v>
      </c>
      <c r="S16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2" s="1" t="s">
        <v>35</v>
      </c>
      <c r="U16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2" s="1">
        <v>160</v>
      </c>
      <c r="W16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2" s="7">
        <v>92.376043070340131</v>
      </c>
      <c r="Y162" s="7" t="str">
        <f>Tabella2[[#This Row],[Mean RADIAL stress  (MPa)]]</f>
        <v>Null</v>
      </c>
      <c r="Z162" s="7" t="str">
        <f>Tabella2[[#This Row],[Amplitute RADIAL stress  (MPa)]]</f>
        <v>Null</v>
      </c>
      <c r="AA16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2" s="8">
        <f>IF( AND(ISNUMBER(Tabella2[[#This Row],[Mean AXIAL stress  (MPa)]]), ISNUMBER(Tabella2[[#This Row],[Area (mm^2)]])), Tabella2[[#This Row],[Mean AXIAL stress  (MPa)]]*Tabella2[[#This Row],[Area (mm^2)]], "Null")</f>
        <v>0</v>
      </c>
      <c r="AC162" s="8">
        <f>IF( AND(ISNUMBER(Tabella2[[#This Row],[Amplitute AXIAL stress  (MPa)]]), ISNUMBER(Tabella2[[#This Row],[Area (mm^2)]])), Tabella2[[#This Row],[Amplitute AXIAL stress  (MPa)]]*Tabella2[[#This Row],[Area (mm^2)]],"Null")</f>
        <v>24630.086404143978</v>
      </c>
      <c r="AD162" s="8">
        <f>IF( AND(ISNUMBER(Tabella2[[#This Row],[Amplitude AXIAL force (N)]]), ISNUMBER(Tabella2[[#This Row],[Mean AXIAL force (N)]])), Tabella2[[#This Row],[Amplitude AXIAL force (N)]]+Tabella2[[#This Row],[Mean AXIAL force (N)]],"Null")</f>
        <v>24630.086404143978</v>
      </c>
      <c r="AE16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49770.654554586938</v>
      </c>
      <c r="AG162" s="1">
        <f>IF(
   AND(ISNUMBER(Tabella2[[#This Row],[Mean TORQUE (Nmm)]]), ISNUMBER(Tabella2[[#This Row],[Amplitude TORQUE (Nmm)]])),
   Tabella2[[#This Row],[Mean TORQUE (Nmm)]]+Tabella2[[#This Row],[Amplitude TORQUE (Nmm)]],
   "Null"
)</f>
        <v>49770.654554586938</v>
      </c>
      <c r="AH16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226.27416997969522</v>
      </c>
      <c r="AI16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3" spans="1:35" x14ac:dyDescent="0.25">
      <c r="A163" s="1" t="s">
        <v>52</v>
      </c>
      <c r="B163" s="1">
        <v>2025</v>
      </c>
      <c r="C163" s="1" t="s">
        <v>51</v>
      </c>
      <c r="D163" s="1" t="s">
        <v>219</v>
      </c>
      <c r="E163" s="1">
        <v>91386</v>
      </c>
      <c r="F163" s="1" t="s">
        <v>34</v>
      </c>
      <c r="G163" s="1" t="s">
        <v>43</v>
      </c>
      <c r="H163" s="1" t="e" vm="6">
        <v>#VALUE!</v>
      </c>
      <c r="I163" s="1" t="s">
        <v>45</v>
      </c>
      <c r="J163" s="1" t="s">
        <v>47</v>
      </c>
      <c r="K163" s="1">
        <v>14</v>
      </c>
      <c r="L163" s="8">
        <f>PI()*(Tabella2[[#This Row],[Diameter (mm)]]/2)^2</f>
        <v>153.93804002589985</v>
      </c>
      <c r="M163" s="8">
        <f>(PI()*Tabella2[[#This Row],[Diameter (mm)]]^4)/32</f>
        <v>3771.4819806345467</v>
      </c>
      <c r="N163" s="1" t="s">
        <v>35</v>
      </c>
      <c r="O163" s="1">
        <v>90</v>
      </c>
      <c r="P163" s="1" t="s">
        <v>35</v>
      </c>
      <c r="Q163" s="1">
        <v>-1</v>
      </c>
      <c r="R163" s="1">
        <v>-1</v>
      </c>
      <c r="S16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3" s="1" t="s">
        <v>35</v>
      </c>
      <c r="U16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3" s="1">
        <v>160</v>
      </c>
      <c r="W16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3" s="7">
        <v>92.376043070340131</v>
      </c>
      <c r="Y163" s="7" t="str">
        <f>Tabella2[[#This Row],[Mean RADIAL stress  (MPa)]]</f>
        <v>Null</v>
      </c>
      <c r="Z163" s="7" t="str">
        <f>Tabella2[[#This Row],[Amplitute RADIAL stress  (MPa)]]</f>
        <v>Null</v>
      </c>
      <c r="AA16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3" s="8">
        <f>IF( AND(ISNUMBER(Tabella2[[#This Row],[Mean AXIAL stress  (MPa)]]), ISNUMBER(Tabella2[[#This Row],[Area (mm^2)]])), Tabella2[[#This Row],[Mean AXIAL stress  (MPa)]]*Tabella2[[#This Row],[Area (mm^2)]], "Null")</f>
        <v>0</v>
      </c>
      <c r="AC163" s="8">
        <f>IF( AND(ISNUMBER(Tabella2[[#This Row],[Amplitute AXIAL stress  (MPa)]]), ISNUMBER(Tabella2[[#This Row],[Area (mm^2)]])), Tabella2[[#This Row],[Amplitute AXIAL stress  (MPa)]]*Tabella2[[#This Row],[Area (mm^2)]],"Null")</f>
        <v>24630.086404143978</v>
      </c>
      <c r="AD163" s="8">
        <f>IF( AND(ISNUMBER(Tabella2[[#This Row],[Amplitude AXIAL force (N)]]), ISNUMBER(Tabella2[[#This Row],[Mean AXIAL force (N)]])), Tabella2[[#This Row],[Amplitude AXIAL force (N)]]+Tabella2[[#This Row],[Mean AXIAL force (N)]],"Null")</f>
        <v>24630.086404143978</v>
      </c>
      <c r="AE16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49770.654554586938</v>
      </c>
      <c r="AG163" s="1">
        <f>IF(
   AND(ISNUMBER(Tabella2[[#This Row],[Mean TORQUE (Nmm)]]), ISNUMBER(Tabella2[[#This Row],[Amplitude TORQUE (Nmm)]])),
   Tabella2[[#This Row],[Mean TORQUE (Nmm)]]+Tabella2[[#This Row],[Amplitude TORQUE (Nmm)]],
   "Null"
)</f>
        <v>49770.654554586938</v>
      </c>
      <c r="AH16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226.27416997969522</v>
      </c>
      <c r="AI16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4" spans="1:35" x14ac:dyDescent="0.25">
      <c r="A164" s="1" t="s">
        <v>52</v>
      </c>
      <c r="B164" s="1">
        <v>2025</v>
      </c>
      <c r="C164" s="1" t="s">
        <v>51</v>
      </c>
      <c r="D164" s="1" t="s">
        <v>220</v>
      </c>
      <c r="E164" s="1">
        <v>59589</v>
      </c>
      <c r="F164" s="1" t="s">
        <v>34</v>
      </c>
      <c r="G164" s="1" t="s">
        <v>43</v>
      </c>
      <c r="H164" s="1" t="e" vm="6">
        <v>#VALUE!</v>
      </c>
      <c r="I164" s="1" t="s">
        <v>45</v>
      </c>
      <c r="J164" s="1" t="s">
        <v>47</v>
      </c>
      <c r="K164" s="1">
        <v>14</v>
      </c>
      <c r="L164" s="8">
        <f>PI()*(Tabella2[[#This Row],[Diameter (mm)]]/2)^2</f>
        <v>153.93804002589985</v>
      </c>
      <c r="M164" s="8">
        <f>(PI()*Tabella2[[#This Row],[Diameter (mm)]]^4)/32</f>
        <v>3771.4819806345467</v>
      </c>
      <c r="N164" s="1" t="s">
        <v>35</v>
      </c>
      <c r="O164" s="1">
        <v>90</v>
      </c>
      <c r="P164" s="1" t="s">
        <v>35</v>
      </c>
      <c r="Q164" s="1">
        <v>-1</v>
      </c>
      <c r="R164" s="1">
        <v>-1</v>
      </c>
      <c r="S16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4" s="1" t="s">
        <v>35</v>
      </c>
      <c r="U16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4" s="1">
        <v>160</v>
      </c>
      <c r="W16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4" s="7">
        <v>92.376043070340131</v>
      </c>
      <c r="Y164" s="7" t="str">
        <f>Tabella2[[#This Row],[Mean RADIAL stress  (MPa)]]</f>
        <v>Null</v>
      </c>
      <c r="Z164" s="7" t="str">
        <f>Tabella2[[#This Row],[Amplitute RADIAL stress  (MPa)]]</f>
        <v>Null</v>
      </c>
      <c r="AA16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4" s="8">
        <f>IF( AND(ISNUMBER(Tabella2[[#This Row],[Mean AXIAL stress  (MPa)]]), ISNUMBER(Tabella2[[#This Row],[Area (mm^2)]])), Tabella2[[#This Row],[Mean AXIAL stress  (MPa)]]*Tabella2[[#This Row],[Area (mm^2)]], "Null")</f>
        <v>0</v>
      </c>
      <c r="AC164" s="8">
        <f>IF( AND(ISNUMBER(Tabella2[[#This Row],[Amplitute AXIAL stress  (MPa)]]), ISNUMBER(Tabella2[[#This Row],[Area (mm^2)]])), Tabella2[[#This Row],[Amplitute AXIAL stress  (MPa)]]*Tabella2[[#This Row],[Area (mm^2)]],"Null")</f>
        <v>24630.086404143978</v>
      </c>
      <c r="AD164" s="8">
        <f>IF( AND(ISNUMBER(Tabella2[[#This Row],[Amplitude AXIAL force (N)]]), ISNUMBER(Tabella2[[#This Row],[Mean AXIAL force (N)]])), Tabella2[[#This Row],[Amplitude AXIAL force (N)]]+Tabella2[[#This Row],[Mean AXIAL force (N)]],"Null")</f>
        <v>24630.086404143978</v>
      </c>
      <c r="AE16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49770.654554586938</v>
      </c>
      <c r="AG164" s="1">
        <f>IF(
   AND(ISNUMBER(Tabella2[[#This Row],[Mean TORQUE (Nmm)]]), ISNUMBER(Tabella2[[#This Row],[Amplitude TORQUE (Nmm)]])),
   Tabella2[[#This Row],[Mean TORQUE (Nmm)]]+Tabella2[[#This Row],[Amplitude TORQUE (Nmm)]],
   "Null"
)</f>
        <v>49770.654554586938</v>
      </c>
      <c r="AH16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226.27416997969522</v>
      </c>
      <c r="AI16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5" spans="1:35" x14ac:dyDescent="0.25">
      <c r="A165" s="1" t="s">
        <v>52</v>
      </c>
      <c r="B165" s="1">
        <v>2025</v>
      </c>
      <c r="C165" s="1" t="s">
        <v>51</v>
      </c>
      <c r="D165" s="1" t="s">
        <v>221</v>
      </c>
      <c r="E165" s="1">
        <v>1266396</v>
      </c>
      <c r="F165" s="1" t="s">
        <v>34</v>
      </c>
      <c r="G165" s="1" t="s">
        <v>43</v>
      </c>
      <c r="H165" s="1" t="e" vm="6">
        <v>#VALUE!</v>
      </c>
      <c r="I165" s="1" t="s">
        <v>45</v>
      </c>
      <c r="J165" s="1" t="s">
        <v>47</v>
      </c>
      <c r="K165" s="1">
        <v>14</v>
      </c>
      <c r="L165" s="8">
        <f>PI()*(Tabella2[[#This Row],[Diameter (mm)]]/2)^2</f>
        <v>153.93804002589985</v>
      </c>
      <c r="M165" s="8">
        <f>(PI()*Tabella2[[#This Row],[Diameter (mm)]]^4)/32</f>
        <v>3771.4819806345467</v>
      </c>
      <c r="N165" s="1" t="s">
        <v>35</v>
      </c>
      <c r="O165" s="1">
        <v>90</v>
      </c>
      <c r="P165" s="1" t="s">
        <v>35</v>
      </c>
      <c r="Q165" s="1">
        <v>-1</v>
      </c>
      <c r="R165" s="1">
        <v>-1</v>
      </c>
      <c r="S16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5" s="1" t="s">
        <v>35</v>
      </c>
      <c r="U16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5" s="1">
        <v>130</v>
      </c>
      <c r="W16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5" s="7">
        <v>75.055534994651353</v>
      </c>
      <c r="Y165" s="7" t="str">
        <f>Tabella2[[#This Row],[Mean RADIAL stress  (MPa)]]</f>
        <v>Null</v>
      </c>
      <c r="Z165" s="7" t="str">
        <f>Tabella2[[#This Row],[Amplitute RADIAL stress  (MPa)]]</f>
        <v>Null</v>
      </c>
      <c r="AA16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5" s="8">
        <f>IF( AND(ISNUMBER(Tabella2[[#This Row],[Mean AXIAL stress  (MPa)]]), ISNUMBER(Tabella2[[#This Row],[Area (mm^2)]])), Tabella2[[#This Row],[Mean AXIAL stress  (MPa)]]*Tabella2[[#This Row],[Area (mm^2)]], "Null")</f>
        <v>0</v>
      </c>
      <c r="AC165" s="8">
        <f>IF( AND(ISNUMBER(Tabella2[[#This Row],[Amplitute AXIAL stress  (MPa)]]), ISNUMBER(Tabella2[[#This Row],[Area (mm^2)]])), Tabella2[[#This Row],[Amplitute AXIAL stress  (MPa)]]*Tabella2[[#This Row],[Area (mm^2)]],"Null")</f>
        <v>20011.94520336698</v>
      </c>
      <c r="AD165" s="8">
        <f>IF( AND(ISNUMBER(Tabella2[[#This Row],[Amplitude AXIAL force (N)]]), ISNUMBER(Tabella2[[#This Row],[Mean AXIAL force (N)]])), Tabella2[[#This Row],[Amplitude AXIAL force (N)]]+Tabella2[[#This Row],[Mean AXIAL force (N)]],"Null")</f>
        <v>20011.94520336698</v>
      </c>
      <c r="AE16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40438.656825601887</v>
      </c>
      <c r="AG165" s="1">
        <f>IF(
   AND(ISNUMBER(Tabella2[[#This Row],[Mean TORQUE (Nmm)]]), ISNUMBER(Tabella2[[#This Row],[Amplitude TORQUE (Nmm)]])),
   Tabella2[[#This Row],[Mean TORQUE (Nmm)]]+Tabella2[[#This Row],[Amplitude TORQUE (Nmm)]],
   "Null"
)</f>
        <v>40438.656825601887</v>
      </c>
      <c r="AH16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183.84776310850236</v>
      </c>
      <c r="AI16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6" spans="1:35" x14ac:dyDescent="0.25">
      <c r="A166" s="1" t="s">
        <v>52</v>
      </c>
      <c r="B166" s="1">
        <v>2025</v>
      </c>
      <c r="C166" s="1" t="s">
        <v>51</v>
      </c>
      <c r="D166" s="1" t="s">
        <v>222</v>
      </c>
      <c r="E166" s="1">
        <v>93527</v>
      </c>
      <c r="F166" s="1" t="s">
        <v>34</v>
      </c>
      <c r="G166" s="1" t="s">
        <v>43</v>
      </c>
      <c r="H166" s="1" t="e" vm="6">
        <v>#VALUE!</v>
      </c>
      <c r="I166" s="1" t="s">
        <v>45</v>
      </c>
      <c r="J166" s="1" t="s">
        <v>47</v>
      </c>
      <c r="K166" s="1">
        <v>14</v>
      </c>
      <c r="L166" s="8">
        <f>PI()*(Tabella2[[#This Row],[Diameter (mm)]]/2)^2</f>
        <v>153.93804002589985</v>
      </c>
      <c r="M166" s="8">
        <f>(PI()*Tabella2[[#This Row],[Diameter (mm)]]^4)/32</f>
        <v>3771.4819806345467</v>
      </c>
      <c r="N166" s="1" t="s">
        <v>35</v>
      </c>
      <c r="O166" s="1">
        <v>90</v>
      </c>
      <c r="P166" s="1" t="s">
        <v>35</v>
      </c>
      <c r="Q166" s="1">
        <v>-1</v>
      </c>
      <c r="R166" s="1">
        <v>-1</v>
      </c>
      <c r="S16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6" s="1" t="s">
        <v>35</v>
      </c>
      <c r="U16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6" s="1">
        <v>150</v>
      </c>
      <c r="W16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6" s="7">
        <v>86.602540378443877</v>
      </c>
      <c r="Y166" s="7" t="str">
        <f>Tabella2[[#This Row],[Mean RADIAL stress  (MPa)]]</f>
        <v>Null</v>
      </c>
      <c r="Z166" s="7" t="str">
        <f>Tabella2[[#This Row],[Amplitute RADIAL stress  (MPa)]]</f>
        <v>Null</v>
      </c>
      <c r="AA16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6" s="8">
        <f>IF( AND(ISNUMBER(Tabella2[[#This Row],[Mean AXIAL stress  (MPa)]]), ISNUMBER(Tabella2[[#This Row],[Area (mm^2)]])), Tabella2[[#This Row],[Mean AXIAL stress  (MPa)]]*Tabella2[[#This Row],[Area (mm^2)]], "Null")</f>
        <v>0</v>
      </c>
      <c r="AC166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166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16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46659.988644925259</v>
      </c>
      <c r="AG166" s="1">
        <f>IF(
   AND(ISNUMBER(Tabella2[[#This Row],[Mean TORQUE (Nmm)]]), ISNUMBER(Tabella2[[#This Row],[Amplitude TORQUE (Nmm)]])),
   Tabella2[[#This Row],[Mean TORQUE (Nmm)]]+Tabella2[[#This Row],[Amplitude TORQUE (Nmm)]],
   "Null"
)</f>
        <v>46659.988644925259</v>
      </c>
      <c r="AH16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212.13203435596427</v>
      </c>
      <c r="AI16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7" spans="1:35" x14ac:dyDescent="0.25">
      <c r="A167" s="1" t="s">
        <v>52</v>
      </c>
      <c r="B167" s="1">
        <v>2025</v>
      </c>
      <c r="C167" s="1" t="s">
        <v>51</v>
      </c>
      <c r="D167" s="1" t="s">
        <v>223</v>
      </c>
      <c r="E167" s="1">
        <v>120839</v>
      </c>
      <c r="F167" s="1" t="s">
        <v>34</v>
      </c>
      <c r="G167" s="1" t="s">
        <v>43</v>
      </c>
      <c r="H167" s="1" t="e" vm="6">
        <v>#VALUE!</v>
      </c>
      <c r="I167" s="1" t="s">
        <v>45</v>
      </c>
      <c r="J167" s="1" t="s">
        <v>47</v>
      </c>
      <c r="K167" s="1">
        <v>14</v>
      </c>
      <c r="L167" s="8">
        <f>PI()*(Tabella2[[#This Row],[Diameter (mm)]]/2)^2</f>
        <v>153.93804002589985</v>
      </c>
      <c r="M167" s="8">
        <f>(PI()*Tabella2[[#This Row],[Diameter (mm)]]^4)/32</f>
        <v>3771.4819806345467</v>
      </c>
      <c r="N167" s="1" t="s">
        <v>35</v>
      </c>
      <c r="O167" s="1">
        <v>90</v>
      </c>
      <c r="P167" s="1" t="s">
        <v>35</v>
      </c>
      <c r="Q167" s="1">
        <v>-1</v>
      </c>
      <c r="R167" s="1">
        <v>-1</v>
      </c>
      <c r="S16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7" s="1" t="s">
        <v>35</v>
      </c>
      <c r="U16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7" s="1">
        <v>150</v>
      </c>
      <c r="W16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7" s="7">
        <v>86.602540378443877</v>
      </c>
      <c r="Y167" s="7" t="str">
        <f>Tabella2[[#This Row],[Mean RADIAL stress  (MPa)]]</f>
        <v>Null</v>
      </c>
      <c r="Z167" s="7" t="str">
        <f>Tabella2[[#This Row],[Amplitute RADIAL stress  (MPa)]]</f>
        <v>Null</v>
      </c>
      <c r="AA16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7" s="8">
        <f>IF( AND(ISNUMBER(Tabella2[[#This Row],[Mean AXIAL stress  (MPa)]]), ISNUMBER(Tabella2[[#This Row],[Area (mm^2)]])), Tabella2[[#This Row],[Mean AXIAL stress  (MPa)]]*Tabella2[[#This Row],[Area (mm^2)]], "Null")</f>
        <v>0</v>
      </c>
      <c r="AC167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167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16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46659.988644925259</v>
      </c>
      <c r="AG167" s="1">
        <f>IF(
   AND(ISNUMBER(Tabella2[[#This Row],[Mean TORQUE (Nmm)]]), ISNUMBER(Tabella2[[#This Row],[Amplitude TORQUE (Nmm)]])),
   Tabella2[[#This Row],[Mean TORQUE (Nmm)]]+Tabella2[[#This Row],[Amplitude TORQUE (Nmm)]],
   "Null"
)</f>
        <v>46659.988644925259</v>
      </c>
      <c r="AH16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212.13203435596427</v>
      </c>
      <c r="AI16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8" spans="1:35" x14ac:dyDescent="0.25">
      <c r="A168" s="1" t="s">
        <v>52</v>
      </c>
      <c r="B168" s="1">
        <v>2025</v>
      </c>
      <c r="C168" s="1" t="s">
        <v>51</v>
      </c>
      <c r="D168" s="1" t="s">
        <v>224</v>
      </c>
      <c r="E168" s="1">
        <v>1941849</v>
      </c>
      <c r="F168" s="1" t="s">
        <v>34</v>
      </c>
      <c r="G168" s="1" t="s">
        <v>43</v>
      </c>
      <c r="H168" s="1" t="e" vm="6">
        <v>#VALUE!</v>
      </c>
      <c r="I168" s="1" t="s">
        <v>45</v>
      </c>
      <c r="J168" s="1" t="s">
        <v>47</v>
      </c>
      <c r="K168" s="1">
        <v>14</v>
      </c>
      <c r="L168" s="8">
        <f>PI()*(Tabella2[[#This Row],[Diameter (mm)]]/2)^2</f>
        <v>153.93804002589985</v>
      </c>
      <c r="M168" s="8">
        <f>(PI()*Tabella2[[#This Row],[Diameter (mm)]]^4)/32</f>
        <v>3771.4819806345467</v>
      </c>
      <c r="N168" s="1" t="s">
        <v>35</v>
      </c>
      <c r="O168" s="1">
        <v>90</v>
      </c>
      <c r="P168" s="1" t="s">
        <v>35</v>
      </c>
      <c r="Q168" s="1">
        <v>-1</v>
      </c>
      <c r="R168" s="1">
        <v>-1</v>
      </c>
      <c r="S16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8" s="1" t="s">
        <v>35</v>
      </c>
      <c r="U16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8" s="11">
        <v>130</v>
      </c>
      <c r="W16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8" s="7">
        <v>75.055534994651353</v>
      </c>
      <c r="Y168" s="7" t="str">
        <f>Tabella2[[#This Row],[Mean RADIAL stress  (MPa)]]</f>
        <v>Null</v>
      </c>
      <c r="Z168" s="7" t="str">
        <f>Tabella2[[#This Row],[Amplitute RADIAL stress  (MPa)]]</f>
        <v>Null</v>
      </c>
      <c r="AA16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8" s="8">
        <f>IF( AND(ISNUMBER(Tabella2[[#This Row],[Mean AXIAL stress  (MPa)]]), ISNUMBER(Tabella2[[#This Row],[Area (mm^2)]])), Tabella2[[#This Row],[Mean AXIAL stress  (MPa)]]*Tabella2[[#This Row],[Area (mm^2)]], "Null")</f>
        <v>0</v>
      </c>
      <c r="AC168" s="8">
        <f>IF( AND(ISNUMBER(Tabella2[[#This Row],[Amplitute AXIAL stress  (MPa)]]), ISNUMBER(Tabella2[[#This Row],[Area (mm^2)]])), Tabella2[[#This Row],[Amplitute AXIAL stress  (MPa)]]*Tabella2[[#This Row],[Area (mm^2)]],"Null")</f>
        <v>20011.94520336698</v>
      </c>
      <c r="AD168" s="8">
        <f>IF( AND(ISNUMBER(Tabella2[[#This Row],[Amplitude AXIAL force (N)]]), ISNUMBER(Tabella2[[#This Row],[Mean AXIAL force (N)]])), Tabella2[[#This Row],[Amplitude AXIAL force (N)]]+Tabella2[[#This Row],[Mean AXIAL force (N)]],"Null")</f>
        <v>20011.94520336698</v>
      </c>
      <c r="AE16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40438.656825601887</v>
      </c>
      <c r="AG168" s="1">
        <f>IF(
   AND(ISNUMBER(Tabella2[[#This Row],[Mean TORQUE (Nmm)]]), ISNUMBER(Tabella2[[#This Row],[Amplitude TORQUE (Nmm)]])),
   Tabella2[[#This Row],[Mean TORQUE (Nmm)]]+Tabella2[[#This Row],[Amplitude TORQUE (Nmm)]],
   "Null"
)</f>
        <v>40438.656825601887</v>
      </c>
      <c r="AH16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183.84776310850236</v>
      </c>
      <c r="AI16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69" spans="1:35" x14ac:dyDescent="0.25">
      <c r="A169" s="1" t="s">
        <v>52</v>
      </c>
      <c r="B169" s="1">
        <v>2025</v>
      </c>
      <c r="C169" s="1" t="s">
        <v>51</v>
      </c>
      <c r="D169" s="1" t="s">
        <v>225</v>
      </c>
      <c r="E169" s="1">
        <v>110757</v>
      </c>
      <c r="F169" s="1" t="s">
        <v>34</v>
      </c>
      <c r="G169" s="1" t="s">
        <v>43</v>
      </c>
      <c r="H169" s="1" t="e" vm="6">
        <v>#VALUE!</v>
      </c>
      <c r="I169" s="1" t="s">
        <v>45</v>
      </c>
      <c r="J169" s="1" t="s">
        <v>47</v>
      </c>
      <c r="K169" s="1">
        <v>14</v>
      </c>
      <c r="L169" s="8">
        <f>PI()*(Tabella2[[#This Row],[Diameter (mm)]]/2)^2</f>
        <v>153.93804002589985</v>
      </c>
      <c r="M169" s="8">
        <f>(PI()*Tabella2[[#This Row],[Diameter (mm)]]^4)/32</f>
        <v>3771.4819806345467</v>
      </c>
      <c r="N169" s="1" t="s">
        <v>35</v>
      </c>
      <c r="O169" s="1">
        <v>90</v>
      </c>
      <c r="P169" s="1" t="s">
        <v>35</v>
      </c>
      <c r="Q169" s="1">
        <v>-1</v>
      </c>
      <c r="R169" s="1">
        <v>-1</v>
      </c>
      <c r="S16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9" s="1" t="s">
        <v>35</v>
      </c>
      <c r="U16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9" s="11">
        <v>150</v>
      </c>
      <c r="W16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9" s="7">
        <v>86.602540378443877</v>
      </c>
      <c r="Y169" s="7" t="str">
        <f>Tabella2[[#This Row],[Mean RADIAL stress  (MPa)]]</f>
        <v>Null</v>
      </c>
      <c r="Z169" s="7" t="str">
        <f>Tabella2[[#This Row],[Amplitute RADIAL stress  (MPa)]]</f>
        <v>Null</v>
      </c>
      <c r="AA16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9" s="8">
        <f>IF( AND(ISNUMBER(Tabella2[[#This Row],[Mean AXIAL stress  (MPa)]]), ISNUMBER(Tabella2[[#This Row],[Area (mm^2)]])), Tabella2[[#This Row],[Mean AXIAL stress  (MPa)]]*Tabella2[[#This Row],[Area (mm^2)]], "Null")</f>
        <v>0</v>
      </c>
      <c r="AC169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169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16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46659.988644925259</v>
      </c>
      <c r="AG169" s="1">
        <f>IF(
   AND(ISNUMBER(Tabella2[[#This Row],[Mean TORQUE (Nmm)]]), ISNUMBER(Tabella2[[#This Row],[Amplitude TORQUE (Nmm)]])),
   Tabella2[[#This Row],[Mean TORQUE (Nmm)]]+Tabella2[[#This Row],[Amplitude TORQUE (Nmm)]],
   "Null"
)</f>
        <v>46659.988644925259</v>
      </c>
      <c r="AH16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212.13203435596427</v>
      </c>
      <c r="AI16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70" spans="1:35" x14ac:dyDescent="0.25">
      <c r="A170" s="1" t="s">
        <v>52</v>
      </c>
      <c r="B170" s="1">
        <v>2025</v>
      </c>
      <c r="C170" s="1" t="s">
        <v>51</v>
      </c>
      <c r="D170" s="1" t="s">
        <v>226</v>
      </c>
      <c r="E170" s="11">
        <v>1769744</v>
      </c>
      <c r="F170" s="1" t="s">
        <v>34</v>
      </c>
      <c r="G170" s="1" t="s">
        <v>43</v>
      </c>
      <c r="H170" s="1" t="e" vm="6">
        <v>#VALUE!</v>
      </c>
      <c r="I170" s="1" t="s">
        <v>45</v>
      </c>
      <c r="J170" s="1" t="s">
        <v>47</v>
      </c>
      <c r="K170" s="1">
        <v>14</v>
      </c>
      <c r="L170" s="8">
        <f>PI()*(Tabella2[[#This Row],[Diameter (mm)]]/2)^2</f>
        <v>153.93804002589985</v>
      </c>
      <c r="M170" s="8">
        <f>(PI()*Tabella2[[#This Row],[Diameter (mm)]]^4)/32</f>
        <v>3771.4819806345467</v>
      </c>
      <c r="N170" s="1" t="s">
        <v>35</v>
      </c>
      <c r="O170" s="1">
        <v>90</v>
      </c>
      <c r="P170" s="1" t="s">
        <v>35</v>
      </c>
      <c r="Q170" s="1">
        <v>-1</v>
      </c>
      <c r="R170" s="1">
        <v>-1</v>
      </c>
      <c r="S17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0" s="1" t="s">
        <v>35</v>
      </c>
      <c r="U17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70" s="11">
        <v>130</v>
      </c>
      <c r="W17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70" s="7">
        <v>75.055534994651353</v>
      </c>
      <c r="Y170" s="7" t="str">
        <f>Tabella2[[#This Row],[Mean RADIAL stress  (MPa)]]</f>
        <v>Null</v>
      </c>
      <c r="Z170" s="7" t="str">
        <f>Tabella2[[#This Row],[Amplitute RADIAL stress  (MPa)]]</f>
        <v>Null</v>
      </c>
      <c r="AA17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0" s="8">
        <f>IF( AND(ISNUMBER(Tabella2[[#This Row],[Mean AXIAL stress  (MPa)]]), ISNUMBER(Tabella2[[#This Row],[Area (mm^2)]])), Tabella2[[#This Row],[Mean AXIAL stress  (MPa)]]*Tabella2[[#This Row],[Area (mm^2)]], "Null")</f>
        <v>0</v>
      </c>
      <c r="AC170" s="8">
        <f>IF( AND(ISNUMBER(Tabella2[[#This Row],[Amplitute AXIAL stress  (MPa)]]), ISNUMBER(Tabella2[[#This Row],[Area (mm^2)]])), Tabella2[[#This Row],[Amplitute AXIAL stress  (MPa)]]*Tabella2[[#This Row],[Area (mm^2)]],"Null")</f>
        <v>20011.94520336698</v>
      </c>
      <c r="AD170" s="8">
        <f>IF( AND(ISNUMBER(Tabella2[[#This Row],[Amplitude AXIAL force (N)]]), ISNUMBER(Tabella2[[#This Row],[Mean AXIAL force (N)]])), Tabella2[[#This Row],[Amplitude AXIAL force (N)]]+Tabella2[[#This Row],[Mean AXIAL force (N)]],"Null")</f>
        <v>20011.94520336698</v>
      </c>
      <c r="AE17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7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40438.656825601887</v>
      </c>
      <c r="AG170" s="1">
        <f>IF(
   AND(ISNUMBER(Tabella2[[#This Row],[Mean TORQUE (Nmm)]]), ISNUMBER(Tabella2[[#This Row],[Amplitude TORQUE (Nmm)]])),
   Tabella2[[#This Row],[Mean TORQUE (Nmm)]]+Tabella2[[#This Row],[Amplitude TORQUE (Nmm)]],
   "Null"
)</f>
        <v>40438.656825601887</v>
      </c>
      <c r="AH17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183.84776310850236</v>
      </c>
      <c r="AI17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71" spans="1:35" x14ac:dyDescent="0.25">
      <c r="A171" s="1" t="s">
        <v>52</v>
      </c>
      <c r="B171" s="1">
        <v>2025</v>
      </c>
      <c r="C171" s="1" t="s">
        <v>51</v>
      </c>
      <c r="D171" s="1" t="s">
        <v>227</v>
      </c>
      <c r="E171" s="1">
        <v>1900000</v>
      </c>
      <c r="F171" s="1" t="s">
        <v>70</v>
      </c>
      <c r="G171" s="1" t="s">
        <v>43</v>
      </c>
      <c r="H171" s="1" t="e" vm="6">
        <v>#VALUE!</v>
      </c>
      <c r="I171" s="1" t="s">
        <v>45</v>
      </c>
      <c r="J171" s="1" t="s">
        <v>47</v>
      </c>
      <c r="K171" s="1">
        <v>14</v>
      </c>
      <c r="L171" s="8">
        <f>PI()*(Tabella2[[#This Row],[Diameter (mm)]]/2)^2</f>
        <v>153.93804002589985</v>
      </c>
      <c r="M171" s="8">
        <f>(PI()*Tabella2[[#This Row],[Diameter (mm)]]^4)/32</f>
        <v>3771.4819806345467</v>
      </c>
      <c r="N171" s="1" t="s">
        <v>35</v>
      </c>
      <c r="O171" s="1">
        <v>90</v>
      </c>
      <c r="P171" s="1" t="s">
        <v>35</v>
      </c>
      <c r="Q171" s="1">
        <v>-1</v>
      </c>
      <c r="R171" s="1">
        <v>-1</v>
      </c>
      <c r="S17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1" s="1" t="s">
        <v>35</v>
      </c>
      <c r="U17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71" s="1">
        <v>120</v>
      </c>
      <c r="W17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71" s="7">
        <v>69.282032302755098</v>
      </c>
      <c r="Y171" s="7" t="str">
        <f>Tabella2[[#This Row],[Mean RADIAL stress  (MPa)]]</f>
        <v>Null</v>
      </c>
      <c r="Z171" s="7" t="str">
        <f>Tabella2[[#This Row],[Amplitute RADIAL stress  (MPa)]]</f>
        <v>Null</v>
      </c>
      <c r="AA17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1" s="8">
        <f>IF( AND(ISNUMBER(Tabella2[[#This Row],[Mean AXIAL stress  (MPa)]]), ISNUMBER(Tabella2[[#This Row],[Area (mm^2)]])), Tabella2[[#This Row],[Mean AXIAL stress  (MPa)]]*Tabella2[[#This Row],[Area (mm^2)]], "Null")</f>
        <v>0</v>
      </c>
      <c r="AC171" s="8">
        <f>IF( AND(ISNUMBER(Tabella2[[#This Row],[Amplitute AXIAL stress  (MPa)]]), ISNUMBER(Tabella2[[#This Row],[Area (mm^2)]])), Tabella2[[#This Row],[Amplitute AXIAL stress  (MPa)]]*Tabella2[[#This Row],[Area (mm^2)]],"Null")</f>
        <v>18472.564803107984</v>
      </c>
      <c r="AD171" s="8">
        <f>IF( AND(ISNUMBER(Tabella2[[#This Row],[Amplitude AXIAL force (N)]]), ISNUMBER(Tabella2[[#This Row],[Mean AXIAL force (N)]])), Tabella2[[#This Row],[Amplitude AXIAL force (N)]]+Tabella2[[#This Row],[Mean AXIAL force (N)]],"Null")</f>
        <v>18472.564803107984</v>
      </c>
      <c r="AE17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7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37327.990915940209</v>
      </c>
      <c r="AG171" s="1">
        <f>IF(
   AND(ISNUMBER(Tabella2[[#This Row],[Mean TORQUE (Nmm)]]), ISNUMBER(Tabella2[[#This Row],[Amplitude TORQUE (Nmm)]])),
   Tabella2[[#This Row],[Mean TORQUE (Nmm)]]+Tabella2[[#This Row],[Amplitude TORQUE (Nmm)]],
   "Null"
)</f>
        <v>37327.990915940209</v>
      </c>
      <c r="AH17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169.70562748477141</v>
      </c>
      <c r="AI17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72" spans="1:35" x14ac:dyDescent="0.25">
      <c r="A172" s="1" t="s">
        <v>52</v>
      </c>
      <c r="B172" s="1">
        <v>2025</v>
      </c>
      <c r="C172" s="1" t="s">
        <v>51</v>
      </c>
      <c r="D172" s="1" t="s">
        <v>228</v>
      </c>
      <c r="E172" s="1">
        <v>45434</v>
      </c>
      <c r="F172" s="1" t="s">
        <v>34</v>
      </c>
      <c r="G172" s="1" t="s">
        <v>43</v>
      </c>
      <c r="H172" s="1" t="e" vm="6">
        <v>#VALUE!</v>
      </c>
      <c r="I172" s="1" t="s">
        <v>45</v>
      </c>
      <c r="J172" s="1" t="s">
        <v>47</v>
      </c>
      <c r="K172" s="1">
        <v>14</v>
      </c>
      <c r="L172" s="8">
        <f>PI()*(Tabella2[[#This Row],[Diameter (mm)]]/2)^2</f>
        <v>153.93804002589985</v>
      </c>
      <c r="M172" s="8">
        <f>(PI()*Tabella2[[#This Row],[Diameter (mm)]]^4)/32</f>
        <v>3771.4819806345467</v>
      </c>
      <c r="N172" s="1" t="s">
        <v>35</v>
      </c>
      <c r="O172" s="1">
        <v>90</v>
      </c>
      <c r="P172" s="1" t="s">
        <v>35</v>
      </c>
      <c r="Q172" s="1">
        <v>0.1</v>
      </c>
      <c r="R172" s="1">
        <v>0.1</v>
      </c>
      <c r="S17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2" s="1" t="s">
        <v>35</v>
      </c>
      <c r="U172" s="1">
        <f>IF(ISNUMBER(Tabella2[[#This Row],[Amplitute AXIAL stress  (MPa)]]), (1+Tabella2[[#This Row],[Load ratio (AXIAL)]])*Tabella2[[#This Row],[Amplitute AXIAL stress  (MPa)]]/(1-Tabella2[[#This Row],[Load ratio (AXIAL)]]), "Null")</f>
        <v>97.777777777777771</v>
      </c>
      <c r="V172" s="1">
        <v>80</v>
      </c>
      <c r="W172" s="7">
        <f>IF(ISNUMBER(Tabella2[[#This Row],[Amplitute SHEAR stress  (MPa)]]), (1+Tabella2[[#This Row],[Load ratio (TORSIONAL)]])*Tabella2[[#This Row],[Amplitute SHEAR stress  (MPa)]]/(1-Tabella2[[#This Row],[Load ratio (TORSIONAL)]]), "Null")</f>
        <v>97.777777777777771</v>
      </c>
      <c r="X172" s="7">
        <v>80</v>
      </c>
      <c r="Y172" s="7" t="str">
        <f>Tabella2[[#This Row],[Mean RADIAL stress  (MPa)]]</f>
        <v>Null</v>
      </c>
      <c r="Z172" s="7" t="str">
        <f>Tabella2[[#This Row],[Amplitute RADIAL stress  (MPa)]]</f>
        <v>Null</v>
      </c>
      <c r="AA17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2" s="8">
        <f>IF( AND(ISNUMBER(Tabella2[[#This Row],[Mean AXIAL stress  (MPa)]]), ISNUMBER(Tabella2[[#This Row],[Area (mm^2)]])), Tabella2[[#This Row],[Mean AXIAL stress  (MPa)]]*Tabella2[[#This Row],[Area (mm^2)]], "Null")</f>
        <v>15051.719469199095</v>
      </c>
      <c r="AC172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172" s="8">
        <f>IF( AND(ISNUMBER(Tabella2[[#This Row],[Amplitude AXIAL force (N)]]), ISNUMBER(Tabella2[[#This Row],[Mean AXIAL force (N)]])), Tabella2[[#This Row],[Amplitude AXIAL force (N)]]+Tabella2[[#This Row],[Mean AXIAL force (N)]],"Null")</f>
        <v>27366.762671271084</v>
      </c>
      <c r="AE17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52681.018142196837</v>
      </c>
      <c r="AF17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43102.651207251962</v>
      </c>
      <c r="AG172" s="1">
        <f>IF(
   AND(ISNUMBER(Tabella2[[#This Row],[Mean TORQUE (Nmm)]]), ISNUMBER(Tabella2[[#This Row],[Amplitude TORQUE (Nmm)]])),
   Tabella2[[#This Row],[Mean TORQUE (Nmm)]]+Tabella2[[#This Row],[Amplitude TORQUE (Nmm)]],
   "Null"
)</f>
        <v>95783.669349448799</v>
      </c>
      <c r="AH17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  <c r="AI17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73" spans="1:35" x14ac:dyDescent="0.25">
      <c r="A173" s="1" t="s">
        <v>52</v>
      </c>
      <c r="B173" s="1">
        <v>2025</v>
      </c>
      <c r="C173" s="1" t="s">
        <v>51</v>
      </c>
      <c r="D173" s="1" t="s">
        <v>229</v>
      </c>
      <c r="E173" s="1">
        <v>302351</v>
      </c>
      <c r="F173" s="1" t="s">
        <v>34</v>
      </c>
      <c r="G173" s="1" t="s">
        <v>43</v>
      </c>
      <c r="H173" s="1" t="e" vm="6">
        <v>#VALUE!</v>
      </c>
      <c r="I173" s="1" t="s">
        <v>45</v>
      </c>
      <c r="J173" s="1" t="s">
        <v>47</v>
      </c>
      <c r="K173" s="1">
        <v>14</v>
      </c>
      <c r="L173" s="8">
        <f>PI()*(Tabella2[[#This Row],[Diameter (mm)]]/2)^2</f>
        <v>153.93804002589985</v>
      </c>
      <c r="M173" s="8">
        <f>(PI()*Tabella2[[#This Row],[Diameter (mm)]]^4)/32</f>
        <v>3771.4819806345467</v>
      </c>
      <c r="N173" s="1" t="s">
        <v>35</v>
      </c>
      <c r="O173" s="1">
        <v>90</v>
      </c>
      <c r="P173" s="1" t="s">
        <v>35</v>
      </c>
      <c r="Q173" s="1">
        <v>0.1</v>
      </c>
      <c r="R173" s="1">
        <v>0.1</v>
      </c>
      <c r="S17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3" s="1" t="s">
        <v>35</v>
      </c>
      <c r="U173" s="1">
        <f>IF(ISNUMBER(Tabella2[[#This Row],[Amplitute AXIAL stress  (MPa)]]), (1+Tabella2[[#This Row],[Load ratio (AXIAL)]])*Tabella2[[#This Row],[Amplitute AXIAL stress  (MPa)]]/(1-Tabella2[[#This Row],[Load ratio (AXIAL)]]), "Null")</f>
        <v>85.555555555555557</v>
      </c>
      <c r="V173" s="1">
        <v>70</v>
      </c>
      <c r="W173" s="7">
        <f>IF(ISNUMBER(Tabella2[[#This Row],[Amplitute SHEAR stress  (MPa)]]), (1+Tabella2[[#This Row],[Load ratio (TORSIONAL)]])*Tabella2[[#This Row],[Amplitute SHEAR stress  (MPa)]]/(1-Tabella2[[#This Row],[Load ratio (TORSIONAL)]]), "Null")</f>
        <v>85.555555555555557</v>
      </c>
      <c r="X173" s="7">
        <v>70</v>
      </c>
      <c r="Y173" s="7" t="str">
        <f>Tabella2[[#This Row],[Mean RADIAL stress  (MPa)]]</f>
        <v>Null</v>
      </c>
      <c r="Z173" s="7" t="str">
        <f>Tabella2[[#This Row],[Amplitute RADIAL stress  (MPa)]]</f>
        <v>Null</v>
      </c>
      <c r="AA17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3" s="8">
        <f>IF( AND(ISNUMBER(Tabella2[[#This Row],[Mean AXIAL stress  (MPa)]]), ISNUMBER(Tabella2[[#This Row],[Area (mm^2)]])), Tabella2[[#This Row],[Mean AXIAL stress  (MPa)]]*Tabella2[[#This Row],[Area (mm^2)]], "Null")</f>
        <v>13170.254535549209</v>
      </c>
      <c r="AC173" s="8">
        <f>IF( AND(ISNUMBER(Tabella2[[#This Row],[Amplitute AXIAL stress  (MPa)]]), ISNUMBER(Tabella2[[#This Row],[Area (mm^2)]])), Tabella2[[#This Row],[Amplitute AXIAL stress  (MPa)]]*Tabella2[[#This Row],[Area (mm^2)]],"Null")</f>
        <v>10775.66280181299</v>
      </c>
      <c r="AD173" s="8">
        <f>IF( AND(ISNUMBER(Tabella2[[#This Row],[Amplitude AXIAL force (N)]]), ISNUMBER(Tabella2[[#This Row],[Mean AXIAL force (N)]])), Tabella2[[#This Row],[Amplitude AXIAL force (N)]]+Tabella2[[#This Row],[Mean AXIAL force (N)]],"Null")</f>
        <v>23945.9173373622</v>
      </c>
      <c r="AE17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46095.890874422235</v>
      </c>
      <c r="AF17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37714.819806345462</v>
      </c>
      <c r="AG173" s="1">
        <f>IF(
   AND(ISNUMBER(Tabella2[[#This Row],[Mean TORQUE (Nmm)]]), ISNUMBER(Tabella2[[#This Row],[Amplitude TORQUE (Nmm)]])),
   Tabella2[[#This Row],[Mean TORQUE (Nmm)]]+Tabella2[[#This Row],[Amplitude TORQUE (Nmm)]],
   "Null"
)</f>
        <v>83810.71068076769</v>
      </c>
      <c r="AH17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7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74" spans="1:35" x14ac:dyDescent="0.25">
      <c r="A174" s="1" t="s">
        <v>52</v>
      </c>
      <c r="B174" s="1">
        <v>2025</v>
      </c>
      <c r="C174" s="1" t="s">
        <v>51</v>
      </c>
      <c r="D174" s="1" t="s">
        <v>230</v>
      </c>
      <c r="E174" s="1">
        <v>2651327</v>
      </c>
      <c r="F174" s="1" t="s">
        <v>34</v>
      </c>
      <c r="G174" s="1" t="s">
        <v>43</v>
      </c>
      <c r="H174" s="1" t="e" vm="6">
        <v>#VALUE!</v>
      </c>
      <c r="I174" s="1" t="s">
        <v>45</v>
      </c>
      <c r="J174" s="1" t="s">
        <v>47</v>
      </c>
      <c r="K174" s="1">
        <v>14</v>
      </c>
      <c r="L174" s="8">
        <f>PI()*(Tabella2[[#This Row],[Diameter (mm)]]/2)^2</f>
        <v>153.93804002589985</v>
      </c>
      <c r="M174" s="8">
        <f>(PI()*Tabella2[[#This Row],[Diameter (mm)]]^4)/32</f>
        <v>3771.4819806345467</v>
      </c>
      <c r="N174" s="1" t="s">
        <v>35</v>
      </c>
      <c r="O174" s="1">
        <v>90</v>
      </c>
      <c r="P174" s="1" t="s">
        <v>35</v>
      </c>
      <c r="Q174" s="1">
        <v>0.1</v>
      </c>
      <c r="R174" s="1">
        <v>0.1</v>
      </c>
      <c r="S17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4" s="1" t="s">
        <v>35</v>
      </c>
      <c r="U174" s="1">
        <f>IF(ISNUMBER(Tabella2[[#This Row],[Amplitute AXIAL stress  (MPa)]]), (1+Tabella2[[#This Row],[Load ratio (AXIAL)]])*Tabella2[[#This Row],[Amplitute AXIAL stress  (MPa)]]/(1-Tabella2[[#This Row],[Load ratio (AXIAL)]]), "Null")</f>
        <v>73.333333333333329</v>
      </c>
      <c r="V174" s="1">
        <v>60</v>
      </c>
      <c r="W174" s="7">
        <f>IF(ISNUMBER(Tabella2[[#This Row],[Amplitute SHEAR stress  (MPa)]]), (1+Tabella2[[#This Row],[Load ratio (TORSIONAL)]])*Tabella2[[#This Row],[Amplitute SHEAR stress  (MPa)]]/(1-Tabella2[[#This Row],[Load ratio (TORSIONAL)]]), "Null")</f>
        <v>73.333333333333329</v>
      </c>
      <c r="X174" s="7">
        <v>60</v>
      </c>
      <c r="Y174" s="7" t="str">
        <f>Tabella2[[#This Row],[Mean RADIAL stress  (MPa)]]</f>
        <v>Null</v>
      </c>
      <c r="Z174" s="7" t="str">
        <f>Tabella2[[#This Row],[Amplitute RADIAL stress  (MPa)]]</f>
        <v>Null</v>
      </c>
      <c r="AA17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4" s="8">
        <f>IF( AND(ISNUMBER(Tabella2[[#This Row],[Mean AXIAL stress  (MPa)]]), ISNUMBER(Tabella2[[#This Row],[Area (mm^2)]])), Tabella2[[#This Row],[Mean AXIAL stress  (MPa)]]*Tabella2[[#This Row],[Area (mm^2)]], "Null")</f>
        <v>11288.789601899321</v>
      </c>
      <c r="AC174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174" s="8">
        <f>IF( AND(ISNUMBER(Tabella2[[#This Row],[Amplitude AXIAL force (N)]]), ISNUMBER(Tabella2[[#This Row],[Mean AXIAL force (N)]])), Tabella2[[#This Row],[Amplitude AXIAL force (N)]]+Tabella2[[#This Row],[Mean AXIAL force (N)]],"Null")</f>
        <v>20525.072003453315</v>
      </c>
      <c r="AE17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39510.763606647626</v>
      </c>
      <c r="AF17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32326.988405438973</v>
      </c>
      <c r="AG174" s="1">
        <f>IF(
   AND(ISNUMBER(Tabella2[[#This Row],[Mean TORQUE (Nmm)]]), ISNUMBER(Tabella2[[#This Row],[Amplitude TORQUE (Nmm)]])),
   Tabella2[[#This Row],[Mean TORQUE (Nmm)]]+Tabella2[[#This Row],[Amplitude TORQUE (Nmm)]],
   "Null"
)</f>
        <v>71837.752012086596</v>
      </c>
      <c r="AH17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17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75" spans="1:35" x14ac:dyDescent="0.25">
      <c r="A175" s="1" t="s">
        <v>52</v>
      </c>
      <c r="B175" s="1">
        <v>2025</v>
      </c>
      <c r="C175" s="1" t="s">
        <v>51</v>
      </c>
      <c r="D175" s="1" t="s">
        <v>231</v>
      </c>
      <c r="E175" s="1">
        <v>3781937</v>
      </c>
      <c r="F175" s="1" t="s">
        <v>34</v>
      </c>
      <c r="G175" s="1" t="s">
        <v>43</v>
      </c>
      <c r="H175" s="1" t="e" vm="6">
        <v>#VALUE!</v>
      </c>
      <c r="I175" s="1" t="s">
        <v>45</v>
      </c>
      <c r="J175" s="1" t="s">
        <v>47</v>
      </c>
      <c r="K175" s="1">
        <v>14</v>
      </c>
      <c r="L175" s="8">
        <f>PI()*(Tabella2[[#This Row],[Diameter (mm)]]/2)^2</f>
        <v>153.93804002589985</v>
      </c>
      <c r="M175" s="8">
        <f>(PI()*Tabella2[[#This Row],[Diameter (mm)]]^4)/32</f>
        <v>3771.4819806345467</v>
      </c>
      <c r="N175" s="1" t="s">
        <v>35</v>
      </c>
      <c r="O175" s="1">
        <v>90</v>
      </c>
      <c r="P175" s="1" t="s">
        <v>35</v>
      </c>
      <c r="Q175" s="1">
        <v>0.1</v>
      </c>
      <c r="R175" s="1">
        <v>0.1</v>
      </c>
      <c r="S17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5" s="1" t="s">
        <v>35</v>
      </c>
      <c r="U175" s="1">
        <f>IF(ISNUMBER(Tabella2[[#This Row],[Amplitute AXIAL stress  (MPa)]]), (1+Tabella2[[#This Row],[Load ratio (AXIAL)]])*Tabella2[[#This Row],[Amplitute AXIAL stress  (MPa)]]/(1-Tabella2[[#This Row],[Load ratio (AXIAL)]]), "Null")</f>
        <v>73.333333333333329</v>
      </c>
      <c r="V175" s="1">
        <v>60</v>
      </c>
      <c r="W175" s="7">
        <f>IF(ISNUMBER(Tabella2[[#This Row],[Amplitute SHEAR stress  (MPa)]]), (1+Tabella2[[#This Row],[Load ratio (TORSIONAL)]])*Tabella2[[#This Row],[Amplitute SHEAR stress  (MPa)]]/(1-Tabella2[[#This Row],[Load ratio (TORSIONAL)]]), "Null")</f>
        <v>73.333333333333329</v>
      </c>
      <c r="X175" s="7">
        <v>60</v>
      </c>
      <c r="Y175" s="7" t="str">
        <f>Tabella2[[#This Row],[Mean RADIAL stress  (MPa)]]</f>
        <v>Null</v>
      </c>
      <c r="Z175" s="7" t="str">
        <f>Tabella2[[#This Row],[Amplitute RADIAL stress  (MPa)]]</f>
        <v>Null</v>
      </c>
      <c r="AA17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5" s="8">
        <f>IF( AND(ISNUMBER(Tabella2[[#This Row],[Mean AXIAL stress  (MPa)]]), ISNUMBER(Tabella2[[#This Row],[Area (mm^2)]])), Tabella2[[#This Row],[Mean AXIAL stress  (MPa)]]*Tabella2[[#This Row],[Area (mm^2)]], "Null")</f>
        <v>11288.789601899321</v>
      </c>
      <c r="AC175" s="8">
        <f>IF( AND(ISNUMBER(Tabella2[[#This Row],[Amplitute AXIAL stress  (MPa)]]), ISNUMBER(Tabella2[[#This Row],[Area (mm^2)]])), Tabella2[[#This Row],[Amplitute AXIAL stress  (MPa)]]*Tabella2[[#This Row],[Area (mm^2)]],"Null")</f>
        <v>9236.2824015539918</v>
      </c>
      <c r="AD175" s="8">
        <f>IF( AND(ISNUMBER(Tabella2[[#This Row],[Amplitude AXIAL force (N)]]), ISNUMBER(Tabella2[[#This Row],[Mean AXIAL force (N)]])), Tabella2[[#This Row],[Amplitude AXIAL force (N)]]+Tabella2[[#This Row],[Mean AXIAL force (N)]],"Null")</f>
        <v>20525.072003453315</v>
      </c>
      <c r="AE17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39510.763606647626</v>
      </c>
      <c r="AF17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32326.988405438973</v>
      </c>
      <c r="AG175" s="1">
        <f>IF(
   AND(ISNUMBER(Tabella2[[#This Row],[Mean TORQUE (Nmm)]]), ISNUMBER(Tabella2[[#This Row],[Amplitude TORQUE (Nmm)]])),
   Tabella2[[#This Row],[Mean TORQUE (Nmm)]]+Tabella2[[#This Row],[Amplitude TORQUE (Nmm)]],
   "Null"
)</f>
        <v>71837.752012086596</v>
      </c>
      <c r="AH17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  <c r="AI17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76" spans="1:35" x14ac:dyDescent="0.25">
      <c r="A176" s="1" t="s">
        <v>52</v>
      </c>
      <c r="B176" s="1">
        <v>2025</v>
      </c>
      <c r="C176" s="1" t="s">
        <v>51</v>
      </c>
      <c r="D176" s="1" t="s">
        <v>232</v>
      </c>
      <c r="E176" s="1">
        <v>191000</v>
      </c>
      <c r="F176" s="1" t="s">
        <v>34</v>
      </c>
      <c r="G176" s="1" t="s">
        <v>43</v>
      </c>
      <c r="H176" s="1" t="e" vm="6">
        <v>#VALUE!</v>
      </c>
      <c r="I176" s="1" t="s">
        <v>45</v>
      </c>
      <c r="J176" s="1" t="s">
        <v>47</v>
      </c>
      <c r="K176" s="1">
        <v>14</v>
      </c>
      <c r="L176" s="8">
        <f>PI()*(Tabella2[[#This Row],[Diameter (mm)]]/2)^2</f>
        <v>153.93804002589985</v>
      </c>
      <c r="M176" s="8">
        <f>(PI()*Tabella2[[#This Row],[Diameter (mm)]]^4)/32</f>
        <v>3771.4819806345467</v>
      </c>
      <c r="N176" s="1" t="s">
        <v>35</v>
      </c>
      <c r="O176" s="1">
        <v>90</v>
      </c>
      <c r="P176" s="1" t="s">
        <v>35</v>
      </c>
      <c r="Q176" s="1">
        <v>0.1</v>
      </c>
      <c r="R176" s="1">
        <v>0.1</v>
      </c>
      <c r="S17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6" s="1" t="s">
        <v>35</v>
      </c>
      <c r="U176" s="1">
        <f>IF(ISNUMBER(Tabella2[[#This Row],[Amplitute AXIAL stress  (MPa)]]), (1+Tabella2[[#This Row],[Load ratio (AXIAL)]])*Tabella2[[#This Row],[Amplitute AXIAL stress  (MPa)]]/(1-Tabella2[[#This Row],[Load ratio (AXIAL)]]), "Null")</f>
        <v>85.555555555555557</v>
      </c>
      <c r="V176" s="1">
        <v>70</v>
      </c>
      <c r="W176" s="7">
        <f>IF(ISNUMBER(Tabella2[[#This Row],[Amplitute SHEAR stress  (MPa)]]), (1+Tabella2[[#This Row],[Load ratio (TORSIONAL)]])*Tabella2[[#This Row],[Amplitute SHEAR stress  (MPa)]]/(1-Tabella2[[#This Row],[Load ratio (TORSIONAL)]]), "Null")</f>
        <v>85.555555555555557</v>
      </c>
      <c r="X176" s="7">
        <v>70</v>
      </c>
      <c r="Y176" s="7" t="str">
        <f>Tabella2[[#This Row],[Mean RADIAL stress  (MPa)]]</f>
        <v>Null</v>
      </c>
      <c r="Z176" s="7" t="str">
        <f>Tabella2[[#This Row],[Amplitute RADIAL stress  (MPa)]]</f>
        <v>Null</v>
      </c>
      <c r="AA17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6" s="8">
        <f>IF( AND(ISNUMBER(Tabella2[[#This Row],[Mean AXIAL stress  (MPa)]]), ISNUMBER(Tabella2[[#This Row],[Area (mm^2)]])), Tabella2[[#This Row],[Mean AXIAL stress  (MPa)]]*Tabella2[[#This Row],[Area (mm^2)]], "Null")</f>
        <v>13170.254535549209</v>
      </c>
      <c r="AC176" s="8">
        <f>IF( AND(ISNUMBER(Tabella2[[#This Row],[Amplitute AXIAL stress  (MPa)]]), ISNUMBER(Tabella2[[#This Row],[Area (mm^2)]])), Tabella2[[#This Row],[Amplitute AXIAL stress  (MPa)]]*Tabella2[[#This Row],[Area (mm^2)]],"Null")</f>
        <v>10775.66280181299</v>
      </c>
      <c r="AD176" s="8">
        <f>IF( AND(ISNUMBER(Tabella2[[#This Row],[Amplitude AXIAL force (N)]]), ISNUMBER(Tabella2[[#This Row],[Mean AXIAL force (N)]])), Tabella2[[#This Row],[Amplitude AXIAL force (N)]]+Tabella2[[#This Row],[Mean AXIAL force (N)]],"Null")</f>
        <v>23945.9173373622</v>
      </c>
      <c r="AE17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46095.890874422235</v>
      </c>
      <c r="AF17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37714.819806345462</v>
      </c>
      <c r="AG176" s="1">
        <f>IF(
   AND(ISNUMBER(Tabella2[[#This Row],[Mean TORQUE (Nmm)]]), ISNUMBER(Tabella2[[#This Row],[Amplitude TORQUE (Nmm)]])),
   Tabella2[[#This Row],[Mean TORQUE (Nmm)]]+Tabella2[[#This Row],[Amplitude TORQUE (Nmm)]],
   "Null"
)</f>
        <v>83810.71068076769</v>
      </c>
      <c r="AH17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  <c r="AI17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77" spans="1:35" x14ac:dyDescent="0.25">
      <c r="A177" s="1" t="s">
        <v>52</v>
      </c>
      <c r="B177" s="1">
        <v>2025</v>
      </c>
      <c r="C177" s="1" t="s">
        <v>51</v>
      </c>
      <c r="D177" s="1" t="s">
        <v>233</v>
      </c>
      <c r="E177" s="1">
        <v>59200</v>
      </c>
      <c r="F177" s="1" t="s">
        <v>34</v>
      </c>
      <c r="G177" s="1" t="s">
        <v>43</v>
      </c>
      <c r="H177" s="1" t="e" vm="6">
        <v>#VALUE!</v>
      </c>
      <c r="I177" s="1" t="s">
        <v>45</v>
      </c>
      <c r="J177" s="1" t="s">
        <v>47</v>
      </c>
      <c r="K177" s="1">
        <v>14</v>
      </c>
      <c r="L177" s="8">
        <f>PI()*(Tabella2[[#This Row],[Diameter (mm)]]/2)^2</f>
        <v>153.93804002589985</v>
      </c>
      <c r="M177" s="8">
        <f>(PI()*Tabella2[[#This Row],[Diameter (mm)]]^4)/32</f>
        <v>3771.4819806345467</v>
      </c>
      <c r="N177" s="1" t="s">
        <v>35</v>
      </c>
      <c r="O177" s="1">
        <v>90</v>
      </c>
      <c r="P177" s="1" t="s">
        <v>35</v>
      </c>
      <c r="Q177" s="1">
        <v>0.1</v>
      </c>
      <c r="R177" s="1">
        <v>0.1</v>
      </c>
      <c r="S17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7" s="1" t="s">
        <v>35</v>
      </c>
      <c r="U177" s="1">
        <f>IF(ISNUMBER(Tabella2[[#This Row],[Amplitute AXIAL stress  (MPa)]]), (1+Tabella2[[#This Row],[Load ratio (AXIAL)]])*Tabella2[[#This Row],[Amplitute AXIAL stress  (MPa)]]/(1-Tabella2[[#This Row],[Load ratio (AXIAL)]]), "Null")</f>
        <v>97.777777777777771</v>
      </c>
      <c r="V177" s="1">
        <v>80</v>
      </c>
      <c r="W177" s="7">
        <f>IF(ISNUMBER(Tabella2[[#This Row],[Amplitute SHEAR stress  (MPa)]]), (1+Tabella2[[#This Row],[Load ratio (TORSIONAL)]])*Tabella2[[#This Row],[Amplitute SHEAR stress  (MPa)]]/(1-Tabella2[[#This Row],[Load ratio (TORSIONAL)]]), "Null")</f>
        <v>97.777777777777771</v>
      </c>
      <c r="X177" s="7">
        <v>80</v>
      </c>
      <c r="Y177" s="7" t="str">
        <f>Tabella2[[#This Row],[Mean RADIAL stress  (MPa)]]</f>
        <v>Null</v>
      </c>
      <c r="Z177" s="7" t="str">
        <f>Tabella2[[#This Row],[Amplitute RADIAL stress  (MPa)]]</f>
        <v>Null</v>
      </c>
      <c r="AA17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7" s="8">
        <f>IF( AND(ISNUMBER(Tabella2[[#This Row],[Mean AXIAL stress  (MPa)]]), ISNUMBER(Tabella2[[#This Row],[Area (mm^2)]])), Tabella2[[#This Row],[Mean AXIAL stress  (MPa)]]*Tabella2[[#This Row],[Area (mm^2)]], "Null")</f>
        <v>15051.719469199095</v>
      </c>
      <c r="AC177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177" s="8">
        <f>IF( AND(ISNUMBER(Tabella2[[#This Row],[Amplitude AXIAL force (N)]]), ISNUMBER(Tabella2[[#This Row],[Mean AXIAL force (N)]])), Tabella2[[#This Row],[Amplitude AXIAL force (N)]]+Tabella2[[#This Row],[Mean AXIAL force (N)]],"Null")</f>
        <v>27366.762671271084</v>
      </c>
      <c r="AE17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52681.018142196837</v>
      </c>
      <c r="AF17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43102.651207251962</v>
      </c>
      <c r="AG177" s="1">
        <f>IF(
   AND(ISNUMBER(Tabella2[[#This Row],[Mean TORQUE (Nmm)]]), ISNUMBER(Tabella2[[#This Row],[Amplitude TORQUE (Nmm)]])),
   Tabella2[[#This Row],[Mean TORQUE (Nmm)]]+Tabella2[[#This Row],[Amplitude TORQUE (Nmm)]],
   "Null"
)</f>
        <v>95783.669349448799</v>
      </c>
      <c r="AH17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  <c r="AI17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</row>
    <row r="178" spans="1:35" x14ac:dyDescent="0.25">
      <c r="A178" s="1" t="s">
        <v>52</v>
      </c>
      <c r="B178" s="1">
        <v>2025</v>
      </c>
      <c r="C178" s="1" t="s">
        <v>51</v>
      </c>
      <c r="D178" s="1" t="s">
        <v>234</v>
      </c>
      <c r="E178" s="1">
        <v>2692413</v>
      </c>
      <c r="F178" s="1" t="s">
        <v>34</v>
      </c>
      <c r="G178" s="1" t="s">
        <v>43</v>
      </c>
      <c r="H178" s="1" t="e" vm="4">
        <v>#VALUE!</v>
      </c>
      <c r="I178" s="1" t="s">
        <v>45</v>
      </c>
      <c r="J178" s="1" t="s">
        <v>70</v>
      </c>
      <c r="K178" s="1">
        <v>22.5</v>
      </c>
      <c r="L178" s="8">
        <f>PI()*(Tabella2[[#This Row],[Diameter (mm)]]/2)^2</f>
        <v>397.60782021995817</v>
      </c>
      <c r="M178" s="8">
        <f>(PI()*Tabella2[[#This Row],[Diameter (mm)]]^4)/32</f>
        <v>25161.119873294228</v>
      </c>
      <c r="N178" s="1" t="s">
        <v>35</v>
      </c>
      <c r="O178" s="1">
        <v>45</v>
      </c>
      <c r="P178" s="1" t="s">
        <v>35</v>
      </c>
      <c r="Q178" s="1">
        <v>0.1</v>
      </c>
      <c r="R178" s="1">
        <v>0.1</v>
      </c>
      <c r="S17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8" s="1" t="s">
        <v>35</v>
      </c>
      <c r="U178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178" s="1">
        <v>25</v>
      </c>
      <c r="W178" s="7">
        <f>IF(ISNUMBER(Tabella2[[#This Row],[Amplitute SHEAR stress  (MPa)]]), (1+Tabella2[[#This Row],[Load ratio (TORSIONAL)]])*Tabella2[[#This Row],[Amplitute SHEAR stress  (MPa)]]/(1-Tabella2[[#This Row],[Load ratio (TORSIONAL)]]), "Null")</f>
        <v>17.641258225238566</v>
      </c>
      <c r="X178" s="7">
        <v>14.433756729740645</v>
      </c>
      <c r="Y178" s="7" t="str">
        <f>Tabella2[[#This Row],[Mean RADIAL stress  (MPa)]]</f>
        <v>Null</v>
      </c>
      <c r="Z178" s="7" t="str">
        <f>Tabella2[[#This Row],[Amplitute RADIAL stress  (MPa)]]</f>
        <v>Null</v>
      </c>
      <c r="AA17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8" s="8">
        <f>IF( AND(ISNUMBER(Tabella2[[#This Row],[Mean AXIAL stress  (MPa)]]), ISNUMBER(Tabella2[[#This Row],[Area (mm^2)]])), Tabella2[[#This Row],[Mean AXIAL stress  (MPa)]]*Tabella2[[#This Row],[Area (mm^2)]], "Null")</f>
        <v>12149.127840054278</v>
      </c>
      <c r="AC178" s="8">
        <f>IF( AND(ISNUMBER(Tabella2[[#This Row],[Amplitute AXIAL stress  (MPa)]]), ISNUMBER(Tabella2[[#This Row],[Area (mm^2)]])), Tabella2[[#This Row],[Amplitute AXIAL stress  (MPa)]]*Tabella2[[#This Row],[Area (mm^2)]],"Null")</f>
        <v>9940.1955054989539</v>
      </c>
      <c r="AD178" s="8">
        <f>IF( AND(ISNUMBER(Tabella2[[#This Row],[Amplitude AXIAL force (N)]]), ISNUMBER(Tabella2[[#This Row],[Mean AXIAL force (N)]])), Tabella2[[#This Row],[Amplitude AXIAL force (N)]]+Tabella2[[#This Row],[Mean AXIAL force (N)]],"Null")</f>
        <v>22089.323345553232</v>
      </c>
      <c r="AE17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39455.450037419141</v>
      </c>
      <c r="AF17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32281.731848797481</v>
      </c>
      <c r="AG178" s="1">
        <f>IF(
   AND(ISNUMBER(Tabella2[[#This Row],[Mean TORQUE (Nmm)]]), ISNUMBER(Tabella2[[#This Row],[Amplitude TORQUE (Nmm)]])),
   Tabella2[[#This Row],[Mean TORQUE (Nmm)]]+Tabella2[[#This Row],[Amplitude TORQUE (Nmm)]],
   "Null"
)</f>
        <v>71737.181886216626</v>
      </c>
      <c r="AH17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35.355339059327378</v>
      </c>
      <c r="AI17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79" spans="1:35" x14ac:dyDescent="0.25">
      <c r="A179" s="1" t="s">
        <v>52</v>
      </c>
      <c r="B179" s="1">
        <v>2025</v>
      </c>
      <c r="C179" s="1" t="s">
        <v>51</v>
      </c>
      <c r="D179" s="1" t="s">
        <v>235</v>
      </c>
      <c r="E179" s="1">
        <v>2000000</v>
      </c>
      <c r="F179" s="1" t="s">
        <v>70</v>
      </c>
      <c r="G179" s="1" t="s">
        <v>43</v>
      </c>
      <c r="H179" s="1" t="e" vm="4">
        <v>#VALUE!</v>
      </c>
      <c r="I179" s="1" t="s">
        <v>45</v>
      </c>
      <c r="J179" s="1" t="s">
        <v>70</v>
      </c>
      <c r="K179" s="1">
        <v>22.5</v>
      </c>
      <c r="L179" s="8">
        <f>PI()*(Tabella2[[#This Row],[Diameter (mm)]]/2)^2</f>
        <v>397.60782021995817</v>
      </c>
      <c r="M179" s="8">
        <f>(PI()*Tabella2[[#This Row],[Diameter (mm)]]^4)/32</f>
        <v>25161.119873294228</v>
      </c>
      <c r="N179" s="1" t="s">
        <v>35</v>
      </c>
      <c r="O179" s="1">
        <v>45</v>
      </c>
      <c r="P179" s="1" t="s">
        <v>35</v>
      </c>
      <c r="Q179" s="1">
        <v>0.1</v>
      </c>
      <c r="R179" s="1">
        <v>0.1</v>
      </c>
      <c r="S17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9" s="1" t="s">
        <v>35</v>
      </c>
      <c r="U179" s="1">
        <f>IF(ISNUMBER(Tabella2[[#This Row],[Amplitute AXIAL stress  (MPa)]]), (1+Tabella2[[#This Row],[Load ratio (AXIAL)]])*Tabella2[[#This Row],[Amplitute AXIAL stress  (MPa)]]/(1-Tabella2[[#This Row],[Load ratio (AXIAL)]]), "Null")</f>
        <v>42.777777777777779</v>
      </c>
      <c r="V179" s="1">
        <v>35</v>
      </c>
      <c r="W179" s="7">
        <f>IF(ISNUMBER(Tabella2[[#This Row],[Amplitute SHEAR stress  (MPa)]]), (1+Tabella2[[#This Row],[Load ratio (TORSIONAL)]])*Tabella2[[#This Row],[Amplitute SHEAR stress  (MPa)]]/(1-Tabella2[[#This Row],[Load ratio (TORSIONAL)]]), "Null")</f>
        <v>24.697761515333998</v>
      </c>
      <c r="X179" s="7">
        <v>20.207259421636905</v>
      </c>
      <c r="Y179" s="7" t="str">
        <f>Tabella2[[#This Row],[Mean RADIAL stress  (MPa)]]</f>
        <v>Null</v>
      </c>
      <c r="Z179" s="7" t="str">
        <f>Tabella2[[#This Row],[Amplitute RADIAL stress  (MPa)]]</f>
        <v>Null</v>
      </c>
      <c r="AA17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9" s="8">
        <f>IF( AND(ISNUMBER(Tabella2[[#This Row],[Mean AXIAL stress  (MPa)]]), ISNUMBER(Tabella2[[#This Row],[Area (mm^2)]])), Tabella2[[#This Row],[Mean AXIAL stress  (MPa)]]*Tabella2[[#This Row],[Area (mm^2)]], "Null")</f>
        <v>17008.778976075988</v>
      </c>
      <c r="AC179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79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7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55237.630052386812</v>
      </c>
      <c r="AF17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79" s="1">
        <f>IF(
   AND(ISNUMBER(Tabella2[[#This Row],[Mean TORQUE (Nmm)]]), ISNUMBER(Tabella2[[#This Row],[Amplitude TORQUE (Nmm)]])),
   Tabella2[[#This Row],[Mean TORQUE (Nmm)]]+Tabella2[[#This Row],[Amplitude TORQUE (Nmm)]],
   "Null"
)</f>
        <v>100432.05464070328</v>
      </c>
      <c r="AH17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7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0" spans="1:35" x14ac:dyDescent="0.25">
      <c r="A180" s="1" t="s">
        <v>52</v>
      </c>
      <c r="B180" s="1">
        <v>2025</v>
      </c>
      <c r="C180" s="1" t="s">
        <v>51</v>
      </c>
      <c r="D180" s="1" t="s">
        <v>236</v>
      </c>
      <c r="E180" s="1">
        <v>495182</v>
      </c>
      <c r="F180" s="1" t="s">
        <v>34</v>
      </c>
      <c r="G180" s="1" t="s">
        <v>43</v>
      </c>
      <c r="H180" s="1" t="e" vm="4">
        <v>#VALUE!</v>
      </c>
      <c r="I180" s="1" t="s">
        <v>45</v>
      </c>
      <c r="J180" s="1" t="s">
        <v>70</v>
      </c>
      <c r="K180" s="1">
        <v>22.5</v>
      </c>
      <c r="L180" s="8">
        <f>PI()*(Tabella2[[#This Row],[Diameter (mm)]]/2)^2</f>
        <v>397.60782021995817</v>
      </c>
      <c r="M180" s="8">
        <f>(PI()*Tabella2[[#This Row],[Diameter (mm)]]^4)/32</f>
        <v>25161.119873294228</v>
      </c>
      <c r="N180" s="1" t="s">
        <v>35</v>
      </c>
      <c r="O180" s="1">
        <v>45</v>
      </c>
      <c r="P180" s="1" t="s">
        <v>35</v>
      </c>
      <c r="Q180" s="1">
        <v>0.1</v>
      </c>
      <c r="R180" s="1">
        <v>0.1</v>
      </c>
      <c r="S18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0" s="1" t="s">
        <v>35</v>
      </c>
      <c r="U180" s="1">
        <f>IF(ISNUMBER(Tabella2[[#This Row],[Amplitute AXIAL stress  (MPa)]]), (1+Tabella2[[#This Row],[Load ratio (AXIAL)]])*Tabella2[[#This Row],[Amplitute AXIAL stress  (MPa)]]/(1-Tabella2[[#This Row],[Load ratio (AXIAL)]]), "Null")</f>
        <v>42.777777777777779</v>
      </c>
      <c r="V180" s="1">
        <v>35</v>
      </c>
      <c r="W180" s="7">
        <f>IF(ISNUMBER(Tabella2[[#This Row],[Amplitute SHEAR stress  (MPa)]]), (1+Tabella2[[#This Row],[Load ratio (TORSIONAL)]])*Tabella2[[#This Row],[Amplitute SHEAR stress  (MPa)]]/(1-Tabella2[[#This Row],[Load ratio (TORSIONAL)]]), "Null")</f>
        <v>24.697761515333998</v>
      </c>
      <c r="X180" s="7">
        <v>20.207259421636905</v>
      </c>
      <c r="Y180" s="7" t="str">
        <f>Tabella2[[#This Row],[Mean RADIAL stress  (MPa)]]</f>
        <v>Null</v>
      </c>
      <c r="Z180" s="7" t="str">
        <f>Tabella2[[#This Row],[Amplitute RADIAL stress  (MPa)]]</f>
        <v>Null</v>
      </c>
      <c r="AA18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0" s="8">
        <f>IF( AND(ISNUMBER(Tabella2[[#This Row],[Mean AXIAL stress  (MPa)]]), ISNUMBER(Tabella2[[#This Row],[Area (mm^2)]])), Tabella2[[#This Row],[Mean AXIAL stress  (MPa)]]*Tabella2[[#This Row],[Area (mm^2)]], "Null")</f>
        <v>17008.778976075988</v>
      </c>
      <c r="AC180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80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8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55237.630052386812</v>
      </c>
      <c r="AF18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80" s="1">
        <f>IF(
   AND(ISNUMBER(Tabella2[[#This Row],[Mean TORQUE (Nmm)]]), ISNUMBER(Tabella2[[#This Row],[Amplitude TORQUE (Nmm)]])),
   Tabella2[[#This Row],[Mean TORQUE (Nmm)]]+Tabella2[[#This Row],[Amplitude TORQUE (Nmm)]],
   "Null"
)</f>
        <v>100432.05464070328</v>
      </c>
      <c r="AH18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8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1" spans="1:35" x14ac:dyDescent="0.25">
      <c r="A181" s="1" t="s">
        <v>52</v>
      </c>
      <c r="B181" s="1">
        <v>2025</v>
      </c>
      <c r="C181" s="1" t="s">
        <v>51</v>
      </c>
      <c r="D181" s="1" t="s">
        <v>237</v>
      </c>
      <c r="E181" s="1">
        <v>85876</v>
      </c>
      <c r="F181" s="1" t="s">
        <v>34</v>
      </c>
      <c r="G181" s="1" t="s">
        <v>43</v>
      </c>
      <c r="H181" s="1" t="e" vm="4">
        <v>#VALUE!</v>
      </c>
      <c r="I181" s="1" t="s">
        <v>45</v>
      </c>
      <c r="J181" s="1" t="s">
        <v>70</v>
      </c>
      <c r="K181" s="1">
        <v>22.5</v>
      </c>
      <c r="L181" s="8">
        <f>PI()*(Tabella2[[#This Row],[Diameter (mm)]]/2)^2</f>
        <v>397.60782021995817</v>
      </c>
      <c r="M181" s="8">
        <f>(PI()*Tabella2[[#This Row],[Diameter (mm)]]^4)/32</f>
        <v>25161.119873294228</v>
      </c>
      <c r="N181" s="1" t="s">
        <v>35</v>
      </c>
      <c r="O181" s="1">
        <v>45</v>
      </c>
      <c r="P181" s="1" t="s">
        <v>35</v>
      </c>
      <c r="Q181" s="1">
        <v>0.1</v>
      </c>
      <c r="R181" s="1">
        <v>0.1</v>
      </c>
      <c r="S18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1" s="1" t="s">
        <v>35</v>
      </c>
      <c r="U181" s="1">
        <f>IF(ISNUMBER(Tabella2[[#This Row],[Amplitute AXIAL stress  (MPa)]]), (1+Tabella2[[#This Row],[Load ratio (AXIAL)]])*Tabella2[[#This Row],[Amplitute AXIAL stress  (MPa)]]/(1-Tabella2[[#This Row],[Load ratio (AXIAL)]]), "Null")</f>
        <v>55.000000000000007</v>
      </c>
      <c r="V181" s="1">
        <v>45</v>
      </c>
      <c r="W181" s="7">
        <f>IF(ISNUMBER(Tabella2[[#This Row],[Amplitute SHEAR stress  (MPa)]]), (1+Tabella2[[#This Row],[Load ratio (TORSIONAL)]])*Tabella2[[#This Row],[Amplitute SHEAR stress  (MPa)]]/(1-Tabella2[[#This Row],[Load ratio (TORSIONAL)]]), "Null")</f>
        <v>31.754264805429425</v>
      </c>
      <c r="X181" s="7">
        <v>25.980762113533164</v>
      </c>
      <c r="Y181" s="7" t="str">
        <f>Tabella2[[#This Row],[Mean RADIAL stress  (MPa)]]</f>
        <v>Null</v>
      </c>
      <c r="Z181" s="7" t="str">
        <f>Tabella2[[#This Row],[Amplitute RADIAL stress  (MPa)]]</f>
        <v>Null</v>
      </c>
      <c r="AA18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1" s="8">
        <f>IF( AND(ISNUMBER(Tabella2[[#This Row],[Mean AXIAL stress  (MPa)]]), ISNUMBER(Tabella2[[#This Row],[Area (mm^2)]])), Tabella2[[#This Row],[Mean AXIAL stress  (MPa)]]*Tabella2[[#This Row],[Area (mm^2)]], "Null")</f>
        <v>21868.430112097703</v>
      </c>
      <c r="AC181" s="8">
        <f>IF( AND(ISNUMBER(Tabella2[[#This Row],[Amplitute AXIAL stress  (MPa)]]), ISNUMBER(Tabella2[[#This Row],[Area (mm^2)]])), Tabella2[[#This Row],[Amplitute AXIAL stress  (MPa)]]*Tabella2[[#This Row],[Area (mm^2)]],"Null")</f>
        <v>17892.351909898116</v>
      </c>
      <c r="AD181" s="8">
        <f>IF( AND(ISNUMBER(Tabella2[[#This Row],[Amplitude AXIAL force (N)]]), ISNUMBER(Tabella2[[#This Row],[Mean AXIAL force (N)]])), Tabella2[[#This Row],[Amplitude AXIAL force (N)]]+Tabella2[[#This Row],[Mean AXIAL force (N)]],"Null")</f>
        <v>39760.782021995823</v>
      </c>
      <c r="AE18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71019.810067354469</v>
      </c>
      <c r="AF18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58107.117327835476</v>
      </c>
      <c r="AG181" s="1">
        <f>IF(
   AND(ISNUMBER(Tabella2[[#This Row],[Mean TORQUE (Nmm)]]), ISNUMBER(Tabella2[[#This Row],[Amplitude TORQUE (Nmm)]])),
   Tabella2[[#This Row],[Mean TORQUE (Nmm)]]+Tabella2[[#This Row],[Amplitude TORQUE (Nmm)]],
   "Null"
)</f>
        <v>129126.92739518994</v>
      </c>
      <c r="AH18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63.639610306789287</v>
      </c>
      <c r="AI18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2" spans="1:35" x14ac:dyDescent="0.25">
      <c r="A182" s="1" t="s">
        <v>52</v>
      </c>
      <c r="B182" s="1">
        <v>2025</v>
      </c>
      <c r="C182" s="1" t="s">
        <v>51</v>
      </c>
      <c r="D182" s="1" t="s">
        <v>238</v>
      </c>
      <c r="E182" s="1">
        <v>2593469</v>
      </c>
      <c r="F182" s="1" t="s">
        <v>34</v>
      </c>
      <c r="G182" s="1" t="s">
        <v>43</v>
      </c>
      <c r="H182" s="1" t="e" vm="4">
        <v>#VALUE!</v>
      </c>
      <c r="I182" s="1" t="s">
        <v>45</v>
      </c>
      <c r="J182" s="1" t="s">
        <v>70</v>
      </c>
      <c r="K182" s="1">
        <v>22.5</v>
      </c>
      <c r="L182" s="8">
        <f>PI()*(Tabella2[[#This Row],[Diameter (mm)]]/2)^2</f>
        <v>397.60782021995817</v>
      </c>
      <c r="M182" s="8">
        <f>(PI()*Tabella2[[#This Row],[Diameter (mm)]]^4)/32</f>
        <v>25161.119873294228</v>
      </c>
      <c r="N182" s="1" t="s">
        <v>35</v>
      </c>
      <c r="O182" s="1">
        <v>45</v>
      </c>
      <c r="P182" s="1" t="s">
        <v>35</v>
      </c>
      <c r="Q182" s="1">
        <v>0.1</v>
      </c>
      <c r="R182" s="1">
        <v>0.1</v>
      </c>
      <c r="S18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2" s="1" t="s">
        <v>35</v>
      </c>
      <c r="U182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182" s="1">
        <v>25</v>
      </c>
      <c r="W182" s="7">
        <f>IF(ISNUMBER(Tabella2[[#This Row],[Amplitute SHEAR stress  (MPa)]]), (1+Tabella2[[#This Row],[Load ratio (TORSIONAL)]])*Tabella2[[#This Row],[Amplitute SHEAR stress  (MPa)]]/(1-Tabella2[[#This Row],[Load ratio (TORSIONAL)]]), "Null")</f>
        <v>17.641258225238566</v>
      </c>
      <c r="X182" s="7">
        <v>14.433756729740645</v>
      </c>
      <c r="Y182" s="7" t="str">
        <f>Tabella2[[#This Row],[Mean RADIAL stress  (MPa)]]</f>
        <v>Null</v>
      </c>
      <c r="Z182" s="7" t="str">
        <f>Tabella2[[#This Row],[Amplitute RADIAL stress  (MPa)]]</f>
        <v>Null</v>
      </c>
      <c r="AA18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2" s="8">
        <f>IF( AND(ISNUMBER(Tabella2[[#This Row],[Mean AXIAL stress  (MPa)]]), ISNUMBER(Tabella2[[#This Row],[Area (mm^2)]])), Tabella2[[#This Row],[Mean AXIAL stress  (MPa)]]*Tabella2[[#This Row],[Area (mm^2)]], "Null")</f>
        <v>12149.127840054278</v>
      </c>
      <c r="AC182" s="8">
        <f>IF( AND(ISNUMBER(Tabella2[[#This Row],[Amplitute AXIAL stress  (MPa)]]), ISNUMBER(Tabella2[[#This Row],[Area (mm^2)]])), Tabella2[[#This Row],[Amplitute AXIAL stress  (MPa)]]*Tabella2[[#This Row],[Area (mm^2)]],"Null")</f>
        <v>9940.1955054989539</v>
      </c>
      <c r="AD182" s="8">
        <f>IF( AND(ISNUMBER(Tabella2[[#This Row],[Amplitude AXIAL force (N)]]), ISNUMBER(Tabella2[[#This Row],[Mean AXIAL force (N)]])), Tabella2[[#This Row],[Amplitude AXIAL force (N)]]+Tabella2[[#This Row],[Mean AXIAL force (N)]],"Null")</f>
        <v>22089.323345553232</v>
      </c>
      <c r="AE18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39455.450037419141</v>
      </c>
      <c r="AF18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32281.731848797481</v>
      </c>
      <c r="AG182" s="1">
        <f>IF(
   AND(ISNUMBER(Tabella2[[#This Row],[Mean TORQUE (Nmm)]]), ISNUMBER(Tabella2[[#This Row],[Amplitude TORQUE (Nmm)]])),
   Tabella2[[#This Row],[Mean TORQUE (Nmm)]]+Tabella2[[#This Row],[Amplitude TORQUE (Nmm)]],
   "Null"
)</f>
        <v>71737.181886216626</v>
      </c>
      <c r="AH18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35.355339059327378</v>
      </c>
      <c r="AI18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3" spans="1:35" x14ac:dyDescent="0.25">
      <c r="A183" s="1" t="s">
        <v>52</v>
      </c>
      <c r="B183" s="1">
        <v>2025</v>
      </c>
      <c r="C183" s="1" t="s">
        <v>51</v>
      </c>
      <c r="D183" s="1" t="s">
        <v>239</v>
      </c>
      <c r="E183" s="1">
        <v>2407000</v>
      </c>
      <c r="F183" s="1" t="s">
        <v>34</v>
      </c>
      <c r="G183" s="1" t="s">
        <v>43</v>
      </c>
      <c r="H183" s="1" t="e" vm="4">
        <v>#VALUE!</v>
      </c>
      <c r="I183" s="1" t="s">
        <v>45</v>
      </c>
      <c r="J183" s="1" t="s">
        <v>70</v>
      </c>
      <c r="K183" s="1">
        <v>22.5</v>
      </c>
      <c r="L183" s="8">
        <f>PI()*(Tabella2[[#This Row],[Diameter (mm)]]/2)^2</f>
        <v>397.60782021995817</v>
      </c>
      <c r="M183" s="8">
        <f>(PI()*Tabella2[[#This Row],[Diameter (mm)]]^4)/32</f>
        <v>25161.119873294228</v>
      </c>
      <c r="N183" s="1" t="s">
        <v>35</v>
      </c>
      <c r="O183" s="1">
        <v>90</v>
      </c>
      <c r="P183" s="1" t="s">
        <v>35</v>
      </c>
      <c r="Q183" s="1">
        <v>0.1</v>
      </c>
      <c r="R183" s="1">
        <v>0.1</v>
      </c>
      <c r="S18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3" s="1" t="s">
        <v>35</v>
      </c>
      <c r="U183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183" s="1">
        <v>25</v>
      </c>
      <c r="W183" s="7">
        <f>IF(ISNUMBER(Tabella2[[#This Row],[Amplitute SHEAR stress  (MPa)]]), (1+Tabella2[[#This Row],[Load ratio (TORSIONAL)]])*Tabella2[[#This Row],[Amplitute SHEAR stress  (MPa)]]/(1-Tabella2[[#This Row],[Load ratio (TORSIONAL)]]), "Null")</f>
        <v>17.641258225238566</v>
      </c>
      <c r="X183" s="7">
        <v>14.433756729740645</v>
      </c>
      <c r="Y183" s="7" t="str">
        <f>Tabella2[[#This Row],[Mean RADIAL stress  (MPa)]]</f>
        <v>Null</v>
      </c>
      <c r="Z183" s="7" t="str">
        <f>Tabella2[[#This Row],[Amplitute RADIAL stress  (MPa)]]</f>
        <v>Null</v>
      </c>
      <c r="AA18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3" s="8">
        <f>IF( AND(ISNUMBER(Tabella2[[#This Row],[Mean AXIAL stress  (MPa)]]), ISNUMBER(Tabella2[[#This Row],[Area (mm^2)]])), Tabella2[[#This Row],[Mean AXIAL stress  (MPa)]]*Tabella2[[#This Row],[Area (mm^2)]], "Null")</f>
        <v>12149.127840054278</v>
      </c>
      <c r="AC183" s="8">
        <f>IF( AND(ISNUMBER(Tabella2[[#This Row],[Amplitute AXIAL stress  (MPa)]]), ISNUMBER(Tabella2[[#This Row],[Area (mm^2)]])), Tabella2[[#This Row],[Amplitute AXIAL stress  (MPa)]]*Tabella2[[#This Row],[Area (mm^2)]],"Null")</f>
        <v>9940.1955054989539</v>
      </c>
      <c r="AD183" s="8">
        <f>IF( AND(ISNUMBER(Tabella2[[#This Row],[Amplitude AXIAL force (N)]]), ISNUMBER(Tabella2[[#This Row],[Mean AXIAL force (N)]])), Tabella2[[#This Row],[Amplitude AXIAL force (N)]]+Tabella2[[#This Row],[Mean AXIAL force (N)]],"Null")</f>
        <v>22089.323345553232</v>
      </c>
      <c r="AE18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39455.450037419141</v>
      </c>
      <c r="AF18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32281.731848797481</v>
      </c>
      <c r="AG183" s="1">
        <f>IF(
   AND(ISNUMBER(Tabella2[[#This Row],[Mean TORQUE (Nmm)]]), ISNUMBER(Tabella2[[#This Row],[Amplitude TORQUE (Nmm)]])),
   Tabella2[[#This Row],[Mean TORQUE (Nmm)]]+Tabella2[[#This Row],[Amplitude TORQUE (Nmm)]],
   "Null"
)</f>
        <v>71737.181886216626</v>
      </c>
      <c r="AH18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35.355339059327378</v>
      </c>
      <c r="AI18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4" spans="1:35" x14ac:dyDescent="0.25">
      <c r="A184" s="1" t="s">
        <v>52</v>
      </c>
      <c r="B184" s="1">
        <v>2025</v>
      </c>
      <c r="C184" s="1" t="s">
        <v>51</v>
      </c>
      <c r="D184" s="1" t="s">
        <v>240</v>
      </c>
      <c r="E184" s="1">
        <v>112292</v>
      </c>
      <c r="F184" s="1" t="s">
        <v>34</v>
      </c>
      <c r="G184" s="1" t="s">
        <v>43</v>
      </c>
      <c r="H184" s="1" t="e" vm="4">
        <v>#VALUE!</v>
      </c>
      <c r="I184" s="1" t="s">
        <v>45</v>
      </c>
      <c r="J184" s="1" t="s">
        <v>70</v>
      </c>
      <c r="K184" s="1">
        <v>22.5</v>
      </c>
      <c r="L184" s="8">
        <f>PI()*(Tabella2[[#This Row],[Diameter (mm)]]/2)^2</f>
        <v>397.60782021995817</v>
      </c>
      <c r="M184" s="8">
        <f>(PI()*Tabella2[[#This Row],[Diameter (mm)]]^4)/32</f>
        <v>25161.119873294228</v>
      </c>
      <c r="N184" s="1" t="s">
        <v>35</v>
      </c>
      <c r="O184" s="1">
        <v>90</v>
      </c>
      <c r="P184" s="1" t="s">
        <v>35</v>
      </c>
      <c r="Q184" s="1">
        <v>0.1</v>
      </c>
      <c r="R184" s="1">
        <v>0.1</v>
      </c>
      <c r="S18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4" s="1" t="s">
        <v>35</v>
      </c>
      <c r="U184" s="1">
        <f>IF(ISNUMBER(Tabella2[[#This Row],[Amplitute AXIAL stress  (MPa)]]), (1+Tabella2[[#This Row],[Load ratio (AXIAL)]])*Tabella2[[#This Row],[Amplitute AXIAL stress  (MPa)]]/(1-Tabella2[[#This Row],[Load ratio (AXIAL)]]), "Null")</f>
        <v>42.777777777777779</v>
      </c>
      <c r="V184" s="1">
        <v>35</v>
      </c>
      <c r="W184" s="7">
        <f>IF(ISNUMBER(Tabella2[[#This Row],[Amplitute SHEAR stress  (MPa)]]), (1+Tabella2[[#This Row],[Load ratio (TORSIONAL)]])*Tabella2[[#This Row],[Amplitute SHEAR stress  (MPa)]]/(1-Tabella2[[#This Row],[Load ratio (TORSIONAL)]]), "Null")</f>
        <v>24.697761515333998</v>
      </c>
      <c r="X184" s="7">
        <v>20.207259421636905</v>
      </c>
      <c r="Y184" s="7" t="str">
        <f>Tabella2[[#This Row],[Mean RADIAL stress  (MPa)]]</f>
        <v>Null</v>
      </c>
      <c r="Z184" s="7" t="str">
        <f>Tabella2[[#This Row],[Amplitute RADIAL stress  (MPa)]]</f>
        <v>Null</v>
      </c>
      <c r="AA18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4" s="8">
        <f>IF( AND(ISNUMBER(Tabella2[[#This Row],[Mean AXIAL stress  (MPa)]]), ISNUMBER(Tabella2[[#This Row],[Area (mm^2)]])), Tabella2[[#This Row],[Mean AXIAL stress  (MPa)]]*Tabella2[[#This Row],[Area (mm^2)]], "Null")</f>
        <v>17008.778976075988</v>
      </c>
      <c r="AC184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84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8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55237.630052386812</v>
      </c>
      <c r="AF18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84" s="1">
        <f>IF(
   AND(ISNUMBER(Tabella2[[#This Row],[Mean TORQUE (Nmm)]]), ISNUMBER(Tabella2[[#This Row],[Amplitude TORQUE (Nmm)]])),
   Tabella2[[#This Row],[Mean TORQUE (Nmm)]]+Tabella2[[#This Row],[Amplitude TORQUE (Nmm)]],
   "Null"
)</f>
        <v>100432.05464070328</v>
      </c>
      <c r="AH18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8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5" spans="1:35" x14ac:dyDescent="0.25">
      <c r="A185" s="1" t="s">
        <v>52</v>
      </c>
      <c r="B185" s="1">
        <v>2025</v>
      </c>
      <c r="C185" s="1" t="s">
        <v>51</v>
      </c>
      <c r="D185" s="1" t="s">
        <v>241</v>
      </c>
      <c r="E185" s="1">
        <v>5000000</v>
      </c>
      <c r="F185" s="1" t="s">
        <v>70</v>
      </c>
      <c r="G185" s="1" t="s">
        <v>43</v>
      </c>
      <c r="H185" s="1" t="e" vm="4">
        <v>#VALUE!</v>
      </c>
      <c r="I185" s="1" t="s">
        <v>45</v>
      </c>
      <c r="J185" s="1" t="s">
        <v>70</v>
      </c>
      <c r="K185" s="1">
        <v>22.5</v>
      </c>
      <c r="L185" s="8">
        <f>PI()*(Tabella2[[#This Row],[Diameter (mm)]]/2)^2</f>
        <v>397.60782021995817</v>
      </c>
      <c r="M185" s="8">
        <f>(PI()*Tabella2[[#This Row],[Diameter (mm)]]^4)/32</f>
        <v>25161.119873294228</v>
      </c>
      <c r="N185" s="1" t="s">
        <v>35</v>
      </c>
      <c r="O185" s="1">
        <v>90</v>
      </c>
      <c r="P185" s="1" t="s">
        <v>35</v>
      </c>
      <c r="Q185" s="1">
        <v>0.1</v>
      </c>
      <c r="R185" s="1">
        <v>0.1</v>
      </c>
      <c r="S18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5" s="1" t="s">
        <v>35</v>
      </c>
      <c r="U185" s="1">
        <f>IF(ISNUMBER(Tabella2[[#This Row],[Amplitute AXIAL stress  (MPa)]]), (1+Tabella2[[#This Row],[Load ratio (AXIAL)]])*Tabella2[[#This Row],[Amplitute AXIAL stress  (MPa)]]/(1-Tabella2[[#This Row],[Load ratio (AXIAL)]]), "Null")</f>
        <v>30.555555555555557</v>
      </c>
      <c r="V185" s="1">
        <v>25</v>
      </c>
      <c r="W185" s="7">
        <f>IF(ISNUMBER(Tabella2[[#This Row],[Amplitute SHEAR stress  (MPa)]]), (1+Tabella2[[#This Row],[Load ratio (TORSIONAL)]])*Tabella2[[#This Row],[Amplitute SHEAR stress  (MPa)]]/(1-Tabella2[[#This Row],[Load ratio (TORSIONAL)]]), "Null")</f>
        <v>17.641258225238566</v>
      </c>
      <c r="X185" s="7">
        <v>14.433756729740645</v>
      </c>
      <c r="Y185" s="7" t="str">
        <f>Tabella2[[#This Row],[Mean RADIAL stress  (MPa)]]</f>
        <v>Null</v>
      </c>
      <c r="Z185" s="7" t="str">
        <f>Tabella2[[#This Row],[Amplitute RADIAL stress  (MPa)]]</f>
        <v>Null</v>
      </c>
      <c r="AA18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5" s="8">
        <f>IF( AND(ISNUMBER(Tabella2[[#This Row],[Mean AXIAL stress  (MPa)]]), ISNUMBER(Tabella2[[#This Row],[Area (mm^2)]])), Tabella2[[#This Row],[Mean AXIAL stress  (MPa)]]*Tabella2[[#This Row],[Area (mm^2)]], "Null")</f>
        <v>12149.127840054278</v>
      </c>
      <c r="AC185" s="8">
        <f>IF( AND(ISNUMBER(Tabella2[[#This Row],[Amplitute AXIAL stress  (MPa)]]), ISNUMBER(Tabella2[[#This Row],[Area (mm^2)]])), Tabella2[[#This Row],[Amplitute AXIAL stress  (MPa)]]*Tabella2[[#This Row],[Area (mm^2)]],"Null")</f>
        <v>9940.1955054989539</v>
      </c>
      <c r="AD185" s="8">
        <f>IF( AND(ISNUMBER(Tabella2[[#This Row],[Amplitude AXIAL force (N)]]), ISNUMBER(Tabella2[[#This Row],[Mean AXIAL force (N)]])), Tabella2[[#This Row],[Amplitude AXIAL force (N)]]+Tabella2[[#This Row],[Mean AXIAL force (N)]],"Null")</f>
        <v>22089.323345553232</v>
      </c>
      <c r="AE18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39455.450037419141</v>
      </c>
      <c r="AF18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32281.731848797481</v>
      </c>
      <c r="AG185" s="1">
        <f>IF(
   AND(ISNUMBER(Tabella2[[#This Row],[Mean TORQUE (Nmm)]]), ISNUMBER(Tabella2[[#This Row],[Amplitude TORQUE (Nmm)]])),
   Tabella2[[#This Row],[Mean TORQUE (Nmm)]]+Tabella2[[#This Row],[Amplitude TORQUE (Nmm)]],
   "Null"
)</f>
        <v>71737.181886216626</v>
      </c>
      <c r="AH18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35.355339059327378</v>
      </c>
      <c r="AI18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6" spans="1:35" x14ac:dyDescent="0.25">
      <c r="A186" s="1" t="s">
        <v>52</v>
      </c>
      <c r="B186" s="1">
        <v>2025</v>
      </c>
      <c r="C186" s="1" t="s">
        <v>51</v>
      </c>
      <c r="D186" s="1" t="s">
        <v>242</v>
      </c>
      <c r="E186" s="1">
        <v>2685655</v>
      </c>
      <c r="F186" s="1" t="s">
        <v>34</v>
      </c>
      <c r="G186" s="1" t="s">
        <v>43</v>
      </c>
      <c r="H186" s="1" t="e" vm="4">
        <v>#VALUE!</v>
      </c>
      <c r="I186" s="1" t="s">
        <v>45</v>
      </c>
      <c r="J186" s="1" t="s">
        <v>70</v>
      </c>
      <c r="K186" s="1">
        <v>22.5</v>
      </c>
      <c r="L186" s="8">
        <f>PI()*(Tabella2[[#This Row],[Diameter (mm)]]/2)^2</f>
        <v>397.60782021995817</v>
      </c>
      <c r="M186" s="8">
        <f>(PI()*Tabella2[[#This Row],[Diameter (mm)]]^4)/32</f>
        <v>25161.119873294228</v>
      </c>
      <c r="N186" s="1" t="s">
        <v>35</v>
      </c>
      <c r="O186" s="1">
        <v>90</v>
      </c>
      <c r="P186" s="1" t="s">
        <v>35</v>
      </c>
      <c r="Q186" s="1">
        <v>0.1</v>
      </c>
      <c r="R186" s="1">
        <v>0.1</v>
      </c>
      <c r="S18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6" s="1" t="s">
        <v>35</v>
      </c>
      <c r="U186" s="1">
        <f>IF(ISNUMBER(Tabella2[[#This Row],[Amplitute AXIAL stress  (MPa)]]), (1+Tabella2[[#This Row],[Load ratio (AXIAL)]])*Tabella2[[#This Row],[Amplitute AXIAL stress  (MPa)]]/(1-Tabella2[[#This Row],[Load ratio (AXIAL)]]), "Null")</f>
        <v>42.777777777777779</v>
      </c>
      <c r="V186" s="1">
        <v>35</v>
      </c>
      <c r="W186" s="7">
        <f>IF(ISNUMBER(Tabella2[[#This Row],[Amplitute SHEAR stress  (MPa)]]), (1+Tabella2[[#This Row],[Load ratio (TORSIONAL)]])*Tabella2[[#This Row],[Amplitute SHEAR stress  (MPa)]]/(1-Tabella2[[#This Row],[Load ratio (TORSIONAL)]]), "Null")</f>
        <v>24.697761515333998</v>
      </c>
      <c r="X186" s="7">
        <v>20.207259421636905</v>
      </c>
      <c r="Y186" s="7" t="str">
        <f>Tabella2[[#This Row],[Mean RADIAL stress  (MPa)]]</f>
        <v>Null</v>
      </c>
      <c r="Z186" s="7" t="str">
        <f>Tabella2[[#This Row],[Amplitute RADIAL stress  (MPa)]]</f>
        <v>Null</v>
      </c>
      <c r="AA18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6" s="8">
        <f>IF( AND(ISNUMBER(Tabella2[[#This Row],[Mean AXIAL stress  (MPa)]]), ISNUMBER(Tabella2[[#This Row],[Area (mm^2)]])), Tabella2[[#This Row],[Mean AXIAL stress  (MPa)]]*Tabella2[[#This Row],[Area (mm^2)]], "Null")</f>
        <v>17008.778976075988</v>
      </c>
      <c r="AC186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86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8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55237.630052386812</v>
      </c>
      <c r="AF18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86" s="1">
        <f>IF(
   AND(ISNUMBER(Tabella2[[#This Row],[Mean TORQUE (Nmm)]]), ISNUMBER(Tabella2[[#This Row],[Amplitude TORQUE (Nmm)]])),
   Tabella2[[#This Row],[Mean TORQUE (Nmm)]]+Tabella2[[#This Row],[Amplitude TORQUE (Nmm)]],
   "Null"
)</f>
        <v>100432.05464070328</v>
      </c>
      <c r="AH18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8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7" spans="1:35" x14ac:dyDescent="0.25">
      <c r="A187" s="1" t="s">
        <v>52</v>
      </c>
      <c r="B187" s="1">
        <v>2025</v>
      </c>
      <c r="C187" s="1" t="s">
        <v>51</v>
      </c>
      <c r="D187" s="1" t="s">
        <v>243</v>
      </c>
      <c r="E187" s="1">
        <v>145399</v>
      </c>
      <c r="F187" s="1" t="s">
        <v>34</v>
      </c>
      <c r="G187" s="1" t="s">
        <v>43</v>
      </c>
      <c r="H187" s="1" t="e" vm="4">
        <v>#VALUE!</v>
      </c>
      <c r="I187" s="1" t="s">
        <v>45</v>
      </c>
      <c r="J187" s="1" t="s">
        <v>70</v>
      </c>
      <c r="K187" s="1">
        <v>22.5</v>
      </c>
      <c r="L187" s="8">
        <f>PI()*(Tabella2[[#This Row],[Diameter (mm)]]/2)^2</f>
        <v>397.60782021995817</v>
      </c>
      <c r="M187" s="8">
        <f>(PI()*Tabella2[[#This Row],[Diameter (mm)]]^4)/32</f>
        <v>25161.119873294228</v>
      </c>
      <c r="N187" s="1" t="s">
        <v>35</v>
      </c>
      <c r="O187" s="1">
        <v>90</v>
      </c>
      <c r="P187" s="1" t="s">
        <v>35</v>
      </c>
      <c r="Q187" s="1">
        <v>0.1</v>
      </c>
      <c r="R187" s="1">
        <v>0.1</v>
      </c>
      <c r="S18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7" s="1" t="s">
        <v>35</v>
      </c>
      <c r="U187" s="1">
        <f>IF(ISNUMBER(Tabella2[[#This Row],[Amplitute AXIAL stress  (MPa)]]), (1+Tabella2[[#This Row],[Load ratio (AXIAL)]])*Tabella2[[#This Row],[Amplitute AXIAL stress  (MPa)]]/(1-Tabella2[[#This Row],[Load ratio (AXIAL)]]), "Null")</f>
        <v>42.777777777777779</v>
      </c>
      <c r="V187" s="1">
        <v>35</v>
      </c>
      <c r="W187" s="7">
        <f>IF(ISNUMBER(Tabella2[[#This Row],[Amplitute SHEAR stress  (MPa)]]), (1+Tabella2[[#This Row],[Load ratio (TORSIONAL)]])*Tabella2[[#This Row],[Amplitute SHEAR stress  (MPa)]]/(1-Tabella2[[#This Row],[Load ratio (TORSIONAL)]]), "Null")</f>
        <v>24.697761515333998</v>
      </c>
      <c r="X187" s="7">
        <v>20.207259421636905</v>
      </c>
      <c r="Y187" s="7" t="str">
        <f>Tabella2[[#This Row],[Mean RADIAL stress  (MPa)]]</f>
        <v>Null</v>
      </c>
      <c r="Z187" s="7" t="str">
        <f>Tabella2[[#This Row],[Amplitute RADIAL stress  (MPa)]]</f>
        <v>Null</v>
      </c>
      <c r="AA18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7" s="8">
        <f>IF( AND(ISNUMBER(Tabella2[[#This Row],[Mean AXIAL stress  (MPa)]]), ISNUMBER(Tabella2[[#This Row],[Area (mm^2)]])), Tabella2[[#This Row],[Mean AXIAL stress  (MPa)]]*Tabella2[[#This Row],[Area (mm^2)]], "Null")</f>
        <v>17008.778976075988</v>
      </c>
      <c r="AC187" s="8">
        <f>IF( AND(ISNUMBER(Tabella2[[#This Row],[Amplitute AXIAL stress  (MPa)]]), ISNUMBER(Tabella2[[#This Row],[Area (mm^2)]])), Tabella2[[#This Row],[Amplitute AXIAL stress  (MPa)]]*Tabella2[[#This Row],[Area (mm^2)]],"Null")</f>
        <v>13916.273707698536</v>
      </c>
      <c r="AD187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8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55237.630052386812</v>
      </c>
      <c r="AF18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45194.424588316477</v>
      </c>
      <c r="AG187" s="1">
        <f>IF(
   AND(ISNUMBER(Tabella2[[#This Row],[Mean TORQUE (Nmm)]]), ISNUMBER(Tabella2[[#This Row],[Amplitude TORQUE (Nmm)]])),
   Tabella2[[#This Row],[Mean TORQUE (Nmm)]]+Tabella2[[#This Row],[Amplitude TORQUE (Nmm)]],
   "Null"
)</f>
        <v>100432.05464070328</v>
      </c>
      <c r="AH18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49.497474683058329</v>
      </c>
      <c r="AI18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8" spans="1:35" x14ac:dyDescent="0.25">
      <c r="A188" s="1" t="s">
        <v>52</v>
      </c>
      <c r="B188" s="1">
        <v>2025</v>
      </c>
      <c r="C188" s="1" t="s">
        <v>51</v>
      </c>
      <c r="D188" s="1" t="s">
        <v>244</v>
      </c>
      <c r="E188" s="1">
        <v>1844078</v>
      </c>
      <c r="F188" s="1" t="s">
        <v>34</v>
      </c>
      <c r="G188" s="1" t="s">
        <v>43</v>
      </c>
      <c r="H188" s="1" t="e" vm="4">
        <v>#VALUE!</v>
      </c>
      <c r="I188" s="1" t="s">
        <v>45</v>
      </c>
      <c r="J188" s="1" t="s">
        <v>70</v>
      </c>
      <c r="K188" s="1">
        <v>22.5</v>
      </c>
      <c r="L188" s="8">
        <f>PI()*(Tabella2[[#This Row],[Diameter (mm)]]/2)^2</f>
        <v>397.60782021995817</v>
      </c>
      <c r="M188" s="8">
        <f>(PI()*Tabella2[[#This Row],[Diameter (mm)]]^4)/32</f>
        <v>25161.119873294228</v>
      </c>
      <c r="N188" s="1" t="s">
        <v>35</v>
      </c>
      <c r="O188" s="1">
        <v>90</v>
      </c>
      <c r="P188" s="1" t="s">
        <v>35</v>
      </c>
      <c r="Q188" s="1">
        <v>0.1</v>
      </c>
      <c r="R188" s="1">
        <v>0.1</v>
      </c>
      <c r="S18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8" s="1" t="s">
        <v>35</v>
      </c>
      <c r="U188" s="1">
        <f>IF(ISNUMBER(Tabella2[[#This Row],[Amplitute AXIAL stress  (MPa)]]), (1+Tabella2[[#This Row],[Load ratio (AXIAL)]])*Tabella2[[#This Row],[Amplitute AXIAL stress  (MPa)]]/(1-Tabella2[[#This Row],[Load ratio (AXIAL)]]), "Null")</f>
        <v>48.888888888888886</v>
      </c>
      <c r="V188" s="1">
        <v>40</v>
      </c>
      <c r="W188" s="7">
        <f>IF(ISNUMBER(Tabella2[[#This Row],[Amplitute SHEAR stress  (MPa)]]), (1+Tabella2[[#This Row],[Load ratio (TORSIONAL)]])*Tabella2[[#This Row],[Amplitute SHEAR stress  (MPa)]]/(1-Tabella2[[#This Row],[Load ratio (TORSIONAL)]]), "Null")</f>
        <v>28.226013160381708</v>
      </c>
      <c r="X188" s="7">
        <v>23.094010767585033</v>
      </c>
      <c r="Y188" s="7" t="str">
        <f>Tabella2[[#This Row],[Mean RADIAL stress  (MPa)]]</f>
        <v>Null</v>
      </c>
      <c r="Z188" s="7" t="str">
        <f>Tabella2[[#This Row],[Amplitute RADIAL stress  (MPa)]]</f>
        <v>Null</v>
      </c>
      <c r="AA18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8" s="8">
        <f>IF( AND(ISNUMBER(Tabella2[[#This Row],[Mean AXIAL stress  (MPa)]]), ISNUMBER(Tabella2[[#This Row],[Area (mm^2)]])), Tabella2[[#This Row],[Mean AXIAL stress  (MPa)]]*Tabella2[[#This Row],[Area (mm^2)]], "Null")</f>
        <v>19438.604544086844</v>
      </c>
      <c r="AC188" s="8">
        <f>IF( AND(ISNUMBER(Tabella2[[#This Row],[Amplitute AXIAL stress  (MPa)]]), ISNUMBER(Tabella2[[#This Row],[Area (mm^2)]])), Tabella2[[#This Row],[Amplitute AXIAL stress  (MPa)]]*Tabella2[[#This Row],[Area (mm^2)]],"Null")</f>
        <v>15904.312808798328</v>
      </c>
      <c r="AD188" s="8">
        <f>IF( AND(ISNUMBER(Tabella2[[#This Row],[Amplitude AXIAL force (N)]]), ISNUMBER(Tabella2[[#This Row],[Mean AXIAL force (N)]])), Tabella2[[#This Row],[Amplitude AXIAL force (N)]]+Tabella2[[#This Row],[Mean AXIAL force (N)]],"Null")</f>
        <v>35342.917352885168</v>
      </c>
      <c r="AE18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63128.720059870626</v>
      </c>
      <c r="AF18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51650.770958075969</v>
      </c>
      <c r="AG188" s="1">
        <f>IF(
   AND(ISNUMBER(Tabella2[[#This Row],[Mean TORQUE (Nmm)]]), ISNUMBER(Tabella2[[#This Row],[Amplitude TORQUE (Nmm)]])),
   Tabella2[[#This Row],[Mean TORQUE (Nmm)]]+Tabella2[[#This Row],[Amplitude TORQUE (Nmm)]],
   "Null"
)</f>
        <v>114779.4910179466</v>
      </c>
      <c r="AH18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56.568542494923804</v>
      </c>
      <c r="AI18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89" spans="1:35" x14ac:dyDescent="0.25">
      <c r="A189" s="1" t="s">
        <v>52</v>
      </c>
      <c r="B189" s="1">
        <v>2025</v>
      </c>
      <c r="C189" s="1" t="s">
        <v>51</v>
      </c>
      <c r="D189" s="1" t="s">
        <v>245</v>
      </c>
      <c r="E189" s="1">
        <v>54379</v>
      </c>
      <c r="F189" s="1" t="s">
        <v>34</v>
      </c>
      <c r="G189" s="1" t="s">
        <v>43</v>
      </c>
      <c r="H189" s="1" t="e" vm="4">
        <v>#VALUE!</v>
      </c>
      <c r="I189" s="1" t="s">
        <v>45</v>
      </c>
      <c r="J189" s="1" t="s">
        <v>70</v>
      </c>
      <c r="K189" s="1">
        <v>22.5</v>
      </c>
      <c r="L189" s="8">
        <f>PI()*(Tabella2[[#This Row],[Diameter (mm)]]/2)^2</f>
        <v>397.60782021995817</v>
      </c>
      <c r="M189" s="8">
        <f>(PI()*Tabella2[[#This Row],[Diameter (mm)]]^4)/32</f>
        <v>25161.119873294228</v>
      </c>
      <c r="N189" s="1" t="s">
        <v>35</v>
      </c>
      <c r="O189" s="1">
        <v>90</v>
      </c>
      <c r="P189" s="1" t="s">
        <v>35</v>
      </c>
      <c r="Q189" s="1">
        <v>0.1</v>
      </c>
      <c r="R189" s="1">
        <v>0.1</v>
      </c>
      <c r="S18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9" s="1" t="s">
        <v>35</v>
      </c>
      <c r="U189" s="1">
        <f>IF(ISNUMBER(Tabella2[[#This Row],[Amplitute AXIAL stress  (MPa)]]), (1+Tabella2[[#This Row],[Load ratio (AXIAL)]])*Tabella2[[#This Row],[Amplitute AXIAL stress  (MPa)]]/(1-Tabella2[[#This Row],[Load ratio (AXIAL)]]), "Null")</f>
        <v>55.000000000000007</v>
      </c>
      <c r="V189" s="1">
        <v>45</v>
      </c>
      <c r="W189" s="7">
        <f>IF(ISNUMBER(Tabella2[[#This Row],[Amplitute SHEAR stress  (MPa)]]), (1+Tabella2[[#This Row],[Load ratio (TORSIONAL)]])*Tabella2[[#This Row],[Amplitute SHEAR stress  (MPa)]]/(1-Tabella2[[#This Row],[Load ratio (TORSIONAL)]]), "Null")</f>
        <v>31.754264805429425</v>
      </c>
      <c r="X189" s="7">
        <v>25.980762113533164</v>
      </c>
      <c r="Y189" s="7" t="str">
        <f>Tabella2[[#This Row],[Mean RADIAL stress  (MPa)]]</f>
        <v>Null</v>
      </c>
      <c r="Z189" s="7" t="str">
        <f>Tabella2[[#This Row],[Amplitute RADIAL stress  (MPa)]]</f>
        <v>Null</v>
      </c>
      <c r="AA18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9" s="8">
        <f>IF( AND(ISNUMBER(Tabella2[[#This Row],[Mean AXIAL stress  (MPa)]]), ISNUMBER(Tabella2[[#This Row],[Area (mm^2)]])), Tabella2[[#This Row],[Mean AXIAL stress  (MPa)]]*Tabella2[[#This Row],[Area (mm^2)]], "Null")</f>
        <v>21868.430112097703</v>
      </c>
      <c r="AC189" s="8">
        <f>IF( AND(ISNUMBER(Tabella2[[#This Row],[Amplitute AXIAL stress  (MPa)]]), ISNUMBER(Tabella2[[#This Row],[Area (mm^2)]])), Tabella2[[#This Row],[Amplitute AXIAL stress  (MPa)]]*Tabella2[[#This Row],[Area (mm^2)]],"Null")</f>
        <v>17892.351909898116</v>
      </c>
      <c r="AD189" s="8">
        <f>IF( AND(ISNUMBER(Tabella2[[#This Row],[Amplitude AXIAL force (N)]]), ISNUMBER(Tabella2[[#This Row],[Mean AXIAL force (N)]])), Tabella2[[#This Row],[Amplitude AXIAL force (N)]]+Tabella2[[#This Row],[Mean AXIAL force (N)]],"Null")</f>
        <v>39760.782021995823</v>
      </c>
      <c r="AE18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71019.810067354469</v>
      </c>
      <c r="AF18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58107.117327835476</v>
      </c>
      <c r="AG189" s="1">
        <f>IF(
   AND(ISNUMBER(Tabella2[[#This Row],[Mean TORQUE (Nmm)]]), ISNUMBER(Tabella2[[#This Row],[Amplitude TORQUE (Nmm)]])),
   Tabella2[[#This Row],[Mean TORQUE (Nmm)]]+Tabella2[[#This Row],[Amplitude TORQUE (Nmm)]],
   "Null"
)</f>
        <v>129126.92739518994</v>
      </c>
      <c r="AH18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63.639610306789287</v>
      </c>
      <c r="AI18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  <row r="190" spans="1:35" x14ac:dyDescent="0.25">
      <c r="A190" s="1" t="s">
        <v>52</v>
      </c>
      <c r="B190" s="1">
        <v>2025</v>
      </c>
      <c r="C190" s="1" t="s">
        <v>51</v>
      </c>
      <c r="D190" s="1" t="s">
        <v>246</v>
      </c>
      <c r="E190" s="1">
        <v>100201</v>
      </c>
      <c r="F190" s="1" t="s">
        <v>34</v>
      </c>
      <c r="G190" s="1" t="s">
        <v>43</v>
      </c>
      <c r="H190" s="1" t="e" vm="4">
        <v>#VALUE!</v>
      </c>
      <c r="I190" s="1" t="s">
        <v>45</v>
      </c>
      <c r="J190" s="1" t="s">
        <v>70</v>
      </c>
      <c r="K190" s="1">
        <v>22.5</v>
      </c>
      <c r="L190" s="8">
        <f>PI()*(Tabella2[[#This Row],[Diameter (mm)]]/2)^2</f>
        <v>397.60782021995817</v>
      </c>
      <c r="M190" s="8">
        <f>(PI()*Tabella2[[#This Row],[Diameter (mm)]]^4)/32</f>
        <v>25161.119873294228</v>
      </c>
      <c r="N190" s="1" t="s">
        <v>35</v>
      </c>
      <c r="O190" s="1">
        <v>90</v>
      </c>
      <c r="P190" s="1" t="s">
        <v>35</v>
      </c>
      <c r="Q190" s="1">
        <v>0.1</v>
      </c>
      <c r="R190" s="1">
        <v>0.1</v>
      </c>
      <c r="S19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90" s="1" t="s">
        <v>35</v>
      </c>
      <c r="U190" s="1">
        <f>IF(ISNUMBER(Tabella2[[#This Row],[Amplitute AXIAL stress  (MPa)]]), (1+Tabella2[[#This Row],[Load ratio (AXIAL)]])*Tabella2[[#This Row],[Amplitute AXIAL stress  (MPa)]]/(1-Tabella2[[#This Row],[Load ratio (AXIAL)]]), "Null")</f>
        <v>48.888888888888886</v>
      </c>
      <c r="V190" s="1">
        <v>40</v>
      </c>
      <c r="W190" s="7">
        <f>IF(ISNUMBER(Tabella2[[#This Row],[Amplitute SHEAR stress  (MPa)]]), (1+Tabella2[[#This Row],[Load ratio (TORSIONAL)]])*Tabella2[[#This Row],[Amplitute SHEAR stress  (MPa)]]/(1-Tabella2[[#This Row],[Load ratio (TORSIONAL)]]), "Null")</f>
        <v>28.226013160381708</v>
      </c>
      <c r="X190" s="7">
        <v>23.094010767585033</v>
      </c>
      <c r="Y190" s="7" t="str">
        <f>Tabella2[[#This Row],[Mean RADIAL stress  (MPa)]]</f>
        <v>Null</v>
      </c>
      <c r="Z190" s="7" t="str">
        <f>Tabella2[[#This Row],[Amplitute RADIAL stress  (MPa)]]</f>
        <v>Null</v>
      </c>
      <c r="AA19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90" s="8">
        <f>IF( AND(ISNUMBER(Tabella2[[#This Row],[Mean AXIAL stress  (MPa)]]), ISNUMBER(Tabella2[[#This Row],[Area (mm^2)]])), Tabella2[[#This Row],[Mean AXIAL stress  (MPa)]]*Tabella2[[#This Row],[Area (mm^2)]], "Null")</f>
        <v>19438.604544086844</v>
      </c>
      <c r="AC190" s="8">
        <f>IF( AND(ISNUMBER(Tabella2[[#This Row],[Amplitute AXIAL stress  (MPa)]]), ISNUMBER(Tabella2[[#This Row],[Area (mm^2)]])), Tabella2[[#This Row],[Amplitute AXIAL stress  (MPa)]]*Tabella2[[#This Row],[Area (mm^2)]],"Null")</f>
        <v>15904.312808798328</v>
      </c>
      <c r="AD190" s="8">
        <f>IF( AND(ISNUMBER(Tabella2[[#This Row],[Amplitude AXIAL force (N)]]), ISNUMBER(Tabella2[[#This Row],[Mean AXIAL force (N)]])), Tabella2[[#This Row],[Amplitude AXIAL force (N)]]+Tabella2[[#This Row],[Mean AXIAL force (N)]],"Null")</f>
        <v>35342.917352885168</v>
      </c>
      <c r="AE19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63128.720059870626</v>
      </c>
      <c r="AF19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51650.770958075969</v>
      </c>
      <c r="AG190" s="1">
        <f>IF(
   AND(ISNUMBER(Tabella2[[#This Row],[Mean TORQUE (Nmm)]]), ISNUMBER(Tabella2[[#This Row],[Amplitude TORQUE (Nmm)]])),
   Tabella2[[#This Row],[Mean TORQUE (Nmm)]]+Tabella2[[#This Row],[Amplitude TORQUE (Nmm)]],
   "Null"
)</f>
        <v>114779.4910179466</v>
      </c>
      <c r="AH19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56.568542494923804</v>
      </c>
      <c r="AI19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0.57735026918962584</v>
      </c>
    </row>
  </sheetData>
  <phoneticPr fontId="6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Andrea Chiocca</cp:lastModifiedBy>
  <dcterms:created xsi:type="dcterms:W3CDTF">2015-06-05T18:19:34Z</dcterms:created>
  <dcterms:modified xsi:type="dcterms:W3CDTF">2026-02-23T08:19:32Z</dcterms:modified>
</cp:coreProperties>
</file>