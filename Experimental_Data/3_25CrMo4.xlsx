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94506A9A-F53A-40BC-955E-1C8A010658EF}" xr6:coauthVersionLast="47" xr6:coauthVersionMax="47" xr10:uidLastSave="{00000000-0000-0000-0000-000000000000}"/>
  <bookViews>
    <workbookView xWindow="28680" yWindow="-120" windowWidth="29040" windowHeight="15840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2" l="1"/>
  <c r="AP7" i="2"/>
  <c r="AK2" i="2"/>
  <c r="AK3" i="2"/>
  <c r="AK4" i="2"/>
  <c r="AK5" i="2"/>
  <c r="AK6" i="2"/>
  <c r="AK7" i="2"/>
  <c r="AK8" i="2"/>
  <c r="AK9" i="2"/>
  <c r="AK10" i="2"/>
  <c r="AK11" i="2"/>
  <c r="AK12" i="2"/>
  <c r="AJ2" i="2"/>
  <c r="AJ3" i="2"/>
  <c r="AJ4" i="2"/>
  <c r="AJ5" i="2"/>
  <c r="AJ6" i="2"/>
  <c r="AJ7" i="2"/>
  <c r="AJ8" i="2"/>
  <c r="AJ9" i="2"/>
  <c r="AJ10" i="2"/>
  <c r="AJ11" i="2"/>
  <c r="AJ12" i="2"/>
  <c r="AI2" i="2"/>
  <c r="AI3" i="2"/>
  <c r="AI4" i="2"/>
  <c r="AI5" i="2"/>
  <c r="AI6" i="2"/>
  <c r="AI7" i="2"/>
  <c r="AI8" i="2"/>
  <c r="AI9" i="2"/>
  <c r="AI10" i="2"/>
  <c r="AI11" i="2"/>
  <c r="AI12" i="2"/>
  <c r="AH2" i="2"/>
  <c r="AH3" i="2"/>
  <c r="AH4" i="2"/>
  <c r="AH5" i="2"/>
  <c r="AH6" i="2"/>
  <c r="AH7" i="2"/>
  <c r="AH8" i="2"/>
  <c r="AH9" i="2"/>
  <c r="AH10" i="2"/>
  <c r="AH11" i="2"/>
  <c r="AH12" i="2"/>
  <c r="Z2" i="2"/>
  <c r="Z3" i="2"/>
  <c r="Z4" i="2"/>
  <c r="Z5" i="2"/>
  <c r="Z6" i="2"/>
  <c r="Z7" i="2"/>
  <c r="Z8" i="2"/>
  <c r="Z9" i="2"/>
  <c r="Z10" i="2"/>
  <c r="Z11" i="2"/>
  <c r="Z12" i="2"/>
  <c r="Y2" i="2"/>
  <c r="Y3" i="2"/>
  <c r="Y4" i="2"/>
  <c r="Y5" i="2"/>
  <c r="Y6" i="2"/>
  <c r="Y7" i="2"/>
  <c r="Y8" i="2"/>
  <c r="Y9" i="2"/>
  <c r="Y10" i="2"/>
  <c r="Y11" i="2"/>
  <c r="Y12" i="2"/>
  <c r="X2" i="2"/>
  <c r="X3" i="2"/>
  <c r="X4" i="2"/>
  <c r="X5" i="2"/>
  <c r="X6" i="2"/>
  <c r="X7" i="2"/>
  <c r="X8" i="2"/>
  <c r="X9" i="2"/>
  <c r="X10" i="2"/>
  <c r="X11" i="2"/>
  <c r="X12" i="2"/>
  <c r="O3" i="2"/>
  <c r="O4" i="2"/>
  <c r="O5" i="2"/>
  <c r="O6" i="2"/>
  <c r="O7" i="2"/>
  <c r="O8" i="2"/>
  <c r="O9" i="2"/>
  <c r="O10" i="2"/>
  <c r="O11" i="2"/>
  <c r="O12" i="2"/>
  <c r="O2" i="2"/>
  <c r="Q2" i="2"/>
  <c r="AO2" i="2" s="1"/>
  <c r="AQ3" i="2"/>
  <c r="AQ4" i="2"/>
  <c r="AQ5" i="2"/>
  <c r="AQ6" i="2"/>
  <c r="AQ7" i="2"/>
  <c r="AQ8" i="2"/>
  <c r="AQ9" i="2"/>
  <c r="AQ10" i="2"/>
  <c r="AQ11" i="2"/>
  <c r="AQ12" i="2"/>
  <c r="AN2" i="2" l="1"/>
  <c r="AP3" i="2"/>
  <c r="AP4" i="2"/>
  <c r="AP5" i="2"/>
  <c r="AP6" i="2"/>
  <c r="AP8" i="2"/>
  <c r="AP9" i="2"/>
  <c r="AP10" i="2"/>
  <c r="AP11" i="2"/>
  <c r="AP12" i="2"/>
  <c r="AP2" i="2"/>
  <c r="Q4" i="2"/>
  <c r="Q3" i="2"/>
  <c r="Q5" i="2"/>
  <c r="Q6" i="2"/>
  <c r="Q7" i="2"/>
  <c r="Q8" i="2"/>
  <c r="Q9" i="2"/>
  <c r="Q10" i="2"/>
  <c r="Q11" i="2"/>
  <c r="Q12" i="2"/>
  <c r="P2" i="2"/>
  <c r="P3" i="2"/>
  <c r="AL3" i="2" s="1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P12" i="2"/>
  <c r="AL12" i="2" s="1"/>
  <c r="AM2" i="2" l="1"/>
  <c r="AL2" i="2"/>
  <c r="AN3" i="2"/>
  <c r="AO3" i="2"/>
  <c r="AO12" i="2"/>
  <c r="AN12" i="2"/>
  <c r="AO5" i="2"/>
  <c r="AN5" i="2"/>
  <c r="AO11" i="2"/>
  <c r="AN11" i="2"/>
  <c r="AO10" i="2"/>
  <c r="AN10" i="2"/>
  <c r="AO4" i="2"/>
  <c r="AN4" i="2"/>
  <c r="AO9" i="2"/>
  <c r="AN9" i="2"/>
  <c r="AO8" i="2"/>
  <c r="AN8" i="2"/>
  <c r="AO7" i="2"/>
  <c r="AN7" i="2"/>
  <c r="AO6" i="2"/>
  <c r="AN6" i="2"/>
  <c r="AM10" i="2"/>
  <c r="AM5" i="2"/>
  <c r="AM4" i="2"/>
  <c r="AM11" i="2"/>
  <c r="AM3" i="2"/>
  <c r="AM12" i="2"/>
  <c r="AM9" i="2"/>
  <c r="AM8" i="2"/>
  <c r="AM7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<sst xmlns="http://schemas.openxmlformats.org/spreadsheetml/2006/main" count="176" uniqueCount="69">
  <si>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</si>
  <si>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</si>
  <si>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</si>
  <si>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</si>
  <si>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</si>
  <si>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</si>
  <si>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</si>
  <si>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</si>
  <si>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</si>
  <si>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</si>
  <si>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</si>
  <si>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</si>
  <si>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</si>
  <si>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</si>
  <si>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</si>
  <si>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</si>
  <si>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</si>
  <si>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</si>
  <si>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</si>
  <si>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</si>
  <si>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</si>
  <si>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</si>
  <si>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</si>
  <si>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</si>
  <si>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</si>
  <si>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</si>
  <si>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</si>
  <si>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</si>
  <si>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</si>
  <si>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</si>
  <si>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</si>
  <si>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</si>
  <si>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</si>
  <si>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</si>
  <si>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</si>
  <si>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</si>
  <si>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</si>
  <si>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</si>
  <si>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</si>
  <si>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</si>
  <si>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</si>
  <si>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</si>
  <si>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</si>
  <si>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</si>
  <si>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</si>
  <si>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</si>
  <si>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</si>
  <si>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</si>
  <si>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</si>
  <si>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</si>
  <si>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</si>
  <si>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</si>
  <si>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</si>
  <si>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</si>
  <si>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</si>
  <si>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</si>
  <si>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</si>
  <si>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</si>
  <si>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</si>
  <si>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</si>
  <si>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</si>
  <si>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</si>
  <si>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</si>
  <si>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Troost A, Akin O, Klubberg F. Dauerfestigkeitsverhalten
metallischer Werkstoffe bei zweiachsiger Beanspruchung durch
drei phasenverschoben schwingende Lastspannungen.
Konstruktion. 1987;39:479‐488.</t>
  </si>
  <si>
    <t>Troost A</t>
  </si>
  <si>
    <t>25CrMo4</t>
  </si>
  <si>
    <t>SPECIMEN_3</t>
  </si>
  <si>
    <t>complete rupture</t>
  </si>
  <si>
    <t>hollow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</si>
</sst>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7" fillId="7" borderId="13" xfId="0" applyNumberFormat="1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2" fontId="0" fillId="8" borderId="0" xfId="0" applyNumberFormat="1" applyFill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top" wrapText="1"/>
    </xf>
  </cellXfs>
  <cellStyles count="1">
    <cellStyle name="Normale" xfId="0" builtinId="0"/>
  </cellStyles>
  <dxfs count="60">
    <dxf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Dataset!$E$2:$E$12</c:f>
              <c:numCache>
                <c:formatCode>0.0E+00</c:formatCode>
                <c:ptCount val="11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</c:numCache>
            </c:numRef>
          </c:xVal>
          <c:yVal>
            <c:numRef>
              <c:f>Dataset!$AQ$2:$AQ$12</c:f>
              <c:numCache>
                <c:formatCode>0.00</c:formatCode>
                <c:ptCount val="11"/>
                <c:pt idx="0">
                  <c:v>271.18950938412053</c:v>
                </c:pt>
                <c:pt idx="1">
                  <c:v>244.73199627347464</c:v>
                </c:pt>
                <c:pt idx="2">
                  <c:v>259.37000115664881</c:v>
                </c:pt>
                <c:pt idx="3">
                  <c:v>265.13000113152037</c:v>
                </c:pt>
                <c:pt idx="4">
                  <c:v>281.26000426651495</c:v>
                </c:pt>
                <c:pt idx="5">
                  <c:v>277.63000108057486</c:v>
                </c:pt>
                <c:pt idx="6">
                  <c:v>256.26000468274407</c:v>
                </c:pt>
                <c:pt idx="7">
                  <c:v>268.7600044649501</c:v>
                </c:pt>
                <c:pt idx="8">
                  <c:v>234.87000127730235</c:v>
                </c:pt>
                <c:pt idx="9">
                  <c:v>279.5</c:v>
                </c:pt>
                <c:pt idx="10">
                  <c:v>268.7600044649501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21" dataDxfId="20">
  <autoFilter ref="A1:M5" xr:uid="{7EB9CA7B-F9F7-4B65-BAF9-0554C4DD3A3C}"/>
  <tableColumns count="13">
    <tableColumn id="1" xr3:uid="{8E3D1E9D-FBEE-441F-8710-5037CD4F23F4}" name="Article DOI / Reference" dataDxfId="19"/>
    <tableColumn id="11" xr3:uid="{DB748F3A-E0FD-40A7-AD76-C03A14000D6D}" name="Authors" dataDxfId="18"/>
    <tableColumn id="8" xr3:uid="{5AA73CAD-51B7-41DD-94EB-F60F774B9687}" name="Article year" dataDxfId="17"/>
    <tableColumn id="2" xr3:uid="{06FA6682-59D0-409F-9A0C-E6CD1808F355}" name="Material name" dataDxfId="16"/>
    <tableColumn id="3" xr3:uid="{576FC30A-97BD-425F-92F2-9A2823474F7C}" name="Young's modulus (MPa)" dataDxfId="15"/>
    <tableColumn id="4" xr3:uid="{63CF6BC0-ABE3-408E-84A9-EDA0B421D7E2}" name="Poisson's ratio (-)" dataDxfId="14"/>
    <tableColumn id="5" xr3:uid="{BF08D467-4D62-4CAB-A94F-0030F94E8A2E}" name="Tensile strength (MPa)" dataDxfId="13"/>
    <tableColumn id="6" xr3:uid="{CDCD2563-ECD7-4843-B859-5F7762FE830B}" name="Yield strength (MPa)" dataDxfId="12"/>
    <tableColumn id="7" xr3:uid="{7991DD6F-6040-4C6F-AEB4-2211698F999C}" name="Tensile fatigue limit (MPa)" dataDxfId="11"/>
    <tableColumn id="9" xr3:uid="{C339353B-B530-41A6-97D0-BD9E3EFB3E1B}" name="Torsional fatigue limit (MPa)" dataDxfId="10">
      <calculatedColumnFormula>845/2</calculatedColumnFormula>
    </tableColumn>
    <tableColumn id="13" xr3:uid="{61EEDB63-8EB1-4E68-8C73-6F3D35C9EEF7}" name="Number of Cycles (cycles)" dataDxfId="9"/>
    <tableColumn id="12" xr3:uid="{5EB3D6EA-60A8-471D-AB0E-73C0B9E22DD2}" name="Stress ratio R" dataDxfId="8"/>
    <tableColumn id="10" xr3:uid="{EC242BA9-DE01-42A2-8C6C-75459CDE529E}" name="K" dataDxfId="7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12" totalsRowShown="0" headerRowDxfId="59" dataDxfId="58">
  <autoFilter ref="A1:AQ12" xr:uid="{86243907-AA5D-4F4D-8699-490D77B21127}"/>
  <tableColumns count="43">
    <tableColumn id="31" xr3:uid="{05937513-BC98-44D1-A5DC-F19589B15DDF}" name="Authors" dataDxfId="57"/>
    <tableColumn id="32" xr3:uid="{DCBCBA66-A67E-429B-A752-67A81643133E}" name="Article year" dataDxfId="2"/>
    <tableColumn id="1" xr3:uid="{D75788C8-C867-4D50-A818-DADFA5044830}" name="Article DOI / Reference" dataDxfId="0"/>
    <tableColumn id="30" xr3:uid="{FA5CACDD-A594-4207-9BA7-C7F165153D5B}" name="Specimen name" dataDxfId="1"/>
    <tableColumn id="2" xr3:uid="{19DD8629-B305-4804-A689-1057FBADF71C}" name="Number of cycles to failure" dataDxfId="56"/>
    <tableColumn id="4" xr3:uid="{27575528-FAA3-4B4C-8860-7A7CFCB79DBE}" name="Run out (Yes/No)" dataDxfId="55"/>
    <tableColumn id="3" xr3:uid="{0CF78E1F-0EC3-474A-B3FD-519C01702157}" name="Failure type (complete rupture/stiffness decrease)" dataDxfId="54"/>
    <tableColumn id="26" xr3:uid="{05D9D755-9B11-40C9-8DCB-B9E39E20FA04}" name="Geometry picture" dataDxfId="53"/>
    <tableColumn id="33" xr3:uid="{936299CD-E030-4427-B1AB-D5CB204A04BE}" name="Geometry type (flat/cylindrical/hollow cylinder)" dataDxfId="52"/>
    <tableColumn id="34" xr3:uid="{09266E8F-9B14-40D4-88AB-80CC92F93BA2}" name="Notched" dataDxfId="51"/>
    <tableColumn id="39" xr3:uid="{108E1228-D670-44CE-87DA-2A1B0D22E417}" name="A (mm)" dataDxfId="50"/>
    <tableColumn id="38" xr3:uid="{D6414C63-3F42-4BCA-BB3F-506FCA7B7866}" name="B (mm)" dataDxfId="49"/>
    <tableColumn id="37" xr3:uid="{8138AA3A-CE2D-441D-907D-E35AD875EC90}" name="Hole diameter (mm)" dataDxfId="48"/>
    <tableColumn id="27" xr3:uid="{D5A8CCC0-542A-450B-8F88-B47472F29E40}" name="Diameter (mm)" dataDxfId="47"/>
    <tableColumn id="28" xr3:uid="{36725B61-E4CB-4B7E-AF40-7F3BC6BE6CB3}" name="Area (mm^2)" dataDxfId="46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45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44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43"/>
    <tableColumn id="40" xr3:uid="{FF54B50E-D6C4-4EF8-BED6-8558889E32B3}" name="Phase AXIAL load (°)" dataDxfId="42"/>
    <tableColumn id="22" xr3:uid="{9A8358C3-645B-4F7B-A800-BF2013564F31}" name="Phase TORSIONAL load (°)" dataDxfId="41"/>
    <tableColumn id="43" xr3:uid="{32E76D00-2B52-4D17-881F-6CB825346CD9}" name="Freq RADIAL load [Hz]" dataDxfId="40"/>
    <tableColumn id="42" xr3:uid="{A0DFAB77-F821-4A7F-A0A1-75075998D45D}" name="Freq AXIAL load[Hz]" dataDxfId="39"/>
    <tableColumn id="41" xr3:uid="{DEC77E42-D985-463A-B500-A8E16CF67856}" name="Freq TORSIONAL load [Hz]" dataDxfId="5"/>
    <tableColumn id="23" xr3:uid="{9724DA05-688A-43E5-9AAC-5035994CD3C7}" name="Load ratio (RADIAL)" dataDxfId="3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4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6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8"/>
    <tableColumn id="6" xr3:uid="{CFA41242-20EF-4D5D-9025-FC3F232CBE04}" name="Amplitute RADIAL stress  (MPa)" dataDxfId="37"/>
    <tableColumn id="16" xr3:uid="{F37D511D-F078-4171-84FD-3AE13D4078DC}" name="Mean AXIAL stress  (MPa)" dataDxfId="36"/>
    <tableColumn id="8" xr3:uid="{933ACC34-FA80-47BE-87CF-5D7D742564A2}" name="Amplitute AXIAL stress  (MPa)" dataDxfId="35"/>
    <tableColumn id="44" xr3:uid="{460C3648-EA91-4BC9-8C0D-58B3E19E1ED3}" name="derived from (AXIAL/BENDING) load" dataDxfId="34"/>
    <tableColumn id="19" xr3:uid="{06584471-CEAD-405D-A12E-5A2E79E8CA33}" name="Mean SHEAR stress  (MPa)" dataDxfId="33"/>
    <tableColumn id="10" xr3:uid="{2FCDB52E-3BD8-4D04-8689-303C003D64AE}" name="Amplitute SHEAR stress  (MPa)" dataDxfId="32"/>
    <tableColumn id="36" xr3:uid="{EF2440ED-01F8-493F-BD7F-BDBCFC67F43F}" name="Mean internal PRESSURE  (MPa)" dataDxfId="31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30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29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28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27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26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25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24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23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22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opLeftCell="A14" zoomScaleNormal="100" workbookViewId="0">
      <selection activeCell="L15" sqref="L15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60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38</v>
      </c>
      <c r="J1" s="2" t="s">
        <v>39</v>
      </c>
      <c r="K1" s="2" t="s">
        <v>36</v>
      </c>
      <c r="L1" s="2" t="s">
        <v>37</v>
      </c>
      <c r="M1" s="1" t="s">
        <v>4</v>
      </c>
    </row>
    <row r="2" spans="1:13" ht="20.100000000000001" customHeight="1" x14ac:dyDescent="0.25">
      <c r="A2" s="13" t="s">
        <v>63</v>
      </c>
      <c r="B2" s="1" t="s">
        <v>64</v>
      </c>
      <c r="C2" s="1">
        <v>1987</v>
      </c>
      <c r="D2" s="1" t="s">
        <v>65</v>
      </c>
      <c r="E2" s="1">
        <v>127000</v>
      </c>
      <c r="F2" s="1" t="s">
        <v>21</v>
      </c>
      <c r="G2" s="1">
        <v>801</v>
      </c>
      <c r="H2" s="1">
        <v>672</v>
      </c>
      <c r="I2" s="1">
        <v>340</v>
      </c>
      <c r="J2" s="1">
        <v>228</v>
      </c>
      <c r="K2" s="10">
        <v>2000000</v>
      </c>
      <c r="L2" s="1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1.4912280701754386</v>
      </c>
    </row>
    <row r="3" spans="1:13" ht="20.100000000000001" customHeight="1" x14ac:dyDescent="0.25">
      <c r="A3" s="13"/>
      <c r="B3" s="1"/>
      <c r="C3" s="1"/>
      <c r="D3" s="1"/>
      <c r="E3" s="1"/>
      <c r="F3" s="1"/>
      <c r="G3" s="1"/>
      <c r="H3" s="1"/>
      <c r="I3" s="1"/>
      <c r="J3" s="1"/>
      <c r="K3" s="10"/>
      <c r="L3" s="1"/>
      <c r="M3" s="14"/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/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56" t="s">
        <v>24</v>
      </c>
      <c r="B6" s="57"/>
      <c r="C6" s="57"/>
      <c r="D6" s="58"/>
      <c r="E6" s="3">
        <f>IF(COUNT(Tabella1[Young''s modulus (MPa)])=0, "Null", AVERAGE(Tabella1[Young''s modulus (MPa)]))</f>
        <v>127000</v>
      </c>
      <c r="F6" s="3" t="str">
        <f>IF(COUNT(Tabella1[Poisson''s ratio (-)])=0, "Null", AVERAGE(Tabella1[Poisson''s ratio (-)]))</f>
        <v>Null</v>
      </c>
      <c r="G6" s="3">
        <f>IF(COUNT(Tabella1[Tensile strength (MPa)])=0, "Null", AVERAGE(Tabella1[Tensile strength (MPa)]))</f>
        <v>801</v>
      </c>
      <c r="H6" s="3">
        <f>IF(COUNT(Tabella1[Yield strength (MPa)])=0, "Null", AVERAGE(Tabella1[Yield strength (MPa)]))</f>
        <v>672</v>
      </c>
      <c r="I6" s="3">
        <f>IF(COUNT(Tabella1[Tensile fatigue limit (MPa)])=0, "Null", AVERAGE(Tabella1[Tensile fatigue limit (MPa)]))</f>
        <v>340</v>
      </c>
      <c r="J6" s="3">
        <f>IF(COUNT(Tabella1[Torsional fatigue limit (MPa)])=0, "Null", AVERAGE(Tabella1[Torsional fatigue limit (MPa)]))</f>
        <v>228</v>
      </c>
      <c r="K6" s="11"/>
      <c r="L6" s="9"/>
      <c r="M6" s="15">
        <f>IF(COUNT(Tabella1[K])=0, "Null", AVERAGE(Tabella1[K]))</f>
        <v>1.4912280701754386</v>
      </c>
    </row>
    <row r="7" spans="1:13" ht="20.100000000000001" customHeight="1" thickBot="1" x14ac:dyDescent="0.3">
      <c r="A7" s="59" t="s">
        <v>23</v>
      </c>
      <c r="B7" s="60"/>
      <c r="C7" s="60"/>
      <c r="D7" s="61"/>
      <c r="E7" s="4">
        <f>IF(COUNT(Tabella1[Young''s modulus (MPa)])=0, "Null", _xlfn.STDEV.P(Tabella1[Young''s modulus (MPa)]))</f>
        <v>0</v>
      </c>
      <c r="F7" s="4" t="str">
        <f>IF(COUNT(Tabella1[Poisson''s ratio (-)])=0, "Null", _xlfn.STDEV.P(Tabella1[Poisson''s ratio (-)]))</f>
        <v>Null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0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62" t="s">
        <v>28</v>
      </c>
      <c r="B13" s="5" t="s">
        <v>29</v>
      </c>
    </row>
    <row r="14" spans="1:13" ht="20.100000000000001" customHeight="1" thickBot="1" x14ac:dyDescent="0.3">
      <c r="A14" s="63"/>
      <c r="B14" s="6" t="s">
        <v>30</v>
      </c>
    </row>
    <row r="27" spans="4:4" x14ac:dyDescent="0.25">
      <c r="D27" s="7" t="s">
        <v>33</v>
      </c>
    </row>
    <row r="28" spans="4:4" x14ac:dyDescent="0.25">
      <c r="D28" s="8">
        <f>COUNTA(Tabella2[Authors])</f>
        <v>11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426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B19" sqref="B19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81" customWidth="1"/>
    <col min="4" max="4" width="54" style="1" customWidth="1"/>
    <col min="5" max="5" width="32.85546875" style="14" customWidth="1"/>
    <col min="6" max="6" width="24.5703125" style="1" customWidth="1"/>
    <col min="7" max="7" width="49.140625" style="17" customWidth="1"/>
    <col min="8" max="8" width="28.7109375" style="1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17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23" customWidth="1"/>
    <col min="22" max="22" width="40.7109375" style="28" customWidth="1"/>
    <col min="23" max="23" width="40" style="28" customWidth="1"/>
    <col min="24" max="24" width="35.140625" style="14" customWidth="1"/>
    <col min="25" max="25" width="34.28515625" style="14" customWidth="1"/>
    <col min="26" max="26" width="41.42578125" style="1" customWidth="1"/>
    <col min="27" max="27" width="28.7109375" style="51" customWidth="1"/>
    <col min="28" max="28" width="29.5703125" style="24" customWidth="1"/>
    <col min="29" max="29" width="27.42578125" style="24" customWidth="1"/>
    <col min="30" max="30" width="30.140625" style="24" customWidth="1"/>
    <col min="31" max="31" width="30.85546875" style="28" customWidth="1"/>
    <col min="32" max="32" width="25" style="24" customWidth="1"/>
    <col min="33" max="33" width="30.28515625" style="17" customWidth="1"/>
    <col min="34" max="34" width="28.5703125" style="24" customWidth="1"/>
    <col min="35" max="35" width="29.28515625" style="24" customWidth="1"/>
    <col min="36" max="36" width="20.140625" style="24" customWidth="1"/>
    <col min="37" max="37" width="23.140625" style="24" customWidth="1"/>
    <col min="38" max="38" width="23.28515625" style="24" customWidth="1"/>
    <col min="39" max="39" width="25.85546875" style="24" customWidth="1"/>
    <col min="40" max="40" width="23.85546875" style="24" customWidth="1"/>
    <col min="41" max="41" width="24" style="18" customWidth="1"/>
    <col min="42" max="42" width="34" style="42" customWidth="1"/>
    <col min="43" max="43" width="52.7109375" style="14"/>
    <col min="44" max="16384" width="52.7109375" style="1"/>
  </cols>
  <sheetData>
    <row r="1" spans="1:43" s="22" customFormat="1" ht="44.25" customHeight="1" thickBot="1" x14ac:dyDescent="0.3">
      <c r="A1" s="21" t="s">
        <v>26</v>
      </c>
      <c r="B1" s="21" t="s">
        <v>25</v>
      </c>
      <c r="C1" s="80" t="s">
        <v>60</v>
      </c>
      <c r="D1" s="21" t="s">
        <v>19</v>
      </c>
      <c r="E1" s="46" t="s">
        <v>5</v>
      </c>
      <c r="F1" s="21" t="s">
        <v>6</v>
      </c>
      <c r="G1" s="20" t="s">
        <v>18</v>
      </c>
      <c r="H1" s="27" t="s">
        <v>16</v>
      </c>
      <c r="I1" s="27" t="s">
        <v>43</v>
      </c>
      <c r="J1" s="27" t="s">
        <v>27</v>
      </c>
      <c r="K1" s="36" t="s">
        <v>40</v>
      </c>
      <c r="L1" s="36" t="s">
        <v>41</v>
      </c>
      <c r="M1" s="36" t="s">
        <v>42</v>
      </c>
      <c r="N1" s="27" t="s">
        <v>17</v>
      </c>
      <c r="O1" s="37" t="s">
        <v>32</v>
      </c>
      <c r="P1" s="37" t="s">
        <v>57</v>
      </c>
      <c r="Q1" s="26" t="s">
        <v>56</v>
      </c>
      <c r="R1" s="25" t="s">
        <v>44</v>
      </c>
      <c r="S1" s="25" t="s">
        <v>45</v>
      </c>
      <c r="T1" s="25" t="s">
        <v>46</v>
      </c>
      <c r="U1" s="52" t="s">
        <v>47</v>
      </c>
      <c r="V1" s="38" t="s">
        <v>48</v>
      </c>
      <c r="W1" s="38" t="s">
        <v>49</v>
      </c>
      <c r="X1" s="67" t="s">
        <v>14</v>
      </c>
      <c r="Y1" s="67" t="s">
        <v>50</v>
      </c>
      <c r="Z1" s="29" t="s">
        <v>15</v>
      </c>
      <c r="AA1" s="54" t="s">
        <v>7</v>
      </c>
      <c r="AB1" s="45" t="s">
        <v>8</v>
      </c>
      <c r="AC1" s="45" t="s">
        <v>51</v>
      </c>
      <c r="AD1" s="45" t="s">
        <v>52</v>
      </c>
      <c r="AE1" s="48" t="s">
        <v>55</v>
      </c>
      <c r="AF1" s="47" t="s">
        <v>9</v>
      </c>
      <c r="AG1" s="39" t="s">
        <v>10</v>
      </c>
      <c r="AH1" s="49" t="s">
        <v>53</v>
      </c>
      <c r="AI1" s="50" t="s">
        <v>54</v>
      </c>
      <c r="AJ1" s="49" t="s">
        <v>58</v>
      </c>
      <c r="AK1" s="50" t="s">
        <v>62</v>
      </c>
      <c r="AL1" s="49" t="s">
        <v>34</v>
      </c>
      <c r="AM1" s="50" t="s">
        <v>35</v>
      </c>
      <c r="AN1" s="49" t="s">
        <v>12</v>
      </c>
      <c r="AO1" s="53" t="s">
        <v>11</v>
      </c>
      <c r="AP1" s="40" t="s">
        <v>13</v>
      </c>
      <c r="AQ1" s="55" t="s">
        <v>61</v>
      </c>
    </row>
    <row r="2" spans="1:43" ht="20.100000000000001" customHeight="1" x14ac:dyDescent="0.25">
      <c r="A2" s="1" t="s">
        <v>64</v>
      </c>
      <c r="B2" s="1">
        <v>1987</v>
      </c>
      <c r="C2" s="13" t="s">
        <v>63</v>
      </c>
      <c r="D2" s="1" t="s">
        <v>66</v>
      </c>
      <c r="E2" s="64">
        <v>1000000</v>
      </c>
      <c r="F2" s="1" t="s">
        <v>31</v>
      </c>
      <c r="G2" s="65" t="s">
        <v>67</v>
      </c>
      <c r="H2" s="1" t="e" vm="1">
        <v>#VALUE!</v>
      </c>
      <c r="I2" s="1" t="s">
        <v>68</v>
      </c>
      <c r="J2" s="1" t="s">
        <v>20</v>
      </c>
      <c r="K2" s="1" t="s">
        <v>21</v>
      </c>
      <c r="L2" s="1" t="s">
        <v>21</v>
      </c>
      <c r="M2" s="1">
        <v>32</v>
      </c>
      <c r="N2" s="66">
        <v>33.6</v>
      </c>
      <c r="O2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2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2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2" s="1">
        <v>60</v>
      </c>
      <c r="S2" s="1">
        <v>0</v>
      </c>
      <c r="T2" s="1">
        <v>90</v>
      </c>
      <c r="U2" s="23">
        <v>20</v>
      </c>
      <c r="V2" s="23">
        <v>20</v>
      </c>
      <c r="W2" s="23">
        <v>20</v>
      </c>
      <c r="X2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3.7558685446009391E-2</v>
      </c>
      <c r="Y2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0.24770642201834864</v>
      </c>
      <c r="Z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" s="1">
        <v>221</v>
      </c>
      <c r="AB2" s="1">
        <v>205</v>
      </c>
      <c r="AC2" s="1">
        <v>340</v>
      </c>
      <c r="AD2" s="1">
        <v>205</v>
      </c>
      <c r="AE2" s="28" t="s">
        <v>59</v>
      </c>
      <c r="AF2" s="68">
        <v>0</v>
      </c>
      <c r="AG2" s="68">
        <v>102.5</v>
      </c>
      <c r="AH2" s="24">
        <f>IF(ISNUMBER(Tabella2[[#This Row],[Mean RADIAL stress  (MPa)]]), Tabella2[[#This Row],[Mean RADIAL stress  (MPa)]],"")</f>
        <v>221</v>
      </c>
      <c r="AI2" s="24">
        <f>IF(ISNUMBER(Tabella2[[#This Row],[Amplitute RADIAL stress  (MPa)]]), Tabella2[[#This Row],[Amplitute RADIAL stress  (MPa)]],"")</f>
        <v>205</v>
      </c>
      <c r="AJ2" s="24">
        <f>IF(ISNUMBER(Tabella2[[#This Row],[Mean AXIAL stress  (MPa)]]), IF(Tabella2[[#This Row],[derived from (AXIAL/BENDING) load]]="AXIAL",Tabella2[[#This Row],[Mean AXIAL stress  (MPa)]]*Tabella2[[#This Row],[Area (mm^2)]],"Null"), "")</f>
        <v>28028.033018266709</v>
      </c>
      <c r="AK2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16899.255202190223</v>
      </c>
      <c r="AL2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135354.98690516164</v>
      </c>
      <c r="AP2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271.18950938412053</v>
      </c>
    </row>
    <row r="3" spans="1:43" ht="20.100000000000001" customHeight="1" x14ac:dyDescent="0.25">
      <c r="A3" s="1" t="s">
        <v>64</v>
      </c>
      <c r="B3" s="1">
        <v>1987</v>
      </c>
      <c r="C3" s="13" t="s">
        <v>63</v>
      </c>
      <c r="D3" s="1" t="s">
        <v>66</v>
      </c>
      <c r="E3" s="64">
        <v>1000000</v>
      </c>
      <c r="F3" s="1" t="s">
        <v>31</v>
      </c>
      <c r="G3" s="65" t="s">
        <v>67</v>
      </c>
      <c r="H3" s="1" t="e" vm="1">
        <v>#VALUE!</v>
      </c>
      <c r="I3" s="1" t="s">
        <v>68</v>
      </c>
      <c r="J3" s="1" t="s">
        <v>20</v>
      </c>
      <c r="K3" s="1" t="s">
        <v>21</v>
      </c>
      <c r="L3" s="1" t="s">
        <v>21</v>
      </c>
      <c r="M3" s="1">
        <v>32</v>
      </c>
      <c r="N3" s="66">
        <v>33.6</v>
      </c>
      <c r="O3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3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3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3" s="1">
        <v>180</v>
      </c>
      <c r="S3" s="1">
        <v>0</v>
      </c>
      <c r="T3" s="1">
        <v>90</v>
      </c>
      <c r="U3" s="23">
        <v>20</v>
      </c>
      <c r="V3" s="23">
        <v>20</v>
      </c>
      <c r="W3" s="23">
        <v>20</v>
      </c>
      <c r="X3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8.8669950738916259E-2</v>
      </c>
      <c r="Y3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0.29523809523809524</v>
      </c>
      <c r="Z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" s="1">
        <v>221</v>
      </c>
      <c r="AB3" s="1">
        <v>185</v>
      </c>
      <c r="AC3" s="1">
        <v>340</v>
      </c>
      <c r="AD3" s="1">
        <v>185</v>
      </c>
      <c r="AE3" s="28" t="s">
        <v>59</v>
      </c>
      <c r="AF3" s="65">
        <v>0</v>
      </c>
      <c r="AG3" s="65">
        <v>92.5</v>
      </c>
      <c r="AH3" s="24">
        <f>IF(ISNUMBER(Tabella2[[#This Row],[Mean RADIAL stress  (MPa)]]), Tabella2[[#This Row],[Mean RADIAL stress  (MPa)]],"")</f>
        <v>221</v>
      </c>
      <c r="AI3" s="24">
        <f>IF(ISNUMBER(Tabella2[[#This Row],[Amplitute RADIAL stress  (MPa)]]), Tabella2[[#This Row],[Amplitute RADIAL stress  (MPa)]],"")</f>
        <v>185</v>
      </c>
      <c r="AJ3" s="24">
        <f>IF(ISNUMBER(Tabella2[[#This Row],[Mean AXIAL stress  (MPa)]]), IF(Tabella2[[#This Row],[derived from (AXIAL/BENDING) load]]="AXIAL",Tabella2[[#This Row],[Mean AXIAL stress  (MPa)]]*Tabella2[[#This Row],[Area (mm^2)]],"Null"), "")</f>
        <v>28028.033018266709</v>
      </c>
      <c r="AK3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15250.547377586297</v>
      </c>
      <c r="AL3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122149.6223290483</v>
      </c>
      <c r="AP3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244.73199627347464</v>
      </c>
    </row>
    <row r="4" spans="1:43" ht="20.100000000000001" customHeight="1" x14ac:dyDescent="0.25">
      <c r="A4" s="1" t="s">
        <v>64</v>
      </c>
      <c r="B4" s="1">
        <v>1987</v>
      </c>
      <c r="C4" s="13" t="s">
        <v>63</v>
      </c>
      <c r="D4" s="1" t="s">
        <v>66</v>
      </c>
      <c r="E4" s="64">
        <v>1000000</v>
      </c>
      <c r="F4" s="1" t="s">
        <v>31</v>
      </c>
      <c r="G4" s="65" t="s">
        <v>67</v>
      </c>
      <c r="H4" s="1" t="e" vm="2">
        <v>#VALUE!</v>
      </c>
      <c r="I4" s="1" t="s">
        <v>68</v>
      </c>
      <c r="J4" s="1" t="s">
        <v>20</v>
      </c>
      <c r="K4" s="1" t="s">
        <v>21</v>
      </c>
      <c r="L4" s="1" t="s">
        <v>21</v>
      </c>
      <c r="M4" s="1">
        <v>32</v>
      </c>
      <c r="N4" s="66">
        <v>33.6</v>
      </c>
      <c r="O4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4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4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4" s="1">
        <v>0</v>
      </c>
      <c r="S4" s="1">
        <v>0</v>
      </c>
      <c r="T4" s="1">
        <v>90</v>
      </c>
      <c r="U4" s="23">
        <v>20</v>
      </c>
      <c r="V4" s="23">
        <v>20</v>
      </c>
      <c r="W4" s="23">
        <v>20</v>
      </c>
      <c r="X4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0.15065502183406118</v>
      </c>
      <c r="Y4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0.10270270270270271</v>
      </c>
      <c r="Z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" s="1">
        <v>210.8</v>
      </c>
      <c r="AB4" s="1">
        <v>155.6</v>
      </c>
      <c r="AC4" s="1">
        <v>255</v>
      </c>
      <c r="AD4" s="1">
        <v>207.5</v>
      </c>
      <c r="AE4" s="28" t="s">
        <v>59</v>
      </c>
      <c r="AF4" s="65">
        <v>0</v>
      </c>
      <c r="AG4" s="65">
        <v>103.75</v>
      </c>
      <c r="AH4" s="24">
        <f>IF(ISNUMBER(Tabella2[[#This Row],[Mean RADIAL stress  (MPa)]]), Tabella2[[#This Row],[Mean RADIAL stress  (MPa)]],"")</f>
        <v>210.8</v>
      </c>
      <c r="AI4" s="24">
        <f>IF(ISNUMBER(Tabella2[[#This Row],[Amplitute RADIAL stress  (MPa)]]), Tabella2[[#This Row],[Amplitute RADIAL stress  (MPa)]],"")</f>
        <v>155.6</v>
      </c>
      <c r="AJ4" s="24">
        <f>IF(ISNUMBER(Tabella2[[#This Row],[Mean AXIAL stress  (MPa)]]), IF(Tabella2[[#This Row],[derived from (AXIAL/BENDING) load]]="AXIAL",Tabella2[[#This Row],[Mean AXIAL stress  (MPa)]]*Tabella2[[#This Row],[Area (mm^2)]],"Null"), "")</f>
        <v>21021.024763700032</v>
      </c>
      <c r="AK4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17105.343680265712</v>
      </c>
      <c r="AL4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137005.65747717579</v>
      </c>
      <c r="AP4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259.37000115664881</v>
      </c>
    </row>
    <row r="5" spans="1:43" ht="20.100000000000001" customHeight="1" x14ac:dyDescent="0.25">
      <c r="A5" s="1" t="s">
        <v>64</v>
      </c>
      <c r="B5" s="1">
        <v>1987</v>
      </c>
      <c r="C5" s="13" t="s">
        <v>63</v>
      </c>
      <c r="D5" s="1" t="s">
        <v>66</v>
      </c>
      <c r="E5" s="64">
        <v>1000000</v>
      </c>
      <c r="F5" s="1" t="s">
        <v>31</v>
      </c>
      <c r="G5" s="65" t="s">
        <v>67</v>
      </c>
      <c r="H5" s="1" t="e" vm="1">
        <v>#VALUE!</v>
      </c>
      <c r="I5" s="1" t="s">
        <v>68</v>
      </c>
      <c r="J5" s="1" t="s">
        <v>20</v>
      </c>
      <c r="K5" s="1" t="s">
        <v>21</v>
      </c>
      <c r="L5" s="1" t="s">
        <v>21</v>
      </c>
      <c r="M5" s="1">
        <v>32</v>
      </c>
      <c r="N5" s="66">
        <v>33.6</v>
      </c>
      <c r="O5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5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5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5" s="1">
        <v>0</v>
      </c>
      <c r="S5" s="1">
        <v>0</v>
      </c>
      <c r="T5" s="1">
        <v>180</v>
      </c>
      <c r="U5" s="23">
        <v>20</v>
      </c>
      <c r="V5" s="23">
        <v>20</v>
      </c>
      <c r="W5" s="23">
        <v>20</v>
      </c>
      <c r="X5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0.13976750473100844</v>
      </c>
      <c r="Y5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9.1843288375080295E-2</v>
      </c>
      <c r="Z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" s="1">
        <v>210.8</v>
      </c>
      <c r="AB5" s="1">
        <v>159.1</v>
      </c>
      <c r="AC5" s="1">
        <v>255</v>
      </c>
      <c r="AD5" s="1">
        <v>212.1</v>
      </c>
      <c r="AE5" s="28" t="s">
        <v>59</v>
      </c>
      <c r="AF5" s="65">
        <v>0</v>
      </c>
      <c r="AG5" s="65">
        <v>106.05</v>
      </c>
      <c r="AH5" s="24">
        <f>IF(ISNUMBER(Tabella2[[#This Row],[Mean RADIAL stress  (MPa)]]), Tabella2[[#This Row],[Mean RADIAL stress  (MPa)]],"")</f>
        <v>210.8</v>
      </c>
      <c r="AI5" s="24">
        <f>IF(ISNUMBER(Tabella2[[#This Row],[Amplitute RADIAL stress  (MPa)]]), Tabella2[[#This Row],[Amplitute RADIAL stress  (MPa)]],"")</f>
        <v>159.1</v>
      </c>
      <c r="AJ5" s="24">
        <f>IF(ISNUMBER(Tabella2[[#This Row],[Mean AXIAL stress  (MPa)]]), IF(Tabella2[[#This Row],[derived from (AXIAL/BENDING) load]]="AXIAL",Tabella2[[#This Row],[Mean AXIAL stress  (MPa)]]*Tabella2[[#This Row],[Area (mm^2)]],"Null"), "")</f>
        <v>21021.024763700032</v>
      </c>
      <c r="AK5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17484.546479924615</v>
      </c>
      <c r="AL5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140042.89132968185</v>
      </c>
      <c r="AP5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265.13000113152037</v>
      </c>
    </row>
    <row r="6" spans="1:43" ht="20.100000000000001" customHeight="1" x14ac:dyDescent="0.25">
      <c r="A6" s="1" t="s">
        <v>64</v>
      </c>
      <c r="B6" s="1">
        <v>1987</v>
      </c>
      <c r="C6" s="13" t="s">
        <v>63</v>
      </c>
      <c r="D6" s="1" t="s">
        <v>66</v>
      </c>
      <c r="E6" s="64">
        <v>1000000</v>
      </c>
      <c r="F6" s="1" t="s">
        <v>31</v>
      </c>
      <c r="G6" s="65" t="s">
        <v>67</v>
      </c>
      <c r="H6" s="1" t="e" vm="1">
        <v>#VALUE!</v>
      </c>
      <c r="I6" s="1" t="s">
        <v>68</v>
      </c>
      <c r="J6" s="1" t="s">
        <v>20</v>
      </c>
      <c r="K6" s="1" t="s">
        <v>21</v>
      </c>
      <c r="L6" s="1" t="s">
        <v>21</v>
      </c>
      <c r="M6" s="1">
        <v>32</v>
      </c>
      <c r="N6" s="66">
        <v>33.6</v>
      </c>
      <c r="O6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6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6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6" s="1">
        <v>60</v>
      </c>
      <c r="S6" s="1">
        <v>0</v>
      </c>
      <c r="T6" s="1">
        <v>90</v>
      </c>
      <c r="U6" s="23">
        <v>20</v>
      </c>
      <c r="V6" s="23">
        <v>20</v>
      </c>
      <c r="W6" s="23">
        <v>20</v>
      </c>
      <c r="X6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0.11064278187565858</v>
      </c>
      <c r="Y6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6.25E-2</v>
      </c>
      <c r="Z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" s="1">
        <v>210.8</v>
      </c>
      <c r="AB6" s="1">
        <v>168.8</v>
      </c>
      <c r="AC6" s="1">
        <v>255</v>
      </c>
      <c r="AD6" s="1">
        <v>225</v>
      </c>
      <c r="AE6" s="28" t="s">
        <v>59</v>
      </c>
      <c r="AF6" s="65">
        <v>0</v>
      </c>
      <c r="AG6" s="65">
        <v>112.5</v>
      </c>
      <c r="AH6" s="24">
        <f>IF(ISNUMBER(Tabella2[[#This Row],[Mean RADIAL stress  (MPa)]]), Tabella2[[#This Row],[Mean RADIAL stress  (MPa)]],"")</f>
        <v>210.8</v>
      </c>
      <c r="AI6" s="24">
        <f>IF(ISNUMBER(Tabella2[[#This Row],[Amplitute RADIAL stress  (MPa)]]), Tabella2[[#This Row],[Amplitute RADIAL stress  (MPa)]],"")</f>
        <v>168.8</v>
      </c>
      <c r="AJ6" s="24">
        <f>IF(ISNUMBER(Tabella2[[#This Row],[Mean AXIAL stress  (MPa)]]), IF(Tabella2[[#This Row],[derived from (AXIAL/BENDING) load]]="AXIAL",Tabella2[[#This Row],[Mean AXIAL stress  (MPa)]]*Tabella2[[#This Row],[Area (mm^2)]],"Null"), "")</f>
        <v>21021.024763700032</v>
      </c>
      <c r="AK6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18547.963026794147</v>
      </c>
      <c r="AL6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148560.35148127493</v>
      </c>
      <c r="AP6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281.26000426651495</v>
      </c>
    </row>
    <row r="7" spans="1:43" ht="20.100000000000001" customHeight="1" x14ac:dyDescent="0.25">
      <c r="A7" s="1" t="s">
        <v>64</v>
      </c>
      <c r="B7" s="1">
        <v>1987</v>
      </c>
      <c r="C7" s="13" t="s">
        <v>63</v>
      </c>
      <c r="D7" s="1" t="s">
        <v>66</v>
      </c>
      <c r="E7" s="64">
        <v>1000000</v>
      </c>
      <c r="F7" s="1" t="s">
        <v>31</v>
      </c>
      <c r="G7" s="65" t="s">
        <v>67</v>
      </c>
      <c r="H7" s="1" t="e" vm="1">
        <v>#VALUE!</v>
      </c>
      <c r="I7" s="1" t="s">
        <v>68</v>
      </c>
      <c r="J7" s="1" t="s">
        <v>20</v>
      </c>
      <c r="K7" s="1" t="s">
        <v>21</v>
      </c>
      <c r="L7" s="1" t="s">
        <v>21</v>
      </c>
      <c r="M7" s="1">
        <v>32</v>
      </c>
      <c r="N7" s="66">
        <v>33.6</v>
      </c>
      <c r="O7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7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7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7" s="1">
        <v>90</v>
      </c>
      <c r="S7" s="1">
        <v>0</v>
      </c>
      <c r="T7" s="1">
        <v>45</v>
      </c>
      <c r="U7" s="23">
        <v>20</v>
      </c>
      <c r="V7" s="23">
        <v>20</v>
      </c>
      <c r="W7" s="23">
        <v>20</v>
      </c>
      <c r="X7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0.11711711711711717</v>
      </c>
      <c r="Y7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6.8958289666736547E-2</v>
      </c>
      <c r="Z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" s="1">
        <v>210.8</v>
      </c>
      <c r="AB7" s="1">
        <v>166.6</v>
      </c>
      <c r="AC7" s="1">
        <v>255</v>
      </c>
      <c r="AD7" s="1">
        <v>222.1</v>
      </c>
      <c r="AE7" s="28" t="s">
        <v>59</v>
      </c>
      <c r="AF7" s="65">
        <v>0</v>
      </c>
      <c r="AG7" s="65">
        <v>111.05</v>
      </c>
      <c r="AH7" s="24">
        <f>IF(ISNUMBER(Tabella2[[#This Row],[Mean RADIAL stress  (MPa)]]), Tabella2[[#This Row],[Mean RADIAL stress  (MPa)]],"")</f>
        <v>210.8</v>
      </c>
      <c r="AI7" s="24">
        <f>IF(ISNUMBER(Tabella2[[#This Row],[Amplitute RADIAL stress  (MPa)]]), Tabella2[[#This Row],[Amplitute RADIAL stress  (MPa)]],"")</f>
        <v>166.6</v>
      </c>
      <c r="AJ7" s="24">
        <f>IF(ISNUMBER(Tabella2[[#This Row],[Mean AXIAL stress  (MPa)]]), IF(Tabella2[[#This Row],[derived from (AXIAL/BENDING) load]]="AXIAL",Tabella2[[#This Row],[Mean AXIAL stress  (MPa)]]*Tabella2[[#This Row],[Area (mm^2)]],"Null"), "")</f>
        <v>21021.024763700032</v>
      </c>
      <c r="AK7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18308.900392226577</v>
      </c>
      <c r="AL7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146645.57361773853</v>
      </c>
      <c r="AP7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277.63000108057486</v>
      </c>
    </row>
    <row r="8" spans="1:43" ht="20.100000000000001" customHeight="1" x14ac:dyDescent="0.25">
      <c r="A8" s="1" t="s">
        <v>64</v>
      </c>
      <c r="B8" s="1">
        <v>1987</v>
      </c>
      <c r="C8" s="13" t="s">
        <v>63</v>
      </c>
      <c r="D8" s="1" t="s">
        <v>66</v>
      </c>
      <c r="E8" s="64">
        <v>1000000</v>
      </c>
      <c r="F8" s="1" t="s">
        <v>31</v>
      </c>
      <c r="G8" s="65" t="s">
        <v>67</v>
      </c>
      <c r="H8" s="1" t="e" vm="1">
        <v>#VALUE!</v>
      </c>
      <c r="I8" s="1" t="s">
        <v>68</v>
      </c>
      <c r="J8" s="1" t="s">
        <v>20</v>
      </c>
      <c r="K8" s="1" t="s">
        <v>21</v>
      </c>
      <c r="L8" s="1" t="s">
        <v>21</v>
      </c>
      <c r="M8" s="1">
        <v>32</v>
      </c>
      <c r="N8" s="66">
        <v>33.6</v>
      </c>
      <c r="O8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8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8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8" s="1">
        <v>90</v>
      </c>
      <c r="S8" s="1">
        <v>0</v>
      </c>
      <c r="T8" s="1">
        <v>90</v>
      </c>
      <c r="U8" s="23">
        <v>20</v>
      </c>
      <c r="V8" s="23">
        <v>20</v>
      </c>
      <c r="W8" s="23">
        <v>20</v>
      </c>
      <c r="X8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0.15633571036752605</v>
      </c>
      <c r="Y8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0.10869565217391304</v>
      </c>
      <c r="Z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" s="1">
        <v>210.8</v>
      </c>
      <c r="AB8" s="1">
        <v>153.80000000000001</v>
      </c>
      <c r="AC8" s="1">
        <v>255</v>
      </c>
      <c r="AD8" s="1">
        <v>205</v>
      </c>
      <c r="AE8" s="28" t="s">
        <v>59</v>
      </c>
      <c r="AF8" s="65">
        <v>0</v>
      </c>
      <c r="AG8" s="65">
        <v>102.5</v>
      </c>
      <c r="AH8" s="24">
        <f>IF(ISNUMBER(Tabella2[[#This Row],[Mean RADIAL stress  (MPa)]]), Tabella2[[#This Row],[Mean RADIAL stress  (MPa)]],"")</f>
        <v>210.8</v>
      </c>
      <c r="AI8" s="24">
        <f>IF(ISNUMBER(Tabella2[[#This Row],[Amplitute RADIAL stress  (MPa)]]), Tabella2[[#This Row],[Amplitute RADIAL stress  (MPa)]],"")</f>
        <v>153.80000000000001</v>
      </c>
      <c r="AJ8" s="24">
        <f>IF(ISNUMBER(Tabella2[[#This Row],[Mean AXIAL stress  (MPa)]]), IF(Tabella2[[#This Row],[derived from (AXIAL/BENDING) load]]="AXIAL",Tabella2[[#This Row],[Mean AXIAL stress  (MPa)]]*Tabella2[[#This Row],[Area (mm^2)]],"Null"), "")</f>
        <v>21021.024763700032</v>
      </c>
      <c r="AK8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16899.255202190223</v>
      </c>
      <c r="AL8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135354.98690516164</v>
      </c>
      <c r="AP8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256.26000468274407</v>
      </c>
    </row>
    <row r="9" spans="1:43" ht="20.100000000000001" customHeight="1" x14ac:dyDescent="0.25">
      <c r="A9" s="1" t="s">
        <v>64</v>
      </c>
      <c r="B9" s="1">
        <v>1987</v>
      </c>
      <c r="C9" s="13" t="s">
        <v>63</v>
      </c>
      <c r="D9" s="1" t="s">
        <v>66</v>
      </c>
      <c r="E9" s="64">
        <v>1000000</v>
      </c>
      <c r="F9" s="1" t="s">
        <v>31</v>
      </c>
      <c r="G9" s="65" t="s">
        <v>67</v>
      </c>
      <c r="H9" s="1" t="e" vm="1">
        <v>#VALUE!</v>
      </c>
      <c r="I9" s="1" t="s">
        <v>68</v>
      </c>
      <c r="J9" s="1" t="s">
        <v>20</v>
      </c>
      <c r="K9" s="1" t="s">
        <v>21</v>
      </c>
      <c r="L9" s="1" t="s">
        <v>21</v>
      </c>
      <c r="M9" s="1">
        <v>32</v>
      </c>
      <c r="N9" s="66">
        <v>33.6</v>
      </c>
      <c r="O9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9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9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9" s="1">
        <v>90</v>
      </c>
      <c r="S9" s="1">
        <v>0</v>
      </c>
      <c r="T9" s="1">
        <v>135</v>
      </c>
      <c r="U9" s="23">
        <v>20</v>
      </c>
      <c r="V9" s="23">
        <v>20</v>
      </c>
      <c r="W9" s="23">
        <v>20</v>
      </c>
      <c r="X9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0.13302875571083042</v>
      </c>
      <c r="Y9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8.5106382978723402E-2</v>
      </c>
      <c r="Z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" s="1">
        <v>210.8</v>
      </c>
      <c r="AB9" s="1">
        <v>161.30000000000001</v>
      </c>
      <c r="AC9" s="1">
        <v>255</v>
      </c>
      <c r="AD9" s="1">
        <v>215</v>
      </c>
      <c r="AE9" s="28" t="s">
        <v>59</v>
      </c>
      <c r="AF9" s="65">
        <v>0</v>
      </c>
      <c r="AG9" s="65">
        <v>107.5</v>
      </c>
      <c r="AH9" s="24">
        <f>IF(ISNUMBER(Tabella2[[#This Row],[Mean RADIAL stress  (MPa)]]), Tabella2[[#This Row],[Mean RADIAL stress  (MPa)]],"")</f>
        <v>210.8</v>
      </c>
      <c r="AI9" s="24">
        <f>IF(ISNUMBER(Tabella2[[#This Row],[Amplitute RADIAL stress  (MPa)]]), Tabella2[[#This Row],[Amplitute RADIAL stress  (MPa)]],"")</f>
        <v>161.30000000000001</v>
      </c>
      <c r="AJ9" s="24">
        <f>IF(ISNUMBER(Tabella2[[#This Row],[Mean AXIAL stress  (MPa)]]), IF(Tabella2[[#This Row],[derived from (AXIAL/BENDING) load]]="AXIAL",Tabella2[[#This Row],[Mean AXIAL stress  (MPa)]]*Tabella2[[#This Row],[Area (mm^2)]],"Null"), "")</f>
        <v>21021.024763700032</v>
      </c>
      <c r="AK9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17723.609114492185</v>
      </c>
      <c r="AL9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141957.66919321829</v>
      </c>
      <c r="AP9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268.7600044649501</v>
      </c>
    </row>
    <row r="10" spans="1:43" ht="20.100000000000001" customHeight="1" x14ac:dyDescent="0.25">
      <c r="A10" s="1" t="s">
        <v>64</v>
      </c>
      <c r="B10" s="1">
        <v>1987</v>
      </c>
      <c r="C10" s="13" t="s">
        <v>63</v>
      </c>
      <c r="D10" s="1" t="s">
        <v>66</v>
      </c>
      <c r="E10" s="64">
        <v>1000000</v>
      </c>
      <c r="F10" s="1" t="s">
        <v>31</v>
      </c>
      <c r="G10" s="65" t="s">
        <v>67</v>
      </c>
      <c r="H10" s="1" t="e" vm="1">
        <v>#VALUE!</v>
      </c>
      <c r="I10" s="1" t="s">
        <v>68</v>
      </c>
      <c r="J10" s="1" t="s">
        <v>20</v>
      </c>
      <c r="K10" s="1" t="s">
        <v>21</v>
      </c>
      <c r="L10" s="1" t="s">
        <v>21</v>
      </c>
      <c r="M10" s="1">
        <v>32</v>
      </c>
      <c r="N10" s="66">
        <v>33.6</v>
      </c>
      <c r="O10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10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10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10" s="1">
        <v>180</v>
      </c>
      <c r="S10" s="1">
        <v>0</v>
      </c>
      <c r="T10" s="1">
        <v>0</v>
      </c>
      <c r="U10" s="23">
        <v>20</v>
      </c>
      <c r="V10" s="23">
        <v>20</v>
      </c>
      <c r="W10" s="23">
        <v>20</v>
      </c>
      <c r="X10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0.19874893375035541</v>
      </c>
      <c r="Y10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0.15150146759990968</v>
      </c>
      <c r="Z1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" s="1">
        <v>210.8</v>
      </c>
      <c r="AB10" s="1">
        <v>140.9</v>
      </c>
      <c r="AC10" s="1">
        <v>255</v>
      </c>
      <c r="AD10" s="1">
        <v>187.9</v>
      </c>
      <c r="AE10" s="28" t="s">
        <v>59</v>
      </c>
      <c r="AF10" s="65">
        <v>0</v>
      </c>
      <c r="AG10" s="65">
        <v>93.95</v>
      </c>
      <c r="AH10" s="24">
        <f>IF(ISNUMBER(Tabella2[[#This Row],[Mean RADIAL stress  (MPa)]]), Tabella2[[#This Row],[Mean RADIAL stress  (MPa)]],"")</f>
        <v>210.8</v>
      </c>
      <c r="AI10" s="24">
        <f>IF(ISNUMBER(Tabella2[[#This Row],[Amplitute RADIAL stress  (MPa)]]), Tabella2[[#This Row],[Amplitute RADIAL stress  (MPa)]],"")</f>
        <v>140.9</v>
      </c>
      <c r="AJ10" s="24">
        <f>IF(ISNUMBER(Tabella2[[#This Row],[Mean AXIAL stress  (MPa)]]), IF(Tabella2[[#This Row],[derived from (AXIAL/BENDING) load]]="AXIAL",Tabella2[[#This Row],[Mean AXIAL stress  (MPa)]]*Tabella2[[#This Row],[Area (mm^2)]],"Null"), "")</f>
        <v>21021.024763700032</v>
      </c>
      <c r="AK10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15489.610012153868</v>
      </c>
      <c r="AL10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124064.40019258474</v>
      </c>
      <c r="AP10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234.87000127730235</v>
      </c>
    </row>
    <row r="11" spans="1:43" ht="20.100000000000001" customHeight="1" x14ac:dyDescent="0.25">
      <c r="A11" s="1" t="s">
        <v>64</v>
      </c>
      <c r="B11" s="1">
        <v>1987</v>
      </c>
      <c r="C11" s="13" t="s">
        <v>63</v>
      </c>
      <c r="D11" s="1" t="s">
        <v>66</v>
      </c>
      <c r="E11" s="64">
        <v>1000000</v>
      </c>
      <c r="F11" s="1" t="s">
        <v>31</v>
      </c>
      <c r="G11" s="65" t="s">
        <v>67</v>
      </c>
      <c r="H11" s="1" t="e" vm="1">
        <v>#VALUE!</v>
      </c>
      <c r="I11" s="1" t="s">
        <v>68</v>
      </c>
      <c r="J11" s="1" t="s">
        <v>20</v>
      </c>
      <c r="K11" s="1" t="s">
        <v>21</v>
      </c>
      <c r="L11" s="1" t="s">
        <v>21</v>
      </c>
      <c r="M11" s="1">
        <v>32</v>
      </c>
      <c r="N11" s="66">
        <v>33.6</v>
      </c>
      <c r="O11" s="2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11" s="2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11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11" s="1">
        <v>180</v>
      </c>
      <c r="S11" s="1">
        <v>0</v>
      </c>
      <c r="T11" s="1">
        <v>90</v>
      </c>
      <c r="U11" s="23">
        <v>20</v>
      </c>
      <c r="V11" s="23">
        <v>20</v>
      </c>
      <c r="W11" s="23">
        <v>20</v>
      </c>
      <c r="X11" s="14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0.1138705416116249</v>
      </c>
      <c r="Y11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6.5608023401587973E-2</v>
      </c>
      <c r="Z1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1">
        <v>210.8</v>
      </c>
      <c r="AB11" s="1">
        <v>167.7</v>
      </c>
      <c r="AC11" s="1">
        <v>255</v>
      </c>
      <c r="AD11" s="1">
        <v>223.6</v>
      </c>
      <c r="AE11" s="28" t="s">
        <v>59</v>
      </c>
      <c r="AF11" s="65">
        <v>0</v>
      </c>
      <c r="AG11" s="65">
        <v>111.8</v>
      </c>
      <c r="AH11" s="24">
        <f>IF(ISNUMBER(Tabella2[[#This Row],[Mean RADIAL stress  (MPa)]]), Tabella2[[#This Row],[Mean RADIAL stress  (MPa)]],"")</f>
        <v>210.8</v>
      </c>
      <c r="AI11" s="24">
        <f>IF(ISNUMBER(Tabella2[[#This Row],[Amplitute RADIAL stress  (MPa)]]), Tabella2[[#This Row],[Amplitute RADIAL stress  (MPa)]],"")</f>
        <v>167.7</v>
      </c>
      <c r="AJ11" s="24">
        <f>IF(ISNUMBER(Tabella2[[#This Row],[Mean AXIAL stress  (MPa)]]), IF(Tabella2[[#This Row],[derived from (AXIAL/BENDING) load]]="AXIAL",Tabella2[[#This Row],[Mean AXIAL stress  (MPa)]]*Tabella2[[#This Row],[Area (mm^2)]],"Null"), "")</f>
        <v>21021.024763700032</v>
      </c>
      <c r="AK11" s="24">
        <f>IF(ISNUMBER(Tabella2[[#This Row],[Amplitute AXIAL stress  (MPa)]]),    IF(Tabella2[[#This Row],[derived from (AXIAL/BENDING) load]]="AXIAL",Tabella2[[#This Row],[Amplitute AXIAL stress  (MPa)]]*Tabella2[[#This Row],[Area (mm^2)]],"Null"), "")</f>
        <v>18432.55347907187</v>
      </c>
      <c r="AL11" s="2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2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2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147635.97596094702</v>
      </c>
      <c r="AP11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279.5</v>
      </c>
    </row>
    <row r="12" spans="1:43" s="30" customFormat="1" ht="20.100000000000001" customHeight="1" x14ac:dyDescent="0.25">
      <c r="A12" s="30" t="s">
        <v>64</v>
      </c>
      <c r="B12" s="30">
        <v>1987</v>
      </c>
      <c r="C12" s="82" t="s">
        <v>63</v>
      </c>
      <c r="D12" s="30" t="s">
        <v>66</v>
      </c>
      <c r="E12" s="75">
        <v>1000000</v>
      </c>
      <c r="F12" s="30" t="s">
        <v>31</v>
      </c>
      <c r="G12" s="76" t="s">
        <v>67</v>
      </c>
      <c r="H12" s="30" t="e" vm="1">
        <v>#VALUE!</v>
      </c>
      <c r="I12" s="30" t="s">
        <v>68</v>
      </c>
      <c r="J12" s="30" t="s">
        <v>20</v>
      </c>
      <c r="K12" s="30" t="s">
        <v>21</v>
      </c>
      <c r="L12" s="30" t="s">
        <v>21</v>
      </c>
      <c r="M12" s="30">
        <v>32</v>
      </c>
      <c r="N12" s="77">
        <v>33.6</v>
      </c>
      <c r="O12" s="3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82.435391230196203</v>
      </c>
      <c r="P12" s="3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11092.506243935197</v>
      </c>
      <c r="Q12" s="32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22185.012487870394</v>
      </c>
      <c r="R12" s="30">
        <v>90</v>
      </c>
      <c r="S12" s="30">
        <v>0</v>
      </c>
      <c r="T12" s="30">
        <v>135</v>
      </c>
      <c r="U12" s="31">
        <v>20</v>
      </c>
      <c r="V12" s="31">
        <v>20</v>
      </c>
      <c r="W12" s="31">
        <v>20</v>
      </c>
      <c r="X12" s="35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0.13302875571083042</v>
      </c>
      <c r="Y12" s="3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-0.11688311688311688</v>
      </c>
      <c r="Z12" s="3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-9.749872383869318E-2</v>
      </c>
      <c r="AA12" s="30">
        <v>210.8</v>
      </c>
      <c r="AB12" s="30">
        <v>161.30000000000001</v>
      </c>
      <c r="AC12" s="30">
        <v>170</v>
      </c>
      <c r="AD12" s="30">
        <v>215</v>
      </c>
      <c r="AE12" s="33" t="s">
        <v>59</v>
      </c>
      <c r="AF12" s="76">
        <v>88.4</v>
      </c>
      <c r="AG12" s="76">
        <v>107.5</v>
      </c>
      <c r="AH12" s="34">
        <f>IF(ISNUMBER(Tabella2[[#This Row],[Mean RADIAL stress  (MPa)]]), Tabella2[[#This Row],[Mean RADIAL stress  (MPa)]],"")</f>
        <v>210.8</v>
      </c>
      <c r="AI12" s="34">
        <f>IF(ISNUMBER(Tabella2[[#This Row],[Amplitute RADIAL stress  (MPa)]]), Tabella2[[#This Row],[Amplitute RADIAL stress  (MPa)]],"")</f>
        <v>161.30000000000001</v>
      </c>
      <c r="AJ12" s="34">
        <f>IF(ISNUMBER(Tabella2[[#This Row],[Mean AXIAL stress  (MPa)]]), IF(Tabella2[[#This Row],[derived from (AXIAL/BENDING) load]]="AXIAL",Tabella2[[#This Row],[Mean AXIAL stress  (MPa)]]*Tabella2[[#This Row],[Area (mm^2)]],"Null"), "")</f>
        <v>14014.016509133355</v>
      </c>
      <c r="AK12" s="34">
        <f>IF(ISNUMBER(Tabella2[[#This Row],[Amplitute AXIAL stress  (MPa)]]),    IF(Tabella2[[#This Row],[derived from (AXIAL/BENDING) load]]="AXIAL",Tabella2[[#This Row],[Amplitute AXIAL stress  (MPa)]]*Tabella2[[#This Row],[Area (mm^2)]],"Null"), "")</f>
        <v>17723.609114492185</v>
      </c>
      <c r="AL12" s="3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3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3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116735.42285284183</v>
      </c>
      <c r="AO12" s="4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141957.66919321829</v>
      </c>
      <c r="AP12" s="4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2" s="35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268.7600044649501</v>
      </c>
    </row>
    <row r="13" spans="1:43" s="69" customFormat="1" ht="20.100000000000001" customHeight="1" x14ac:dyDescent="0.25">
      <c r="C13" s="79"/>
      <c r="E13" s="70"/>
      <c r="O13" s="71"/>
      <c r="P13" s="71"/>
      <c r="Q13" s="71"/>
      <c r="U13" s="71"/>
      <c r="V13" s="72"/>
      <c r="W13" s="72"/>
      <c r="X13" s="70"/>
      <c r="Y13" s="70"/>
      <c r="AA13" s="73"/>
      <c r="AB13" s="73"/>
      <c r="AC13" s="73"/>
      <c r="AD13" s="73"/>
      <c r="AE13" s="72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0"/>
      <c r="AQ13" s="70"/>
    </row>
    <row r="14" spans="1:43" s="69" customFormat="1" ht="20.100000000000001" customHeight="1" x14ac:dyDescent="0.25">
      <c r="C14" s="79"/>
      <c r="E14" s="70"/>
      <c r="O14" s="71"/>
      <c r="P14" s="71"/>
      <c r="Q14" s="71"/>
      <c r="U14" s="71"/>
      <c r="V14" s="72"/>
      <c r="W14" s="72"/>
      <c r="X14" s="70"/>
      <c r="Y14" s="70"/>
      <c r="AA14" s="73"/>
      <c r="AB14" s="73"/>
      <c r="AC14" s="73"/>
      <c r="AD14" s="73"/>
      <c r="AE14" s="72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0"/>
      <c r="AQ14" s="70"/>
    </row>
    <row r="15" spans="1:43" s="69" customFormat="1" ht="20.100000000000001" customHeight="1" x14ac:dyDescent="0.25">
      <c r="C15" s="79"/>
      <c r="E15" s="70"/>
      <c r="O15" s="71"/>
      <c r="P15" s="71"/>
      <c r="Q15" s="71"/>
      <c r="U15" s="71"/>
      <c r="V15" s="72"/>
      <c r="W15" s="72"/>
      <c r="X15" s="70"/>
      <c r="Y15" s="70"/>
      <c r="AA15" s="73"/>
      <c r="AB15" s="73"/>
      <c r="AC15" s="73"/>
      <c r="AD15" s="73"/>
      <c r="AE15" s="72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0"/>
      <c r="AQ15" s="70"/>
    </row>
    <row r="16" spans="1:43" s="69" customFormat="1" ht="20.100000000000001" customHeight="1" x14ac:dyDescent="0.25">
      <c r="C16" s="79"/>
      <c r="E16" s="70"/>
      <c r="O16" s="71"/>
      <c r="P16" s="71"/>
      <c r="Q16" s="71"/>
      <c r="U16" s="71"/>
      <c r="V16" s="72"/>
      <c r="W16" s="72"/>
      <c r="X16" s="70"/>
      <c r="Y16" s="70"/>
      <c r="AA16" s="73"/>
      <c r="AB16" s="73"/>
      <c r="AC16" s="73"/>
      <c r="AD16" s="73"/>
      <c r="AE16" s="72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0"/>
      <c r="AQ16" s="70"/>
    </row>
    <row r="17" spans="3:43" s="69" customFormat="1" ht="20.100000000000001" customHeight="1" x14ac:dyDescent="0.25">
      <c r="C17" s="79"/>
      <c r="E17" s="70"/>
      <c r="O17" s="71"/>
      <c r="P17" s="71"/>
      <c r="Q17" s="71"/>
      <c r="U17" s="71"/>
      <c r="V17" s="72"/>
      <c r="W17" s="72"/>
      <c r="X17" s="70"/>
      <c r="Y17" s="70"/>
      <c r="AA17" s="73"/>
      <c r="AB17" s="73"/>
      <c r="AC17" s="73"/>
      <c r="AD17" s="73"/>
      <c r="AE17" s="72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0"/>
      <c r="AQ17" s="70"/>
    </row>
    <row r="18" spans="3:43" s="69" customFormat="1" ht="20.100000000000001" customHeight="1" x14ac:dyDescent="0.25">
      <c r="C18" s="79"/>
      <c r="E18" s="70"/>
      <c r="O18" s="71"/>
      <c r="P18" s="71"/>
      <c r="Q18" s="71"/>
      <c r="U18" s="71"/>
      <c r="V18" s="72"/>
      <c r="W18" s="72"/>
      <c r="X18" s="70"/>
      <c r="Y18" s="70"/>
      <c r="AA18" s="73"/>
      <c r="AB18" s="73"/>
      <c r="AC18" s="73"/>
      <c r="AD18" s="73"/>
      <c r="AE18" s="72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0"/>
      <c r="AQ18" s="70"/>
    </row>
    <row r="19" spans="3:43" s="69" customFormat="1" ht="20.100000000000001" customHeight="1" x14ac:dyDescent="0.25">
      <c r="C19" s="79"/>
      <c r="E19" s="70"/>
      <c r="O19" s="71"/>
      <c r="P19" s="71"/>
      <c r="Q19" s="71"/>
      <c r="U19" s="71"/>
      <c r="V19" s="72"/>
      <c r="W19" s="72"/>
      <c r="X19" s="70"/>
      <c r="Y19" s="70"/>
      <c r="AA19" s="73"/>
      <c r="AB19" s="73"/>
      <c r="AC19" s="73"/>
      <c r="AD19" s="73"/>
      <c r="AE19" s="72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0"/>
      <c r="AQ19" s="70"/>
    </row>
    <row r="20" spans="3:43" s="69" customFormat="1" ht="20.100000000000001" customHeight="1" x14ac:dyDescent="0.25">
      <c r="C20" s="79"/>
      <c r="E20" s="70"/>
      <c r="O20" s="71"/>
      <c r="P20" s="71"/>
      <c r="Q20" s="71"/>
      <c r="U20" s="71"/>
      <c r="V20" s="72"/>
      <c r="W20" s="72"/>
      <c r="X20" s="70"/>
      <c r="Y20" s="70"/>
      <c r="AA20" s="73"/>
      <c r="AB20" s="73"/>
      <c r="AC20" s="73"/>
      <c r="AD20" s="73"/>
      <c r="AE20" s="72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0"/>
      <c r="AQ20" s="70"/>
    </row>
    <row r="21" spans="3:43" s="69" customFormat="1" ht="20.100000000000001" customHeight="1" x14ac:dyDescent="0.25">
      <c r="C21" s="79"/>
      <c r="E21" s="70"/>
      <c r="O21" s="71"/>
      <c r="P21" s="71"/>
      <c r="Q21" s="71"/>
      <c r="U21" s="71"/>
      <c r="V21" s="72"/>
      <c r="W21" s="72"/>
      <c r="X21" s="70"/>
      <c r="Y21" s="70"/>
      <c r="AA21" s="73"/>
      <c r="AB21" s="73"/>
      <c r="AC21" s="73"/>
      <c r="AD21" s="73"/>
      <c r="AE21" s="72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0"/>
      <c r="AQ21" s="70"/>
    </row>
    <row r="22" spans="3:43" s="69" customFormat="1" ht="20.100000000000001" customHeight="1" x14ac:dyDescent="0.25">
      <c r="C22" s="79"/>
      <c r="E22" s="70"/>
      <c r="O22" s="71"/>
      <c r="P22" s="71"/>
      <c r="Q22" s="71"/>
      <c r="U22" s="71"/>
      <c r="V22" s="72"/>
      <c r="W22" s="72"/>
      <c r="X22" s="70"/>
      <c r="Y22" s="70"/>
      <c r="AA22" s="73"/>
      <c r="AB22" s="73"/>
      <c r="AC22" s="73"/>
      <c r="AD22" s="73"/>
      <c r="AE22" s="72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0"/>
      <c r="AQ22" s="70"/>
    </row>
    <row r="23" spans="3:43" s="69" customFormat="1" ht="20.100000000000001" customHeight="1" x14ac:dyDescent="0.25">
      <c r="C23" s="79"/>
      <c r="E23" s="70"/>
      <c r="O23" s="71"/>
      <c r="P23" s="71"/>
      <c r="Q23" s="71"/>
      <c r="U23" s="71"/>
      <c r="V23" s="72"/>
      <c r="W23" s="72"/>
      <c r="X23" s="70"/>
      <c r="Y23" s="70"/>
      <c r="AA23" s="73"/>
      <c r="AB23" s="73"/>
      <c r="AC23" s="73"/>
      <c r="AD23" s="73"/>
      <c r="AE23" s="72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0"/>
      <c r="AQ23" s="70"/>
    </row>
    <row r="24" spans="3:43" s="69" customFormat="1" ht="20.100000000000001" customHeight="1" x14ac:dyDescent="0.25">
      <c r="C24" s="79"/>
      <c r="E24" s="70"/>
      <c r="O24" s="71"/>
      <c r="P24" s="71"/>
      <c r="Q24" s="71"/>
      <c r="U24" s="71"/>
      <c r="V24" s="72"/>
      <c r="W24" s="72"/>
      <c r="X24" s="70"/>
      <c r="Y24" s="70"/>
      <c r="AA24" s="73"/>
      <c r="AB24" s="73"/>
      <c r="AC24" s="73"/>
      <c r="AD24" s="73"/>
      <c r="AE24" s="72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0"/>
      <c r="AQ24" s="70"/>
    </row>
    <row r="25" spans="3:43" s="69" customFormat="1" ht="20.100000000000001" customHeight="1" x14ac:dyDescent="0.25">
      <c r="C25" s="79"/>
      <c r="E25" s="70"/>
      <c r="O25" s="71"/>
      <c r="P25" s="71"/>
      <c r="Q25" s="71"/>
      <c r="U25" s="71"/>
      <c r="V25" s="72"/>
      <c r="W25" s="72"/>
      <c r="X25" s="70"/>
      <c r="Y25" s="70"/>
      <c r="AA25" s="73"/>
      <c r="AB25" s="73"/>
      <c r="AC25" s="73"/>
      <c r="AD25" s="73"/>
      <c r="AE25" s="72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0"/>
      <c r="AQ25" s="70"/>
    </row>
    <row r="26" spans="3:43" s="69" customFormat="1" ht="20.100000000000001" customHeight="1" x14ac:dyDescent="0.25">
      <c r="C26" s="79"/>
      <c r="E26" s="70"/>
      <c r="O26" s="71"/>
      <c r="P26" s="71"/>
      <c r="Q26" s="71"/>
      <c r="U26" s="71"/>
      <c r="V26" s="72"/>
      <c r="W26" s="72"/>
      <c r="X26" s="70"/>
      <c r="Y26" s="70"/>
      <c r="AA26" s="73"/>
      <c r="AB26" s="73"/>
      <c r="AC26" s="73"/>
      <c r="AD26" s="73"/>
      <c r="AE26" s="72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0"/>
      <c r="AQ26" s="70"/>
    </row>
    <row r="27" spans="3:43" s="69" customFormat="1" ht="20.100000000000001" customHeight="1" x14ac:dyDescent="0.25">
      <c r="C27" s="79"/>
      <c r="E27" s="70"/>
      <c r="O27" s="71"/>
      <c r="P27" s="71"/>
      <c r="Q27" s="71"/>
      <c r="U27" s="71"/>
      <c r="V27" s="72"/>
      <c r="W27" s="72"/>
      <c r="X27" s="70"/>
      <c r="Y27" s="70"/>
      <c r="AA27" s="73"/>
      <c r="AB27" s="73"/>
      <c r="AC27" s="73"/>
      <c r="AD27" s="73"/>
      <c r="AE27" s="72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0"/>
      <c r="AQ27" s="70"/>
    </row>
    <row r="28" spans="3:43" s="69" customFormat="1" ht="20.100000000000001" customHeight="1" x14ac:dyDescent="0.25">
      <c r="C28" s="79"/>
      <c r="E28" s="70"/>
      <c r="O28" s="71"/>
      <c r="P28" s="71"/>
      <c r="Q28" s="71"/>
      <c r="U28" s="71"/>
      <c r="V28" s="72"/>
      <c r="W28" s="72"/>
      <c r="X28" s="70"/>
      <c r="Y28" s="70"/>
      <c r="AA28" s="73"/>
      <c r="AB28" s="73"/>
      <c r="AC28" s="73"/>
      <c r="AD28" s="73"/>
      <c r="AE28" s="72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0"/>
      <c r="AQ28" s="70"/>
    </row>
    <row r="29" spans="3:43" s="69" customFormat="1" ht="20.100000000000001" customHeight="1" x14ac:dyDescent="0.25">
      <c r="C29" s="79"/>
      <c r="E29" s="70"/>
      <c r="O29" s="71"/>
      <c r="P29" s="71"/>
      <c r="Q29" s="71"/>
      <c r="U29" s="71"/>
      <c r="V29" s="72"/>
      <c r="W29" s="72"/>
      <c r="X29" s="70"/>
      <c r="Y29" s="70"/>
      <c r="AA29" s="73"/>
      <c r="AB29" s="73"/>
      <c r="AC29" s="73"/>
      <c r="AD29" s="73"/>
      <c r="AE29" s="72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0"/>
      <c r="AQ29" s="70"/>
    </row>
    <row r="30" spans="3:43" s="69" customFormat="1" ht="20.100000000000001" customHeight="1" x14ac:dyDescent="0.25">
      <c r="C30" s="79"/>
      <c r="E30" s="70"/>
      <c r="O30" s="71"/>
      <c r="P30" s="71"/>
      <c r="Q30" s="71"/>
      <c r="U30" s="71"/>
      <c r="V30" s="72"/>
      <c r="W30" s="72"/>
      <c r="X30" s="70"/>
      <c r="Y30" s="70"/>
      <c r="AA30" s="73"/>
      <c r="AB30" s="73"/>
      <c r="AC30" s="73"/>
      <c r="AD30" s="73"/>
      <c r="AE30" s="72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0"/>
      <c r="AQ30" s="70"/>
    </row>
    <row r="31" spans="3:43" s="69" customFormat="1" ht="20.100000000000001" customHeight="1" x14ac:dyDescent="0.25">
      <c r="C31" s="79"/>
      <c r="E31" s="70"/>
      <c r="O31" s="71"/>
      <c r="P31" s="71"/>
      <c r="Q31" s="71"/>
      <c r="U31" s="71"/>
      <c r="V31" s="72"/>
      <c r="W31" s="72"/>
      <c r="X31" s="70"/>
      <c r="Y31" s="70"/>
      <c r="AA31" s="73"/>
      <c r="AB31" s="73"/>
      <c r="AC31" s="73"/>
      <c r="AD31" s="73"/>
      <c r="AE31" s="72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0"/>
      <c r="AQ31" s="70"/>
    </row>
    <row r="32" spans="3:43" s="69" customFormat="1" ht="20.100000000000001" customHeight="1" x14ac:dyDescent="0.25">
      <c r="C32" s="79"/>
      <c r="E32" s="70"/>
      <c r="O32" s="71"/>
      <c r="P32" s="71"/>
      <c r="Q32" s="71"/>
      <c r="U32" s="71"/>
      <c r="V32" s="72"/>
      <c r="W32" s="72"/>
      <c r="X32" s="70"/>
      <c r="Y32" s="70"/>
      <c r="AA32" s="73"/>
      <c r="AB32" s="73"/>
      <c r="AC32" s="73"/>
      <c r="AD32" s="73"/>
      <c r="AE32" s="72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0"/>
      <c r="AQ32" s="70"/>
    </row>
    <row r="33" spans="3:43" s="69" customFormat="1" ht="20.100000000000001" customHeight="1" x14ac:dyDescent="0.25">
      <c r="C33" s="79"/>
      <c r="E33" s="70"/>
      <c r="O33" s="71"/>
      <c r="P33" s="71"/>
      <c r="Q33" s="71"/>
      <c r="U33" s="71"/>
      <c r="V33" s="72"/>
      <c r="W33" s="72"/>
      <c r="X33" s="70"/>
      <c r="Y33" s="70"/>
      <c r="AA33" s="73"/>
      <c r="AB33" s="73"/>
      <c r="AC33" s="73"/>
      <c r="AD33" s="73"/>
      <c r="AE33" s="72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0"/>
      <c r="AQ33" s="70"/>
    </row>
    <row r="34" spans="3:43" s="69" customFormat="1" ht="20.100000000000001" customHeight="1" x14ac:dyDescent="0.25">
      <c r="C34" s="79"/>
      <c r="E34" s="70"/>
      <c r="O34" s="71"/>
      <c r="P34" s="71"/>
      <c r="Q34" s="71"/>
      <c r="U34" s="71"/>
      <c r="V34" s="72"/>
      <c r="W34" s="72"/>
      <c r="X34" s="70"/>
      <c r="Y34" s="70"/>
      <c r="AA34" s="73"/>
      <c r="AB34" s="73"/>
      <c r="AC34" s="73"/>
      <c r="AD34" s="73"/>
      <c r="AE34" s="72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0"/>
      <c r="AQ34" s="70"/>
    </row>
    <row r="35" spans="3:43" s="69" customFormat="1" ht="20.100000000000001" customHeight="1" x14ac:dyDescent="0.25">
      <c r="C35" s="79"/>
      <c r="E35" s="70"/>
      <c r="O35" s="71"/>
      <c r="P35" s="71"/>
      <c r="Q35" s="71"/>
      <c r="U35" s="71"/>
      <c r="V35" s="72"/>
      <c r="W35" s="72"/>
      <c r="X35" s="70"/>
      <c r="Y35" s="70"/>
      <c r="AA35" s="73"/>
      <c r="AB35" s="73"/>
      <c r="AC35" s="73"/>
      <c r="AD35" s="73"/>
      <c r="AE35" s="72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0"/>
      <c r="AQ35" s="70"/>
    </row>
    <row r="36" spans="3:43" s="69" customFormat="1" ht="20.100000000000001" customHeight="1" x14ac:dyDescent="0.25">
      <c r="C36" s="79"/>
      <c r="E36" s="70"/>
      <c r="O36" s="71"/>
      <c r="P36" s="71"/>
      <c r="Q36" s="71"/>
      <c r="U36" s="71"/>
      <c r="V36" s="72"/>
      <c r="W36" s="72"/>
      <c r="X36" s="70"/>
      <c r="Y36" s="70"/>
      <c r="AA36" s="73"/>
      <c r="AB36" s="73"/>
      <c r="AC36" s="73"/>
      <c r="AD36" s="73"/>
      <c r="AE36" s="72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0"/>
      <c r="AQ36" s="70"/>
    </row>
    <row r="37" spans="3:43" s="69" customFormat="1" ht="20.100000000000001" customHeight="1" x14ac:dyDescent="0.25">
      <c r="C37" s="79"/>
      <c r="E37" s="70"/>
      <c r="O37" s="71"/>
      <c r="P37" s="71"/>
      <c r="Q37" s="71"/>
      <c r="U37" s="71"/>
      <c r="V37" s="72"/>
      <c r="W37" s="72"/>
      <c r="X37" s="70"/>
      <c r="Y37" s="70"/>
      <c r="AA37" s="73"/>
      <c r="AB37" s="73"/>
      <c r="AC37" s="73"/>
      <c r="AD37" s="73"/>
      <c r="AE37" s="72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0"/>
      <c r="AQ37" s="70"/>
    </row>
    <row r="38" spans="3:43" s="69" customFormat="1" ht="20.100000000000001" customHeight="1" x14ac:dyDescent="0.25">
      <c r="C38" s="79"/>
      <c r="E38" s="70"/>
      <c r="O38" s="71"/>
      <c r="P38" s="71"/>
      <c r="Q38" s="71"/>
      <c r="U38" s="71"/>
      <c r="V38" s="72"/>
      <c r="W38" s="72"/>
      <c r="X38" s="70"/>
      <c r="Y38" s="70"/>
      <c r="AA38" s="73"/>
      <c r="AB38" s="73"/>
      <c r="AC38" s="73"/>
      <c r="AD38" s="73"/>
      <c r="AE38" s="72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0"/>
      <c r="AQ38" s="70"/>
    </row>
    <row r="39" spans="3:43" s="69" customFormat="1" ht="20.100000000000001" customHeight="1" x14ac:dyDescent="0.25">
      <c r="C39" s="79"/>
      <c r="E39" s="70"/>
      <c r="O39" s="71"/>
      <c r="P39" s="71"/>
      <c r="Q39" s="71"/>
      <c r="U39" s="71"/>
      <c r="V39" s="72"/>
      <c r="W39" s="72"/>
      <c r="X39" s="70"/>
      <c r="Y39" s="70"/>
      <c r="AA39" s="73"/>
      <c r="AB39" s="73"/>
      <c r="AC39" s="73"/>
      <c r="AD39" s="73"/>
      <c r="AE39" s="72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0"/>
      <c r="AQ39" s="70"/>
    </row>
    <row r="40" spans="3:43" s="69" customFormat="1" ht="20.100000000000001" customHeight="1" x14ac:dyDescent="0.25">
      <c r="C40" s="79"/>
      <c r="E40" s="70"/>
      <c r="O40" s="71"/>
      <c r="P40" s="71"/>
      <c r="Q40" s="71"/>
      <c r="U40" s="71"/>
      <c r="V40" s="72"/>
      <c r="W40" s="72"/>
      <c r="X40" s="70"/>
      <c r="Y40" s="70"/>
      <c r="AA40" s="73"/>
      <c r="AB40" s="73"/>
      <c r="AC40" s="73"/>
      <c r="AD40" s="73"/>
      <c r="AE40" s="72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0"/>
      <c r="AQ40" s="70"/>
    </row>
    <row r="41" spans="3:43" s="69" customFormat="1" ht="20.100000000000001" customHeight="1" x14ac:dyDescent="0.25">
      <c r="C41" s="79"/>
      <c r="E41" s="70"/>
      <c r="O41" s="71"/>
      <c r="P41" s="71"/>
      <c r="Q41" s="71"/>
      <c r="U41" s="71"/>
      <c r="V41" s="72"/>
      <c r="W41" s="72"/>
      <c r="X41" s="70"/>
      <c r="Y41" s="70"/>
      <c r="AA41" s="73"/>
      <c r="AB41" s="73"/>
      <c r="AC41" s="73"/>
      <c r="AD41" s="73"/>
      <c r="AE41" s="72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0"/>
      <c r="AQ41" s="70"/>
    </row>
    <row r="42" spans="3:43" s="69" customFormat="1" ht="20.100000000000001" customHeight="1" x14ac:dyDescent="0.25">
      <c r="C42" s="79"/>
      <c r="E42" s="70"/>
      <c r="O42" s="71"/>
      <c r="P42" s="71"/>
      <c r="Q42" s="71"/>
      <c r="U42" s="71"/>
      <c r="V42" s="72"/>
      <c r="W42" s="72"/>
      <c r="X42" s="70"/>
      <c r="Y42" s="70"/>
      <c r="AA42" s="73"/>
      <c r="AB42" s="73"/>
      <c r="AC42" s="73"/>
      <c r="AD42" s="73"/>
      <c r="AE42" s="72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0"/>
      <c r="AQ42" s="70"/>
    </row>
    <row r="43" spans="3:43" s="69" customFormat="1" ht="20.100000000000001" customHeight="1" x14ac:dyDescent="0.25">
      <c r="C43" s="79"/>
      <c r="E43" s="70"/>
      <c r="O43" s="71"/>
      <c r="P43" s="71"/>
      <c r="Q43" s="71"/>
      <c r="U43" s="71"/>
      <c r="V43" s="72"/>
      <c r="W43" s="72"/>
      <c r="X43" s="70"/>
      <c r="Y43" s="70"/>
      <c r="AA43" s="73"/>
      <c r="AB43" s="73"/>
      <c r="AC43" s="73"/>
      <c r="AD43" s="73"/>
      <c r="AE43" s="72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0"/>
      <c r="AQ43" s="70"/>
    </row>
    <row r="44" spans="3:43" s="69" customFormat="1" ht="20.100000000000001" customHeight="1" x14ac:dyDescent="0.25">
      <c r="C44" s="79"/>
      <c r="E44" s="70"/>
      <c r="O44" s="71"/>
      <c r="P44" s="71"/>
      <c r="Q44" s="71"/>
      <c r="U44" s="71"/>
      <c r="V44" s="72"/>
      <c r="W44" s="72"/>
      <c r="X44" s="70"/>
      <c r="Y44" s="70"/>
      <c r="AA44" s="73"/>
      <c r="AB44" s="73"/>
      <c r="AC44" s="73"/>
      <c r="AD44" s="73"/>
      <c r="AE44" s="72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0"/>
      <c r="AQ44" s="70"/>
    </row>
    <row r="45" spans="3:43" s="69" customFormat="1" ht="20.100000000000001" customHeight="1" x14ac:dyDescent="0.25">
      <c r="C45" s="79"/>
      <c r="E45" s="70"/>
      <c r="O45" s="71"/>
      <c r="P45" s="71"/>
      <c r="Q45" s="71"/>
      <c r="U45" s="71"/>
      <c r="V45" s="72"/>
      <c r="W45" s="72"/>
      <c r="X45" s="70"/>
      <c r="Y45" s="70"/>
      <c r="AA45" s="73"/>
      <c r="AB45" s="73"/>
      <c r="AC45" s="73"/>
      <c r="AD45" s="73"/>
      <c r="AE45" s="72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0"/>
      <c r="AQ45" s="70"/>
    </row>
    <row r="46" spans="3:43" s="69" customFormat="1" ht="20.100000000000001" customHeight="1" x14ac:dyDescent="0.25">
      <c r="C46" s="79"/>
      <c r="E46" s="70"/>
      <c r="O46" s="71"/>
      <c r="P46" s="71"/>
      <c r="Q46" s="71"/>
      <c r="U46" s="71"/>
      <c r="V46" s="72"/>
      <c r="W46" s="72"/>
      <c r="X46" s="70"/>
      <c r="Y46" s="70"/>
      <c r="AA46" s="73"/>
      <c r="AB46" s="73"/>
      <c r="AC46" s="73"/>
      <c r="AD46" s="73"/>
      <c r="AE46" s="72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0"/>
      <c r="AQ46" s="70"/>
    </row>
    <row r="47" spans="3:43" s="69" customFormat="1" ht="20.100000000000001" customHeight="1" x14ac:dyDescent="0.25">
      <c r="C47" s="79"/>
      <c r="E47" s="70"/>
      <c r="O47" s="71"/>
      <c r="P47" s="71"/>
      <c r="Q47" s="71"/>
      <c r="U47" s="71"/>
      <c r="V47" s="72"/>
      <c r="W47" s="72"/>
      <c r="X47" s="70"/>
      <c r="Y47" s="70"/>
      <c r="AA47" s="73"/>
      <c r="AB47" s="73"/>
      <c r="AC47" s="73"/>
      <c r="AD47" s="73"/>
      <c r="AE47" s="72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0"/>
      <c r="AQ47" s="70"/>
    </row>
    <row r="48" spans="3:43" s="69" customFormat="1" ht="20.100000000000001" customHeight="1" x14ac:dyDescent="0.25">
      <c r="C48" s="79"/>
      <c r="E48" s="70"/>
      <c r="O48" s="71"/>
      <c r="P48" s="71"/>
      <c r="Q48" s="71"/>
      <c r="U48" s="71"/>
      <c r="V48" s="72"/>
      <c r="W48" s="72"/>
      <c r="X48" s="70"/>
      <c r="Y48" s="70"/>
      <c r="AA48" s="73"/>
      <c r="AB48" s="73"/>
      <c r="AC48" s="73"/>
      <c r="AD48" s="73"/>
      <c r="AE48" s="72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0"/>
      <c r="AQ48" s="70"/>
    </row>
    <row r="49" spans="3:43" s="69" customFormat="1" ht="20.100000000000001" customHeight="1" x14ac:dyDescent="0.25">
      <c r="C49" s="79"/>
      <c r="E49" s="70"/>
      <c r="O49" s="71"/>
      <c r="P49" s="71"/>
      <c r="Q49" s="71"/>
      <c r="U49" s="71"/>
      <c r="V49" s="72"/>
      <c r="W49" s="72"/>
      <c r="X49" s="70"/>
      <c r="Y49" s="70"/>
      <c r="AA49" s="73"/>
      <c r="AB49" s="73"/>
      <c r="AC49" s="73"/>
      <c r="AD49" s="73"/>
      <c r="AE49" s="72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0"/>
      <c r="AQ49" s="70"/>
    </row>
    <row r="50" spans="3:43" s="69" customFormat="1" ht="20.100000000000001" customHeight="1" x14ac:dyDescent="0.25">
      <c r="C50" s="79"/>
      <c r="E50" s="70"/>
      <c r="O50" s="71"/>
      <c r="P50" s="71"/>
      <c r="Q50" s="71"/>
      <c r="U50" s="71"/>
      <c r="V50" s="72"/>
      <c r="W50" s="72"/>
      <c r="X50" s="70"/>
      <c r="Y50" s="70"/>
      <c r="AA50" s="73"/>
      <c r="AB50" s="73"/>
      <c r="AC50" s="73"/>
      <c r="AD50" s="73"/>
      <c r="AE50" s="72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0"/>
      <c r="AQ50" s="70"/>
    </row>
    <row r="51" spans="3:43" s="69" customFormat="1" ht="20.100000000000001" customHeight="1" x14ac:dyDescent="0.25">
      <c r="C51" s="79"/>
      <c r="E51" s="70"/>
      <c r="O51" s="71"/>
      <c r="P51" s="71"/>
      <c r="Q51" s="71"/>
      <c r="U51" s="71"/>
      <c r="V51" s="72"/>
      <c r="W51" s="72"/>
      <c r="X51" s="70"/>
      <c r="Y51" s="70"/>
      <c r="AA51" s="73"/>
      <c r="AB51" s="73"/>
      <c r="AC51" s="73"/>
      <c r="AD51" s="73"/>
      <c r="AE51" s="72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0"/>
      <c r="AQ51" s="70"/>
    </row>
    <row r="52" spans="3:43" s="69" customFormat="1" ht="20.100000000000001" customHeight="1" x14ac:dyDescent="0.25">
      <c r="C52" s="79"/>
      <c r="E52" s="70"/>
      <c r="O52" s="71"/>
      <c r="P52" s="71"/>
      <c r="Q52" s="71"/>
      <c r="U52" s="71"/>
      <c r="V52" s="72"/>
      <c r="W52" s="72"/>
      <c r="X52" s="70"/>
      <c r="Y52" s="70"/>
      <c r="AA52" s="73"/>
      <c r="AB52" s="73"/>
      <c r="AC52" s="73"/>
      <c r="AD52" s="73"/>
      <c r="AE52" s="72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0"/>
      <c r="AQ52" s="70"/>
    </row>
    <row r="53" spans="3:43" s="69" customFormat="1" ht="20.100000000000001" customHeight="1" x14ac:dyDescent="0.25">
      <c r="C53" s="79"/>
      <c r="E53" s="70"/>
      <c r="O53" s="71"/>
      <c r="P53" s="71"/>
      <c r="Q53" s="71"/>
      <c r="U53" s="71"/>
      <c r="V53" s="72"/>
      <c r="W53" s="72"/>
      <c r="X53" s="70"/>
      <c r="Y53" s="70"/>
      <c r="AA53" s="73"/>
      <c r="AB53" s="73"/>
      <c r="AC53" s="73"/>
      <c r="AD53" s="73"/>
      <c r="AE53" s="72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0"/>
      <c r="AQ53" s="70"/>
    </row>
    <row r="54" spans="3:43" s="69" customFormat="1" ht="20.100000000000001" customHeight="1" x14ac:dyDescent="0.25">
      <c r="C54" s="79"/>
      <c r="E54" s="70"/>
      <c r="O54" s="71"/>
      <c r="P54" s="71"/>
      <c r="Q54" s="71"/>
      <c r="U54" s="71"/>
      <c r="V54" s="72"/>
      <c r="W54" s="72"/>
      <c r="X54" s="70"/>
      <c r="Y54" s="70"/>
      <c r="AA54" s="73"/>
      <c r="AB54" s="73"/>
      <c r="AC54" s="73"/>
      <c r="AD54" s="73"/>
      <c r="AE54" s="72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0"/>
      <c r="AQ54" s="70"/>
    </row>
    <row r="55" spans="3:43" s="69" customFormat="1" ht="20.100000000000001" customHeight="1" x14ac:dyDescent="0.25">
      <c r="C55" s="79"/>
      <c r="E55" s="70"/>
      <c r="O55" s="71"/>
      <c r="P55" s="71"/>
      <c r="Q55" s="71"/>
      <c r="U55" s="71"/>
      <c r="V55" s="72"/>
      <c r="W55" s="72"/>
      <c r="X55" s="70"/>
      <c r="Y55" s="70"/>
      <c r="AA55" s="73"/>
      <c r="AB55" s="73"/>
      <c r="AC55" s="73"/>
      <c r="AD55" s="73"/>
      <c r="AE55" s="72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0"/>
      <c r="AQ55" s="70"/>
    </row>
    <row r="56" spans="3:43" s="69" customFormat="1" ht="19.5" customHeight="1" x14ac:dyDescent="0.25">
      <c r="C56" s="79"/>
      <c r="E56" s="70"/>
      <c r="O56" s="71"/>
      <c r="P56" s="71"/>
      <c r="Q56" s="71"/>
      <c r="U56" s="71"/>
      <c r="V56" s="72"/>
      <c r="W56" s="72"/>
      <c r="X56" s="70"/>
      <c r="Y56" s="70"/>
      <c r="AA56" s="73"/>
      <c r="AB56" s="73"/>
      <c r="AC56" s="73"/>
      <c r="AD56" s="73"/>
      <c r="AE56" s="72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0"/>
      <c r="AQ56" s="70"/>
    </row>
    <row r="57" spans="3:43" s="69" customFormat="1" ht="20.100000000000001" customHeight="1" x14ac:dyDescent="0.25">
      <c r="C57" s="79"/>
      <c r="E57" s="70"/>
      <c r="O57" s="71"/>
      <c r="P57" s="71"/>
      <c r="Q57" s="71"/>
      <c r="U57" s="71"/>
      <c r="V57" s="72"/>
      <c r="W57" s="72"/>
      <c r="X57" s="70"/>
      <c r="Y57" s="70"/>
      <c r="AA57" s="73"/>
      <c r="AB57" s="73"/>
      <c r="AC57" s="73"/>
      <c r="AD57" s="73"/>
      <c r="AE57" s="72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0"/>
      <c r="AQ57" s="70"/>
    </row>
    <row r="58" spans="3:43" s="69" customFormat="1" ht="20.100000000000001" customHeight="1" x14ac:dyDescent="0.25">
      <c r="C58" s="78"/>
      <c r="E58" s="70"/>
      <c r="O58" s="71"/>
      <c r="P58" s="71"/>
      <c r="Q58" s="71"/>
      <c r="U58" s="71"/>
      <c r="V58" s="72"/>
      <c r="W58" s="72"/>
      <c r="X58" s="70"/>
      <c r="Y58" s="70"/>
      <c r="AA58" s="73"/>
      <c r="AB58" s="73"/>
      <c r="AC58" s="73"/>
      <c r="AD58" s="73"/>
      <c r="AE58" s="72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0"/>
      <c r="AQ58" s="70"/>
    </row>
    <row r="59" spans="3:43" s="69" customFormat="1" ht="20.100000000000001" customHeight="1" x14ac:dyDescent="0.25">
      <c r="C59" s="79"/>
      <c r="E59" s="70"/>
      <c r="O59" s="71"/>
      <c r="P59" s="71"/>
      <c r="Q59" s="71"/>
      <c r="U59" s="71"/>
      <c r="V59" s="72"/>
      <c r="W59" s="72"/>
      <c r="X59" s="70"/>
      <c r="Y59" s="70"/>
      <c r="AA59" s="73"/>
      <c r="AB59" s="73"/>
      <c r="AC59" s="73"/>
      <c r="AD59" s="73"/>
      <c r="AE59" s="72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0"/>
      <c r="AQ59" s="70"/>
    </row>
    <row r="60" spans="3:43" s="69" customFormat="1" ht="20.100000000000001" customHeight="1" x14ac:dyDescent="0.25">
      <c r="C60" s="79"/>
      <c r="E60" s="70"/>
      <c r="O60" s="71"/>
      <c r="P60" s="71"/>
      <c r="Q60" s="71"/>
      <c r="U60" s="71"/>
      <c r="V60" s="72"/>
      <c r="W60" s="72"/>
      <c r="X60" s="70"/>
      <c r="Y60" s="70"/>
      <c r="AA60" s="73"/>
      <c r="AB60" s="73"/>
      <c r="AC60" s="73"/>
      <c r="AD60" s="73"/>
      <c r="AE60" s="72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0"/>
      <c r="AQ60" s="70"/>
    </row>
    <row r="61" spans="3:43" s="69" customFormat="1" ht="20.100000000000001" customHeight="1" x14ac:dyDescent="0.25">
      <c r="C61" s="79"/>
      <c r="E61" s="70"/>
      <c r="O61" s="71"/>
      <c r="P61" s="71"/>
      <c r="Q61" s="71"/>
      <c r="U61" s="71"/>
      <c r="V61" s="72"/>
      <c r="W61" s="72"/>
      <c r="X61" s="70"/>
      <c r="Y61" s="70"/>
      <c r="AA61" s="73"/>
      <c r="AB61" s="73"/>
      <c r="AC61" s="73"/>
      <c r="AD61" s="73"/>
      <c r="AE61" s="72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0"/>
      <c r="AQ61" s="70"/>
    </row>
    <row r="62" spans="3:43" s="69" customFormat="1" x14ac:dyDescent="0.25">
      <c r="C62" s="79"/>
      <c r="E62" s="70"/>
      <c r="O62" s="71"/>
      <c r="P62" s="71"/>
      <c r="U62" s="71"/>
      <c r="V62" s="72"/>
      <c r="W62" s="72"/>
      <c r="X62" s="70"/>
      <c r="Y62" s="70"/>
      <c r="Z62" s="73"/>
      <c r="AA62" s="73"/>
      <c r="AB62" s="73"/>
      <c r="AC62" s="73"/>
      <c r="AD62" s="73"/>
      <c r="AE62" s="72"/>
      <c r="AF62" s="73"/>
      <c r="AG62" s="71"/>
      <c r="AH62" s="73"/>
      <c r="AI62" s="73"/>
      <c r="AJ62" s="73"/>
      <c r="AK62" s="73"/>
      <c r="AL62" s="73"/>
      <c r="AM62" s="73"/>
      <c r="AN62" s="73"/>
      <c r="AO62" s="73"/>
      <c r="AQ62" s="70"/>
    </row>
    <row r="63" spans="3:43" s="69" customFormat="1" x14ac:dyDescent="0.25">
      <c r="C63" s="79"/>
      <c r="E63" s="70"/>
      <c r="O63" s="71"/>
      <c r="P63" s="71"/>
      <c r="U63" s="71"/>
      <c r="V63" s="72"/>
      <c r="W63" s="72"/>
      <c r="X63" s="70"/>
      <c r="Y63" s="70"/>
      <c r="Z63" s="73"/>
      <c r="AA63" s="73"/>
      <c r="AB63" s="73"/>
      <c r="AC63" s="73"/>
      <c r="AD63" s="73"/>
      <c r="AE63" s="72"/>
      <c r="AF63" s="73"/>
      <c r="AG63" s="71"/>
      <c r="AH63" s="73"/>
      <c r="AI63" s="73"/>
      <c r="AJ63" s="73"/>
      <c r="AK63" s="73"/>
      <c r="AL63" s="73"/>
      <c r="AM63" s="73"/>
      <c r="AN63" s="73"/>
      <c r="AO63" s="73"/>
      <c r="AQ63" s="70"/>
    </row>
    <row r="64" spans="3:43" s="69" customFormat="1" x14ac:dyDescent="0.25">
      <c r="C64" s="79"/>
      <c r="E64" s="70"/>
      <c r="O64" s="71"/>
      <c r="P64" s="71"/>
      <c r="U64" s="71"/>
      <c r="V64" s="72"/>
      <c r="W64" s="72"/>
      <c r="X64" s="70"/>
      <c r="Y64" s="70"/>
      <c r="Z64" s="73"/>
      <c r="AA64" s="73"/>
      <c r="AB64" s="73"/>
      <c r="AC64" s="73"/>
      <c r="AD64" s="73"/>
      <c r="AE64" s="72"/>
      <c r="AF64" s="73"/>
      <c r="AG64" s="71"/>
      <c r="AH64" s="73"/>
      <c r="AI64" s="73"/>
      <c r="AJ64" s="73"/>
      <c r="AK64" s="73"/>
      <c r="AL64" s="73"/>
      <c r="AM64" s="73"/>
      <c r="AN64" s="73"/>
      <c r="AO64" s="73"/>
      <c r="AQ64" s="70"/>
    </row>
    <row r="65" spans="3:43" s="69" customFormat="1" x14ac:dyDescent="0.25">
      <c r="C65" s="79"/>
      <c r="E65" s="70"/>
      <c r="O65" s="71"/>
      <c r="P65" s="71"/>
      <c r="U65" s="71"/>
      <c r="V65" s="72"/>
      <c r="W65" s="72"/>
      <c r="X65" s="70"/>
      <c r="Y65" s="70"/>
      <c r="Z65" s="73"/>
      <c r="AA65" s="73"/>
      <c r="AB65" s="73"/>
      <c r="AC65" s="73"/>
      <c r="AD65" s="73"/>
      <c r="AE65" s="72"/>
      <c r="AF65" s="73"/>
      <c r="AG65" s="71"/>
      <c r="AH65" s="73"/>
      <c r="AI65" s="73"/>
      <c r="AJ65" s="73"/>
      <c r="AK65" s="73"/>
      <c r="AL65" s="73"/>
      <c r="AM65" s="73"/>
      <c r="AN65" s="73"/>
      <c r="AO65" s="73"/>
      <c r="AQ65" s="70"/>
    </row>
    <row r="66" spans="3:43" s="69" customFormat="1" x14ac:dyDescent="0.25">
      <c r="C66" s="79"/>
      <c r="E66" s="70"/>
      <c r="O66" s="71"/>
      <c r="P66" s="71"/>
      <c r="U66" s="71"/>
      <c r="V66" s="72"/>
      <c r="W66" s="72"/>
      <c r="X66" s="70"/>
      <c r="Y66" s="70"/>
      <c r="Z66" s="73"/>
      <c r="AA66" s="73"/>
      <c r="AB66" s="73"/>
      <c r="AC66" s="73"/>
      <c r="AD66" s="73"/>
      <c r="AE66" s="72"/>
      <c r="AF66" s="73"/>
      <c r="AG66" s="71"/>
      <c r="AH66" s="73"/>
      <c r="AI66" s="73"/>
      <c r="AJ66" s="73"/>
      <c r="AK66" s="73"/>
      <c r="AL66" s="73"/>
      <c r="AM66" s="73"/>
      <c r="AN66" s="73"/>
      <c r="AO66" s="73"/>
      <c r="AQ66" s="70"/>
    </row>
    <row r="67" spans="3:43" s="69" customFormat="1" x14ac:dyDescent="0.25">
      <c r="C67" s="79"/>
      <c r="E67" s="70"/>
      <c r="O67" s="71"/>
      <c r="P67" s="71"/>
      <c r="U67" s="71"/>
      <c r="V67" s="72"/>
      <c r="W67" s="72"/>
      <c r="X67" s="70"/>
      <c r="Y67" s="70"/>
      <c r="Z67" s="73"/>
      <c r="AA67" s="73"/>
      <c r="AB67" s="73"/>
      <c r="AC67" s="73"/>
      <c r="AD67" s="73"/>
      <c r="AE67" s="72"/>
      <c r="AF67" s="73"/>
      <c r="AG67" s="71"/>
      <c r="AH67" s="73"/>
      <c r="AI67" s="73"/>
      <c r="AJ67" s="73"/>
      <c r="AK67" s="73"/>
      <c r="AL67" s="73"/>
      <c r="AM67" s="73"/>
      <c r="AN67" s="73"/>
      <c r="AO67" s="73"/>
      <c r="AQ67" s="70"/>
    </row>
    <row r="68" spans="3:43" s="69" customFormat="1" ht="13.5" customHeight="1" x14ac:dyDescent="0.25">
      <c r="C68" s="79"/>
      <c r="E68" s="70"/>
      <c r="O68" s="71"/>
      <c r="P68" s="71"/>
      <c r="U68" s="71"/>
      <c r="V68" s="72"/>
      <c r="W68" s="72"/>
      <c r="X68" s="70"/>
      <c r="Y68" s="70"/>
      <c r="Z68" s="73"/>
      <c r="AA68" s="73"/>
      <c r="AB68" s="73"/>
      <c r="AC68" s="73"/>
      <c r="AD68" s="73"/>
      <c r="AE68" s="72"/>
      <c r="AF68" s="73"/>
      <c r="AG68" s="71"/>
      <c r="AH68" s="73"/>
      <c r="AI68" s="73"/>
      <c r="AJ68" s="73"/>
      <c r="AK68" s="73"/>
      <c r="AL68" s="73"/>
      <c r="AM68" s="73"/>
      <c r="AN68" s="73"/>
      <c r="AO68" s="73"/>
      <c r="AQ68" s="70"/>
    </row>
    <row r="69" spans="3:43" s="69" customFormat="1" x14ac:dyDescent="0.25">
      <c r="C69" s="79"/>
      <c r="E69" s="70"/>
      <c r="O69" s="71"/>
      <c r="P69" s="71"/>
      <c r="U69" s="71"/>
      <c r="V69" s="72"/>
      <c r="W69" s="72"/>
      <c r="X69" s="70"/>
      <c r="Y69" s="70"/>
      <c r="Z69" s="73"/>
      <c r="AA69" s="73"/>
      <c r="AB69" s="73"/>
      <c r="AC69" s="73"/>
      <c r="AD69" s="73"/>
      <c r="AE69" s="72"/>
      <c r="AF69" s="73"/>
      <c r="AG69" s="71"/>
      <c r="AH69" s="73"/>
      <c r="AI69" s="73"/>
      <c r="AJ69" s="73"/>
      <c r="AK69" s="73"/>
      <c r="AL69" s="73"/>
      <c r="AM69" s="73"/>
      <c r="AN69" s="73"/>
      <c r="AO69" s="73"/>
      <c r="AQ69" s="70"/>
    </row>
    <row r="70" spans="3:43" s="69" customFormat="1" x14ac:dyDescent="0.25">
      <c r="C70" s="79"/>
      <c r="E70" s="70"/>
      <c r="O70" s="71"/>
      <c r="P70" s="71"/>
      <c r="U70" s="71"/>
      <c r="V70" s="72"/>
      <c r="W70" s="72"/>
      <c r="X70" s="70"/>
      <c r="Y70" s="70"/>
      <c r="Z70" s="73"/>
      <c r="AA70" s="73"/>
      <c r="AB70" s="73"/>
      <c r="AC70" s="73"/>
      <c r="AD70" s="73"/>
      <c r="AE70" s="72"/>
      <c r="AF70" s="73"/>
      <c r="AG70" s="71"/>
      <c r="AH70" s="73"/>
      <c r="AI70" s="73"/>
      <c r="AJ70" s="73"/>
      <c r="AK70" s="73"/>
      <c r="AL70" s="73"/>
      <c r="AM70" s="73"/>
      <c r="AN70" s="73"/>
      <c r="AO70" s="73"/>
      <c r="AQ70" s="70"/>
    </row>
    <row r="71" spans="3:43" s="69" customFormat="1" x14ac:dyDescent="0.25">
      <c r="C71" s="79"/>
      <c r="E71" s="70"/>
      <c r="O71" s="71"/>
      <c r="P71" s="71"/>
      <c r="U71" s="71"/>
      <c r="V71" s="72"/>
      <c r="W71" s="72"/>
      <c r="X71" s="70"/>
      <c r="Y71" s="70"/>
      <c r="Z71" s="73"/>
      <c r="AA71" s="73"/>
      <c r="AB71" s="73"/>
      <c r="AC71" s="73"/>
      <c r="AD71" s="73"/>
      <c r="AE71" s="72"/>
      <c r="AF71" s="73"/>
      <c r="AG71" s="71"/>
      <c r="AH71" s="73"/>
      <c r="AI71" s="73"/>
      <c r="AJ71" s="73"/>
      <c r="AK71" s="73"/>
      <c r="AL71" s="73"/>
      <c r="AM71" s="73"/>
      <c r="AN71" s="73"/>
      <c r="AO71" s="73"/>
      <c r="AQ71" s="70"/>
    </row>
    <row r="72" spans="3:43" s="69" customFormat="1" x14ac:dyDescent="0.25">
      <c r="C72" s="79"/>
      <c r="E72" s="70"/>
      <c r="O72" s="71"/>
      <c r="P72" s="71"/>
      <c r="U72" s="71"/>
      <c r="V72" s="72"/>
      <c r="W72" s="72"/>
      <c r="X72" s="70"/>
      <c r="Y72" s="70"/>
      <c r="Z72" s="73"/>
      <c r="AA72" s="73"/>
      <c r="AB72" s="73"/>
      <c r="AC72" s="73"/>
      <c r="AD72" s="73"/>
      <c r="AE72" s="72"/>
      <c r="AF72" s="73"/>
      <c r="AG72" s="71"/>
      <c r="AH72" s="73"/>
      <c r="AI72" s="73"/>
      <c r="AJ72" s="73"/>
      <c r="AK72" s="73"/>
      <c r="AL72" s="73"/>
      <c r="AM72" s="73"/>
      <c r="AN72" s="73"/>
      <c r="AO72" s="73"/>
      <c r="AQ72" s="70"/>
    </row>
    <row r="73" spans="3:43" s="69" customFormat="1" x14ac:dyDescent="0.25">
      <c r="C73" s="79"/>
      <c r="E73" s="70"/>
      <c r="O73" s="71"/>
      <c r="P73" s="71"/>
      <c r="U73" s="71"/>
      <c r="V73" s="72"/>
      <c r="W73" s="72"/>
      <c r="X73" s="70"/>
      <c r="Y73" s="70"/>
      <c r="Z73" s="73"/>
      <c r="AA73" s="73"/>
      <c r="AB73" s="73"/>
      <c r="AC73" s="73"/>
      <c r="AD73" s="73"/>
      <c r="AE73" s="72"/>
      <c r="AF73" s="73"/>
      <c r="AG73" s="71"/>
      <c r="AH73" s="73"/>
      <c r="AI73" s="73"/>
      <c r="AJ73" s="73"/>
      <c r="AK73" s="73"/>
      <c r="AL73" s="73"/>
      <c r="AM73" s="73"/>
      <c r="AN73" s="73"/>
      <c r="AO73" s="73"/>
      <c r="AQ73" s="70"/>
    </row>
    <row r="74" spans="3:43" s="69" customFormat="1" x14ac:dyDescent="0.25">
      <c r="C74" s="79"/>
      <c r="E74" s="70"/>
      <c r="O74" s="71"/>
      <c r="P74" s="71"/>
      <c r="U74" s="71"/>
      <c r="V74" s="72"/>
      <c r="W74" s="72"/>
      <c r="X74" s="70"/>
      <c r="Y74" s="70"/>
      <c r="Z74" s="73"/>
      <c r="AA74" s="73"/>
      <c r="AB74" s="73"/>
      <c r="AC74" s="73"/>
      <c r="AD74" s="73"/>
      <c r="AE74" s="72"/>
      <c r="AF74" s="73"/>
      <c r="AG74" s="71"/>
      <c r="AH74" s="73"/>
      <c r="AI74" s="73"/>
      <c r="AJ74" s="73"/>
      <c r="AK74" s="73"/>
      <c r="AL74" s="73"/>
      <c r="AM74" s="73"/>
      <c r="AN74" s="73"/>
      <c r="AO74" s="73"/>
      <c r="AQ74" s="70"/>
    </row>
    <row r="75" spans="3:43" s="69" customFormat="1" x14ac:dyDescent="0.25">
      <c r="C75" s="79"/>
      <c r="E75" s="70"/>
      <c r="O75" s="71"/>
      <c r="P75" s="71"/>
      <c r="U75" s="71"/>
      <c r="V75" s="72"/>
      <c r="W75" s="72"/>
      <c r="X75" s="70"/>
      <c r="Y75" s="70"/>
      <c r="Z75" s="73"/>
      <c r="AA75" s="73"/>
      <c r="AB75" s="73"/>
      <c r="AC75" s="73"/>
      <c r="AD75" s="73"/>
      <c r="AE75" s="72"/>
      <c r="AF75" s="73"/>
      <c r="AG75" s="71"/>
      <c r="AH75" s="73"/>
      <c r="AI75" s="73"/>
      <c r="AJ75" s="73"/>
      <c r="AK75" s="73"/>
      <c r="AL75" s="73"/>
      <c r="AM75" s="73"/>
      <c r="AN75" s="73"/>
      <c r="AO75" s="73"/>
      <c r="AQ75" s="70"/>
    </row>
    <row r="76" spans="3:43" s="69" customFormat="1" x14ac:dyDescent="0.25">
      <c r="C76" s="79"/>
      <c r="E76" s="70"/>
      <c r="O76" s="71"/>
      <c r="P76" s="71"/>
      <c r="U76" s="71"/>
      <c r="V76" s="72"/>
      <c r="W76" s="72"/>
      <c r="X76" s="70"/>
      <c r="Y76" s="70"/>
      <c r="Z76" s="73"/>
      <c r="AA76" s="73"/>
      <c r="AB76" s="73"/>
      <c r="AC76" s="73"/>
      <c r="AD76" s="73"/>
      <c r="AE76" s="72"/>
      <c r="AF76" s="73"/>
      <c r="AG76" s="71"/>
      <c r="AH76" s="73"/>
      <c r="AI76" s="73"/>
      <c r="AJ76" s="73"/>
      <c r="AK76" s="73"/>
      <c r="AL76" s="73"/>
      <c r="AM76" s="73"/>
      <c r="AN76" s="73"/>
      <c r="AO76" s="73"/>
      <c r="AQ76" s="70"/>
    </row>
    <row r="77" spans="3:43" s="69" customFormat="1" x14ac:dyDescent="0.25">
      <c r="C77" s="79"/>
      <c r="E77" s="70"/>
      <c r="O77" s="71"/>
      <c r="P77" s="71"/>
      <c r="U77" s="71"/>
      <c r="V77" s="72"/>
      <c r="W77" s="72"/>
      <c r="X77" s="70"/>
      <c r="Y77" s="70"/>
      <c r="Z77" s="73"/>
      <c r="AA77" s="73"/>
      <c r="AB77" s="73"/>
      <c r="AC77" s="73"/>
      <c r="AD77" s="73"/>
      <c r="AE77" s="72"/>
      <c r="AF77" s="73"/>
      <c r="AG77" s="71"/>
      <c r="AH77" s="73"/>
      <c r="AI77" s="73"/>
      <c r="AJ77" s="73"/>
      <c r="AK77" s="73"/>
      <c r="AL77" s="73"/>
      <c r="AM77" s="73"/>
      <c r="AN77" s="73"/>
      <c r="AO77" s="73"/>
      <c r="AQ77" s="70"/>
    </row>
    <row r="78" spans="3:43" s="69" customFormat="1" x14ac:dyDescent="0.25">
      <c r="C78" s="79"/>
      <c r="E78" s="70"/>
      <c r="O78" s="71"/>
      <c r="P78" s="71"/>
      <c r="U78" s="71"/>
      <c r="V78" s="72"/>
      <c r="W78" s="72"/>
      <c r="X78" s="70"/>
      <c r="Y78" s="70"/>
      <c r="Z78" s="73"/>
      <c r="AA78" s="73"/>
      <c r="AB78" s="73"/>
      <c r="AC78" s="73"/>
      <c r="AD78" s="73"/>
      <c r="AE78" s="72"/>
      <c r="AF78" s="73"/>
      <c r="AG78" s="71"/>
      <c r="AH78" s="73"/>
      <c r="AI78" s="73"/>
      <c r="AJ78" s="73"/>
      <c r="AK78" s="73"/>
      <c r="AL78" s="73"/>
      <c r="AM78" s="73"/>
      <c r="AN78" s="73"/>
      <c r="AO78" s="73"/>
      <c r="AQ78" s="70"/>
    </row>
    <row r="79" spans="3:43" s="69" customFormat="1" x14ac:dyDescent="0.25">
      <c r="C79" s="79"/>
      <c r="E79" s="70"/>
      <c r="O79" s="71"/>
      <c r="P79" s="71"/>
      <c r="U79" s="71"/>
      <c r="V79" s="72"/>
      <c r="W79" s="72"/>
      <c r="X79" s="70"/>
      <c r="Y79" s="70"/>
      <c r="Z79" s="73"/>
      <c r="AA79" s="73"/>
      <c r="AB79" s="73"/>
      <c r="AC79" s="73"/>
      <c r="AD79" s="73"/>
      <c r="AE79" s="72"/>
      <c r="AF79" s="73"/>
      <c r="AG79" s="71"/>
      <c r="AH79" s="73"/>
      <c r="AI79" s="73"/>
      <c r="AJ79" s="73"/>
      <c r="AK79" s="73"/>
      <c r="AL79" s="73"/>
      <c r="AM79" s="73"/>
      <c r="AN79" s="73"/>
      <c r="AO79" s="73"/>
      <c r="AQ79" s="70"/>
    </row>
    <row r="80" spans="3:43" s="69" customFormat="1" x14ac:dyDescent="0.25">
      <c r="C80" s="79"/>
      <c r="E80" s="70"/>
      <c r="O80" s="71"/>
      <c r="P80" s="71"/>
      <c r="U80" s="71"/>
      <c r="V80" s="72"/>
      <c r="W80" s="72"/>
      <c r="X80" s="70"/>
      <c r="Y80" s="70"/>
      <c r="Z80" s="73"/>
      <c r="AA80" s="73"/>
      <c r="AB80" s="73"/>
      <c r="AC80" s="73"/>
      <c r="AD80" s="73"/>
      <c r="AE80" s="72"/>
      <c r="AF80" s="73"/>
      <c r="AG80" s="71"/>
      <c r="AH80" s="73"/>
      <c r="AI80" s="73"/>
      <c r="AJ80" s="73"/>
      <c r="AK80" s="73"/>
      <c r="AL80" s="73"/>
      <c r="AM80" s="73"/>
      <c r="AN80" s="73"/>
      <c r="AO80" s="73"/>
      <c r="AQ80" s="70"/>
    </row>
    <row r="81" spans="3:43" s="69" customFormat="1" x14ac:dyDescent="0.25">
      <c r="C81" s="79"/>
      <c r="E81" s="70"/>
      <c r="O81" s="71"/>
      <c r="P81" s="71"/>
      <c r="U81" s="71"/>
      <c r="V81" s="72"/>
      <c r="W81" s="72"/>
      <c r="X81" s="70"/>
      <c r="Y81" s="70"/>
      <c r="Z81" s="73"/>
      <c r="AA81" s="73"/>
      <c r="AB81" s="73"/>
      <c r="AC81" s="73"/>
      <c r="AD81" s="73"/>
      <c r="AE81" s="72"/>
      <c r="AF81" s="73"/>
      <c r="AG81" s="71"/>
      <c r="AH81" s="73"/>
      <c r="AI81" s="73"/>
      <c r="AJ81" s="73"/>
      <c r="AK81" s="73"/>
      <c r="AL81" s="73"/>
      <c r="AM81" s="73"/>
      <c r="AN81" s="73"/>
      <c r="AO81" s="73"/>
      <c r="AQ81" s="70"/>
    </row>
    <row r="82" spans="3:43" s="69" customFormat="1" x14ac:dyDescent="0.25">
      <c r="C82" s="79"/>
      <c r="E82" s="70"/>
      <c r="O82" s="71"/>
      <c r="P82" s="71"/>
      <c r="U82" s="71"/>
      <c r="V82" s="72"/>
      <c r="W82" s="72"/>
      <c r="X82" s="70"/>
      <c r="Y82" s="70"/>
      <c r="Z82" s="73"/>
      <c r="AA82" s="73"/>
      <c r="AB82" s="73"/>
      <c r="AC82" s="73"/>
      <c r="AD82" s="73"/>
      <c r="AE82" s="72"/>
      <c r="AF82" s="73"/>
      <c r="AG82" s="71"/>
      <c r="AH82" s="73"/>
      <c r="AI82" s="73"/>
      <c r="AJ82" s="73"/>
      <c r="AK82" s="73"/>
      <c r="AL82" s="73"/>
      <c r="AM82" s="73"/>
      <c r="AN82" s="73"/>
      <c r="AO82" s="73"/>
      <c r="AQ82" s="70"/>
    </row>
    <row r="83" spans="3:43" s="69" customFormat="1" x14ac:dyDescent="0.25">
      <c r="C83" s="79"/>
      <c r="E83" s="70"/>
      <c r="O83" s="71"/>
      <c r="P83" s="71"/>
      <c r="U83" s="71"/>
      <c r="V83" s="72"/>
      <c r="W83" s="72"/>
      <c r="X83" s="70"/>
      <c r="Y83" s="70"/>
      <c r="Z83" s="73"/>
      <c r="AA83" s="73"/>
      <c r="AB83" s="73"/>
      <c r="AC83" s="73"/>
      <c r="AD83" s="73"/>
      <c r="AE83" s="72"/>
      <c r="AF83" s="73"/>
      <c r="AG83" s="71"/>
      <c r="AH83" s="73"/>
      <c r="AI83" s="73"/>
      <c r="AJ83" s="73"/>
      <c r="AK83" s="73"/>
      <c r="AL83" s="73"/>
      <c r="AM83" s="73"/>
      <c r="AN83" s="73"/>
      <c r="AO83" s="73"/>
      <c r="AQ83" s="70"/>
    </row>
    <row r="84" spans="3:43" s="69" customFormat="1" x14ac:dyDescent="0.25">
      <c r="C84" s="79"/>
      <c r="E84" s="70"/>
      <c r="O84" s="71"/>
      <c r="P84" s="71"/>
      <c r="U84" s="71"/>
      <c r="V84" s="72"/>
      <c r="W84" s="72"/>
      <c r="X84" s="70"/>
      <c r="Y84" s="70"/>
      <c r="Z84" s="73"/>
      <c r="AA84" s="73"/>
      <c r="AB84" s="73"/>
      <c r="AC84" s="73"/>
      <c r="AD84" s="73"/>
      <c r="AE84" s="72"/>
      <c r="AF84" s="73"/>
      <c r="AG84" s="71"/>
      <c r="AH84" s="73"/>
      <c r="AI84" s="73"/>
      <c r="AJ84" s="73"/>
      <c r="AK84" s="73"/>
      <c r="AL84" s="73"/>
      <c r="AM84" s="73"/>
      <c r="AN84" s="73"/>
      <c r="AO84" s="73"/>
      <c r="AQ84" s="70"/>
    </row>
    <row r="85" spans="3:43" s="69" customFormat="1" x14ac:dyDescent="0.25">
      <c r="C85" s="79"/>
      <c r="E85" s="70"/>
      <c r="O85" s="71"/>
      <c r="P85" s="71"/>
      <c r="U85" s="71"/>
      <c r="V85" s="72"/>
      <c r="W85" s="72"/>
      <c r="X85" s="70"/>
      <c r="Y85" s="70"/>
      <c r="Z85" s="73"/>
      <c r="AA85" s="73"/>
      <c r="AB85" s="73"/>
      <c r="AC85" s="73"/>
      <c r="AD85" s="73"/>
      <c r="AE85" s="72"/>
      <c r="AF85" s="73"/>
      <c r="AG85" s="71"/>
      <c r="AH85" s="73"/>
      <c r="AI85" s="73"/>
      <c r="AJ85" s="73"/>
      <c r="AK85" s="73"/>
      <c r="AL85" s="73"/>
      <c r="AM85" s="73"/>
      <c r="AN85" s="73"/>
      <c r="AO85" s="73"/>
      <c r="AQ85" s="70"/>
    </row>
    <row r="86" spans="3:43" s="69" customFormat="1" x14ac:dyDescent="0.25">
      <c r="C86" s="79"/>
      <c r="E86" s="70"/>
      <c r="O86" s="71"/>
      <c r="P86" s="71"/>
      <c r="U86" s="71"/>
      <c r="V86" s="72"/>
      <c r="W86" s="72"/>
      <c r="X86" s="70"/>
      <c r="Y86" s="70"/>
      <c r="Z86" s="73"/>
      <c r="AA86" s="73"/>
      <c r="AB86" s="73"/>
      <c r="AC86" s="73"/>
      <c r="AD86" s="73"/>
      <c r="AE86" s="72"/>
      <c r="AF86" s="73"/>
      <c r="AG86" s="71"/>
      <c r="AH86" s="73"/>
      <c r="AI86" s="73"/>
      <c r="AJ86" s="73"/>
      <c r="AK86" s="73"/>
      <c r="AL86" s="73"/>
      <c r="AM86" s="73"/>
      <c r="AN86" s="73"/>
      <c r="AO86" s="73"/>
      <c r="AQ86" s="70"/>
    </row>
    <row r="87" spans="3:43" s="69" customFormat="1" ht="17.45" customHeight="1" x14ac:dyDescent="0.25">
      <c r="C87" s="79"/>
      <c r="E87" s="70"/>
      <c r="O87" s="71"/>
      <c r="P87" s="71"/>
      <c r="U87" s="71"/>
      <c r="V87" s="72"/>
      <c r="W87" s="72"/>
      <c r="X87" s="70"/>
      <c r="Y87" s="70"/>
      <c r="Z87" s="73"/>
      <c r="AA87" s="73"/>
      <c r="AB87" s="73"/>
      <c r="AC87" s="73"/>
      <c r="AD87" s="73"/>
      <c r="AE87" s="72"/>
      <c r="AF87" s="73"/>
      <c r="AG87" s="71"/>
      <c r="AH87" s="73"/>
      <c r="AI87" s="73"/>
      <c r="AJ87" s="73"/>
      <c r="AK87" s="73"/>
      <c r="AL87" s="73"/>
      <c r="AM87" s="73"/>
      <c r="AN87" s="73"/>
      <c r="AO87" s="73"/>
      <c r="AQ87" s="70"/>
    </row>
    <row r="88" spans="3:43" s="69" customFormat="1" x14ac:dyDescent="0.25">
      <c r="C88" s="79"/>
      <c r="E88" s="70"/>
      <c r="O88" s="71"/>
      <c r="P88" s="71"/>
      <c r="U88" s="71"/>
      <c r="V88" s="72"/>
      <c r="W88" s="72"/>
      <c r="X88" s="70"/>
      <c r="Y88" s="70"/>
      <c r="Z88" s="73"/>
      <c r="AA88" s="73"/>
      <c r="AB88" s="73"/>
      <c r="AC88" s="73"/>
      <c r="AD88" s="73"/>
      <c r="AE88" s="72"/>
      <c r="AF88" s="73"/>
      <c r="AG88" s="71"/>
      <c r="AH88" s="73"/>
      <c r="AI88" s="73"/>
      <c r="AJ88" s="73"/>
      <c r="AK88" s="73"/>
      <c r="AL88" s="73"/>
      <c r="AM88" s="73"/>
      <c r="AN88" s="73"/>
      <c r="AO88" s="73"/>
      <c r="AQ88" s="70"/>
    </row>
    <row r="89" spans="3:43" s="69" customFormat="1" x14ac:dyDescent="0.25">
      <c r="C89" s="79"/>
      <c r="E89" s="70"/>
      <c r="O89" s="71"/>
      <c r="P89" s="71"/>
      <c r="U89" s="71"/>
      <c r="V89" s="72"/>
      <c r="W89" s="72"/>
      <c r="X89" s="70"/>
      <c r="Y89" s="70"/>
      <c r="Z89" s="73"/>
      <c r="AA89" s="73"/>
      <c r="AB89" s="73"/>
      <c r="AC89" s="73"/>
      <c r="AD89" s="73"/>
      <c r="AE89" s="72"/>
      <c r="AF89" s="73"/>
      <c r="AG89" s="71"/>
      <c r="AH89" s="73"/>
      <c r="AI89" s="73"/>
      <c r="AJ89" s="73"/>
      <c r="AK89" s="73"/>
      <c r="AL89" s="73"/>
      <c r="AM89" s="73"/>
      <c r="AN89" s="73"/>
      <c r="AO89" s="73"/>
      <c r="AQ89" s="70"/>
    </row>
    <row r="90" spans="3:43" s="69" customFormat="1" x14ac:dyDescent="0.25">
      <c r="C90" s="79"/>
      <c r="E90" s="70"/>
      <c r="O90" s="71"/>
      <c r="P90" s="71"/>
      <c r="U90" s="71"/>
      <c r="V90" s="72"/>
      <c r="W90" s="72"/>
      <c r="X90" s="70"/>
      <c r="Y90" s="70"/>
      <c r="Z90" s="73"/>
      <c r="AA90" s="73"/>
      <c r="AB90" s="73"/>
      <c r="AC90" s="73"/>
      <c r="AD90" s="73"/>
      <c r="AE90" s="72"/>
      <c r="AF90" s="73"/>
      <c r="AG90" s="71"/>
      <c r="AH90" s="73"/>
      <c r="AI90" s="73"/>
      <c r="AJ90" s="73"/>
      <c r="AK90" s="73"/>
      <c r="AL90" s="73"/>
      <c r="AM90" s="73"/>
      <c r="AN90" s="73"/>
      <c r="AO90" s="73"/>
      <c r="AQ90" s="70"/>
    </row>
    <row r="91" spans="3:43" s="69" customFormat="1" x14ac:dyDescent="0.25">
      <c r="C91" s="79"/>
      <c r="E91" s="70"/>
      <c r="O91" s="71"/>
      <c r="P91" s="71"/>
      <c r="U91" s="71"/>
      <c r="V91" s="72"/>
      <c r="W91" s="72"/>
      <c r="X91" s="70"/>
      <c r="Y91" s="70"/>
      <c r="Z91" s="73"/>
      <c r="AA91" s="73"/>
      <c r="AB91" s="73"/>
      <c r="AC91" s="73"/>
      <c r="AD91" s="73"/>
      <c r="AE91" s="72"/>
      <c r="AF91" s="73"/>
      <c r="AG91" s="71"/>
      <c r="AH91" s="73"/>
      <c r="AI91" s="73"/>
      <c r="AJ91" s="73"/>
      <c r="AK91" s="73"/>
      <c r="AL91" s="73"/>
      <c r="AM91" s="73"/>
      <c r="AN91" s="73"/>
      <c r="AO91" s="73"/>
      <c r="AQ91" s="70"/>
    </row>
    <row r="92" spans="3:43" s="69" customFormat="1" x14ac:dyDescent="0.25">
      <c r="C92" s="79"/>
      <c r="E92" s="70"/>
      <c r="O92" s="71"/>
      <c r="P92" s="71"/>
      <c r="U92" s="71"/>
      <c r="V92" s="72"/>
      <c r="W92" s="72"/>
      <c r="X92" s="70"/>
      <c r="Y92" s="70"/>
      <c r="Z92" s="73"/>
      <c r="AA92" s="73"/>
      <c r="AB92" s="73"/>
      <c r="AC92" s="73"/>
      <c r="AD92" s="73"/>
      <c r="AE92" s="72"/>
      <c r="AF92" s="73"/>
      <c r="AG92" s="71"/>
      <c r="AH92" s="73"/>
      <c r="AI92" s="73"/>
      <c r="AJ92" s="73"/>
      <c r="AK92" s="73"/>
      <c r="AL92" s="73"/>
      <c r="AM92" s="73"/>
      <c r="AN92" s="73"/>
      <c r="AO92" s="73"/>
      <c r="AQ92" s="70"/>
    </row>
    <row r="93" spans="3:43" s="69" customFormat="1" x14ac:dyDescent="0.25">
      <c r="C93" s="79"/>
      <c r="E93" s="70"/>
      <c r="O93" s="71"/>
      <c r="P93" s="71"/>
      <c r="U93" s="71"/>
      <c r="V93" s="72"/>
      <c r="W93" s="72"/>
      <c r="X93" s="70"/>
      <c r="Y93" s="70"/>
      <c r="Z93" s="73"/>
      <c r="AA93" s="73"/>
      <c r="AB93" s="73"/>
      <c r="AC93" s="73"/>
      <c r="AD93" s="73"/>
      <c r="AE93" s="72"/>
      <c r="AF93" s="73"/>
      <c r="AG93" s="71"/>
      <c r="AH93" s="73"/>
      <c r="AI93" s="73"/>
      <c r="AJ93" s="73"/>
      <c r="AK93" s="73"/>
      <c r="AL93" s="73"/>
      <c r="AM93" s="73"/>
      <c r="AN93" s="73"/>
      <c r="AO93" s="73"/>
      <c r="AQ93" s="70"/>
    </row>
    <row r="94" spans="3:43" s="69" customFormat="1" x14ac:dyDescent="0.25">
      <c r="C94" s="79"/>
      <c r="E94" s="70"/>
      <c r="O94" s="71"/>
      <c r="P94" s="71"/>
      <c r="U94" s="71"/>
      <c r="V94" s="72"/>
      <c r="W94" s="72"/>
      <c r="X94" s="70"/>
      <c r="Y94" s="70"/>
      <c r="Z94" s="73"/>
      <c r="AA94" s="73"/>
      <c r="AB94" s="73"/>
      <c r="AC94" s="73"/>
      <c r="AD94" s="73"/>
      <c r="AE94" s="72"/>
      <c r="AF94" s="73"/>
      <c r="AG94" s="71"/>
      <c r="AH94" s="73"/>
      <c r="AI94" s="73"/>
      <c r="AJ94" s="73"/>
      <c r="AK94" s="73"/>
      <c r="AL94" s="73"/>
      <c r="AM94" s="73"/>
      <c r="AN94" s="73"/>
      <c r="AO94" s="73"/>
      <c r="AQ94" s="70"/>
    </row>
    <row r="95" spans="3:43" s="69" customFormat="1" x14ac:dyDescent="0.25">
      <c r="C95" s="79"/>
      <c r="E95" s="70"/>
      <c r="O95" s="71"/>
      <c r="P95" s="71"/>
      <c r="U95" s="71"/>
      <c r="V95" s="72"/>
      <c r="W95" s="72"/>
      <c r="X95" s="70"/>
      <c r="Y95" s="70"/>
      <c r="Z95" s="73"/>
      <c r="AA95" s="73"/>
      <c r="AB95" s="73"/>
      <c r="AC95" s="73"/>
      <c r="AD95" s="73"/>
      <c r="AE95" s="72"/>
      <c r="AF95" s="73"/>
      <c r="AG95" s="71"/>
      <c r="AH95" s="73"/>
      <c r="AI95" s="73"/>
      <c r="AJ95" s="73"/>
      <c r="AK95" s="73"/>
      <c r="AL95" s="73"/>
      <c r="AM95" s="73"/>
      <c r="AN95" s="73"/>
      <c r="AO95" s="73"/>
      <c r="AQ95" s="70"/>
    </row>
    <row r="96" spans="3:43" s="69" customFormat="1" ht="17.45" customHeight="1" x14ac:dyDescent="0.25">
      <c r="C96" s="79"/>
      <c r="E96" s="70"/>
      <c r="O96" s="71"/>
      <c r="P96" s="71"/>
      <c r="U96" s="71"/>
      <c r="V96" s="72"/>
      <c r="W96" s="72"/>
      <c r="X96" s="70"/>
      <c r="Y96" s="70"/>
      <c r="Z96" s="73"/>
      <c r="AA96" s="73"/>
      <c r="AB96" s="73"/>
      <c r="AC96" s="73"/>
      <c r="AD96" s="73"/>
      <c r="AE96" s="72"/>
      <c r="AF96" s="73"/>
      <c r="AG96" s="71"/>
      <c r="AH96" s="73"/>
      <c r="AI96" s="73"/>
      <c r="AJ96" s="73"/>
      <c r="AK96" s="73"/>
      <c r="AL96" s="73"/>
      <c r="AM96" s="73"/>
      <c r="AN96" s="73"/>
      <c r="AO96" s="73"/>
      <c r="AQ96" s="70"/>
    </row>
    <row r="97" spans="3:43" s="69" customFormat="1" x14ac:dyDescent="0.25">
      <c r="C97" s="79"/>
      <c r="E97" s="70"/>
      <c r="O97" s="71"/>
      <c r="P97" s="71"/>
      <c r="U97" s="71"/>
      <c r="V97" s="72"/>
      <c r="W97" s="72"/>
      <c r="X97" s="70"/>
      <c r="Y97" s="70"/>
      <c r="Z97" s="73"/>
      <c r="AA97" s="73"/>
      <c r="AB97" s="73"/>
      <c r="AC97" s="73"/>
      <c r="AD97" s="73"/>
      <c r="AE97" s="72"/>
      <c r="AF97" s="73"/>
      <c r="AG97" s="71"/>
      <c r="AH97" s="73"/>
      <c r="AI97" s="73"/>
      <c r="AJ97" s="73"/>
      <c r="AK97" s="73"/>
      <c r="AL97" s="73"/>
      <c r="AM97" s="73"/>
      <c r="AN97" s="73"/>
      <c r="AO97" s="73"/>
      <c r="AQ97" s="70"/>
    </row>
    <row r="98" spans="3:43" s="69" customFormat="1" x14ac:dyDescent="0.25">
      <c r="C98" s="79"/>
      <c r="E98" s="70"/>
      <c r="O98" s="71"/>
      <c r="P98" s="71"/>
      <c r="U98" s="71"/>
      <c r="V98" s="72"/>
      <c r="W98" s="72"/>
      <c r="X98" s="70"/>
      <c r="Y98" s="70"/>
      <c r="Z98" s="73"/>
      <c r="AA98" s="73"/>
      <c r="AB98" s="73"/>
      <c r="AC98" s="73"/>
      <c r="AD98" s="73"/>
      <c r="AE98" s="72"/>
      <c r="AF98" s="73"/>
      <c r="AG98" s="71"/>
      <c r="AH98" s="73"/>
      <c r="AI98" s="73"/>
      <c r="AJ98" s="73"/>
      <c r="AK98" s="73"/>
      <c r="AL98" s="73"/>
      <c r="AM98" s="73"/>
      <c r="AN98" s="73"/>
      <c r="AO98" s="73"/>
      <c r="AQ98" s="70"/>
    </row>
    <row r="99" spans="3:43" s="69" customFormat="1" x14ac:dyDescent="0.25">
      <c r="C99" s="79"/>
      <c r="E99" s="70"/>
      <c r="O99" s="71"/>
      <c r="P99" s="71"/>
      <c r="U99" s="71"/>
      <c r="V99" s="72"/>
      <c r="W99" s="72"/>
      <c r="X99" s="70"/>
      <c r="Y99" s="70"/>
      <c r="Z99" s="73"/>
      <c r="AA99" s="73"/>
      <c r="AB99" s="73"/>
      <c r="AC99" s="73"/>
      <c r="AD99" s="73"/>
      <c r="AE99" s="72"/>
      <c r="AF99" s="73"/>
      <c r="AG99" s="71"/>
      <c r="AH99" s="73"/>
      <c r="AI99" s="73"/>
      <c r="AJ99" s="73"/>
      <c r="AK99" s="73"/>
      <c r="AL99" s="73"/>
      <c r="AM99" s="73"/>
      <c r="AN99" s="73"/>
      <c r="AO99" s="73"/>
      <c r="AQ99" s="70"/>
    </row>
    <row r="100" spans="3:43" s="69" customFormat="1" x14ac:dyDescent="0.25">
      <c r="C100" s="79"/>
      <c r="E100" s="70"/>
      <c r="O100" s="71"/>
      <c r="P100" s="71"/>
      <c r="U100" s="71"/>
      <c r="V100" s="72"/>
      <c r="W100" s="72"/>
      <c r="X100" s="70"/>
      <c r="Y100" s="70"/>
      <c r="Z100" s="73"/>
      <c r="AA100" s="73"/>
      <c r="AB100" s="74"/>
      <c r="AC100" s="74"/>
      <c r="AD100" s="73"/>
      <c r="AE100" s="72"/>
      <c r="AF100" s="73"/>
      <c r="AG100" s="71"/>
      <c r="AH100" s="73"/>
      <c r="AI100" s="73"/>
      <c r="AJ100" s="73"/>
      <c r="AK100" s="73"/>
      <c r="AL100" s="73"/>
      <c r="AM100" s="73"/>
      <c r="AN100" s="73"/>
      <c r="AO100" s="73"/>
      <c r="AQ100" s="70"/>
    </row>
    <row r="101" spans="3:43" s="69" customFormat="1" x14ac:dyDescent="0.25">
      <c r="C101" s="79"/>
      <c r="E101" s="70"/>
      <c r="O101" s="71"/>
      <c r="P101" s="71"/>
      <c r="U101" s="71"/>
      <c r="V101" s="72"/>
      <c r="W101" s="72"/>
      <c r="X101" s="70"/>
      <c r="Y101" s="70"/>
      <c r="Z101" s="73"/>
      <c r="AA101" s="73"/>
      <c r="AB101" s="74"/>
      <c r="AC101" s="74"/>
      <c r="AD101" s="73"/>
      <c r="AE101" s="72"/>
      <c r="AF101" s="73"/>
      <c r="AG101" s="71"/>
      <c r="AH101" s="73"/>
      <c r="AI101" s="73"/>
      <c r="AJ101" s="73"/>
      <c r="AK101" s="73"/>
      <c r="AL101" s="73"/>
      <c r="AM101" s="73"/>
      <c r="AN101" s="73"/>
      <c r="AO101" s="73"/>
      <c r="AQ101" s="70"/>
    </row>
    <row r="102" spans="3:43" s="69" customFormat="1" x14ac:dyDescent="0.25">
      <c r="C102" s="79"/>
      <c r="E102" s="70"/>
      <c r="O102" s="71"/>
      <c r="P102" s="71"/>
      <c r="U102" s="71"/>
      <c r="V102" s="72"/>
      <c r="W102" s="72"/>
      <c r="X102" s="70"/>
      <c r="Y102" s="70"/>
      <c r="Z102" s="73"/>
      <c r="AA102" s="73"/>
      <c r="AB102" s="74"/>
      <c r="AC102" s="74"/>
      <c r="AD102" s="73"/>
      <c r="AE102" s="72"/>
      <c r="AF102" s="73"/>
      <c r="AG102" s="71"/>
      <c r="AH102" s="73"/>
      <c r="AI102" s="73"/>
      <c r="AJ102" s="73"/>
      <c r="AK102" s="73"/>
      <c r="AL102" s="73"/>
      <c r="AM102" s="73"/>
      <c r="AN102" s="73"/>
      <c r="AO102" s="73"/>
      <c r="AQ102" s="70"/>
    </row>
    <row r="103" spans="3:43" s="69" customFormat="1" x14ac:dyDescent="0.25">
      <c r="C103" s="79"/>
      <c r="E103" s="70"/>
      <c r="O103" s="71"/>
      <c r="P103" s="71"/>
      <c r="U103" s="71"/>
      <c r="V103" s="72"/>
      <c r="W103" s="72"/>
      <c r="X103" s="70"/>
      <c r="Y103" s="70"/>
      <c r="Z103" s="73"/>
      <c r="AA103" s="73"/>
      <c r="AB103" s="74"/>
      <c r="AC103" s="74"/>
      <c r="AD103" s="73"/>
      <c r="AE103" s="72"/>
      <c r="AF103" s="73"/>
      <c r="AG103" s="71"/>
      <c r="AH103" s="73"/>
      <c r="AI103" s="73"/>
      <c r="AJ103" s="73"/>
      <c r="AK103" s="73"/>
      <c r="AL103" s="73"/>
      <c r="AM103" s="73"/>
      <c r="AN103" s="73"/>
      <c r="AO103" s="73"/>
      <c r="AQ103" s="70"/>
    </row>
    <row r="104" spans="3:43" s="69" customFormat="1" x14ac:dyDescent="0.25">
      <c r="C104" s="79"/>
      <c r="E104" s="70"/>
      <c r="O104" s="71"/>
      <c r="P104" s="71"/>
      <c r="U104" s="71"/>
      <c r="V104" s="72"/>
      <c r="W104" s="72"/>
      <c r="X104" s="70"/>
      <c r="Y104" s="70"/>
      <c r="Z104" s="73"/>
      <c r="AA104" s="73"/>
      <c r="AB104" s="73"/>
      <c r="AC104" s="73"/>
      <c r="AD104" s="73"/>
      <c r="AE104" s="72"/>
      <c r="AF104" s="73"/>
      <c r="AG104" s="71"/>
      <c r="AH104" s="73"/>
      <c r="AI104" s="73"/>
      <c r="AJ104" s="73"/>
      <c r="AK104" s="73"/>
      <c r="AL104" s="73"/>
      <c r="AM104" s="73"/>
      <c r="AN104" s="73"/>
      <c r="AO104" s="73"/>
      <c r="AQ104" s="70"/>
    </row>
    <row r="105" spans="3:43" s="69" customFormat="1" x14ac:dyDescent="0.25">
      <c r="C105" s="79"/>
      <c r="E105" s="70"/>
      <c r="O105" s="71"/>
      <c r="P105" s="71"/>
      <c r="U105" s="71"/>
      <c r="V105" s="72"/>
      <c r="W105" s="72"/>
      <c r="X105" s="70"/>
      <c r="Y105" s="70"/>
      <c r="Z105" s="73"/>
      <c r="AA105" s="73"/>
      <c r="AB105" s="73"/>
      <c r="AC105" s="73"/>
      <c r="AD105" s="73"/>
      <c r="AE105" s="72"/>
      <c r="AF105" s="73"/>
      <c r="AG105" s="71"/>
      <c r="AH105" s="73"/>
      <c r="AI105" s="73"/>
      <c r="AJ105" s="73"/>
      <c r="AK105" s="73"/>
      <c r="AL105" s="73"/>
      <c r="AM105" s="73"/>
      <c r="AN105" s="73"/>
      <c r="AO105" s="73"/>
      <c r="AQ105" s="70"/>
    </row>
    <row r="106" spans="3:43" s="69" customFormat="1" x14ac:dyDescent="0.25">
      <c r="C106" s="79"/>
      <c r="E106" s="70"/>
      <c r="O106" s="71"/>
      <c r="P106" s="71"/>
      <c r="U106" s="71"/>
      <c r="V106" s="72"/>
      <c r="W106" s="72"/>
      <c r="X106" s="70"/>
      <c r="Y106" s="70"/>
      <c r="Z106" s="73"/>
      <c r="AA106" s="73"/>
      <c r="AB106" s="73"/>
      <c r="AC106" s="73"/>
      <c r="AD106" s="73"/>
      <c r="AE106" s="72"/>
      <c r="AF106" s="73"/>
      <c r="AG106" s="71"/>
      <c r="AH106" s="73"/>
      <c r="AI106" s="73"/>
      <c r="AJ106" s="73"/>
      <c r="AK106" s="73"/>
      <c r="AL106" s="73"/>
      <c r="AM106" s="73"/>
      <c r="AN106" s="73"/>
      <c r="AO106" s="73"/>
      <c r="AQ106" s="70"/>
    </row>
    <row r="107" spans="3:43" s="69" customFormat="1" x14ac:dyDescent="0.25">
      <c r="C107" s="79"/>
      <c r="E107" s="70"/>
      <c r="O107" s="71"/>
      <c r="P107" s="71"/>
      <c r="U107" s="71"/>
      <c r="V107" s="72"/>
      <c r="W107" s="72"/>
      <c r="X107" s="70"/>
      <c r="Y107" s="70"/>
      <c r="Z107" s="73"/>
      <c r="AA107" s="73"/>
      <c r="AB107" s="73"/>
      <c r="AC107" s="73"/>
      <c r="AD107" s="73"/>
      <c r="AE107" s="72"/>
      <c r="AF107" s="73"/>
      <c r="AG107" s="71"/>
      <c r="AH107" s="73"/>
      <c r="AI107" s="73"/>
      <c r="AJ107" s="73"/>
      <c r="AK107" s="73"/>
      <c r="AL107" s="73"/>
      <c r="AM107" s="73"/>
      <c r="AN107" s="73"/>
      <c r="AO107" s="73"/>
      <c r="AQ107" s="70"/>
    </row>
    <row r="108" spans="3:43" s="69" customFormat="1" x14ac:dyDescent="0.25">
      <c r="C108" s="79"/>
      <c r="E108" s="70"/>
      <c r="O108" s="71"/>
      <c r="P108" s="71"/>
      <c r="U108" s="71"/>
      <c r="V108" s="72"/>
      <c r="W108" s="72"/>
      <c r="X108" s="70"/>
      <c r="Y108" s="70"/>
      <c r="Z108" s="73"/>
      <c r="AA108" s="73"/>
      <c r="AB108" s="73"/>
      <c r="AC108" s="73"/>
      <c r="AD108" s="73"/>
      <c r="AE108" s="72"/>
      <c r="AF108" s="73"/>
      <c r="AG108" s="71"/>
      <c r="AH108" s="73"/>
      <c r="AI108" s="73"/>
      <c r="AJ108" s="73"/>
      <c r="AK108" s="73"/>
      <c r="AL108" s="73"/>
      <c r="AM108" s="73"/>
      <c r="AN108" s="73"/>
      <c r="AO108" s="73"/>
      <c r="AQ108" s="70"/>
    </row>
    <row r="109" spans="3:43" s="69" customFormat="1" x14ac:dyDescent="0.25">
      <c r="C109" s="79"/>
      <c r="E109" s="70"/>
      <c r="O109" s="71"/>
      <c r="P109" s="71"/>
      <c r="U109" s="71"/>
      <c r="V109" s="72"/>
      <c r="W109" s="72"/>
      <c r="X109" s="70"/>
      <c r="Y109" s="70"/>
      <c r="Z109" s="73"/>
      <c r="AA109" s="73"/>
      <c r="AB109" s="73"/>
      <c r="AC109" s="73"/>
      <c r="AD109" s="73"/>
      <c r="AE109" s="72"/>
      <c r="AF109" s="73"/>
      <c r="AG109" s="71"/>
      <c r="AH109" s="73"/>
      <c r="AI109" s="73"/>
      <c r="AJ109" s="73"/>
      <c r="AK109" s="73"/>
      <c r="AL109" s="73"/>
      <c r="AM109" s="73"/>
      <c r="AN109" s="73"/>
      <c r="AO109" s="73"/>
      <c r="AQ109" s="70"/>
    </row>
    <row r="110" spans="3:43" s="69" customFormat="1" x14ac:dyDescent="0.25">
      <c r="C110" s="79"/>
      <c r="E110" s="70"/>
      <c r="O110" s="71"/>
      <c r="P110" s="71"/>
      <c r="U110" s="71"/>
      <c r="V110" s="72"/>
      <c r="W110" s="72"/>
      <c r="X110" s="70"/>
      <c r="Y110" s="70"/>
      <c r="Z110" s="73"/>
      <c r="AA110" s="73"/>
      <c r="AB110" s="73"/>
      <c r="AC110" s="73"/>
      <c r="AD110" s="73"/>
      <c r="AE110" s="72"/>
      <c r="AF110" s="73"/>
      <c r="AG110" s="71"/>
      <c r="AH110" s="73"/>
      <c r="AI110" s="73"/>
      <c r="AJ110" s="73"/>
      <c r="AK110" s="73"/>
      <c r="AL110" s="73"/>
      <c r="AM110" s="73"/>
      <c r="AN110" s="73"/>
      <c r="AO110" s="73"/>
      <c r="AQ110" s="70"/>
    </row>
    <row r="111" spans="3:43" s="69" customFormat="1" x14ac:dyDescent="0.25">
      <c r="C111" s="79"/>
      <c r="E111" s="70"/>
      <c r="O111" s="71"/>
      <c r="P111" s="71"/>
      <c r="U111" s="71"/>
      <c r="V111" s="72"/>
      <c r="W111" s="72"/>
      <c r="X111" s="70"/>
      <c r="Y111" s="70"/>
      <c r="Z111" s="73"/>
      <c r="AA111" s="73"/>
      <c r="AB111" s="73"/>
      <c r="AC111" s="73"/>
      <c r="AD111" s="73"/>
      <c r="AE111" s="72"/>
      <c r="AF111" s="73"/>
      <c r="AG111" s="71"/>
      <c r="AH111" s="73"/>
      <c r="AI111" s="73"/>
      <c r="AJ111" s="73"/>
      <c r="AK111" s="73"/>
      <c r="AL111" s="73"/>
      <c r="AM111" s="73"/>
      <c r="AN111" s="73"/>
      <c r="AO111" s="73"/>
      <c r="AQ111" s="70"/>
    </row>
    <row r="112" spans="3:43" s="69" customFormat="1" x14ac:dyDescent="0.25">
      <c r="C112" s="79"/>
      <c r="E112" s="70"/>
      <c r="O112" s="71"/>
      <c r="P112" s="71"/>
      <c r="U112" s="71"/>
      <c r="V112" s="72"/>
      <c r="W112" s="72"/>
      <c r="X112" s="70"/>
      <c r="Y112" s="70"/>
      <c r="AA112" s="73"/>
      <c r="AB112" s="73"/>
      <c r="AC112" s="73"/>
      <c r="AD112" s="73"/>
      <c r="AE112" s="72"/>
      <c r="AF112" s="73"/>
      <c r="AG112" s="71"/>
      <c r="AH112" s="73"/>
      <c r="AI112" s="73"/>
      <c r="AJ112" s="73"/>
      <c r="AK112" s="73"/>
      <c r="AL112" s="73"/>
      <c r="AM112" s="73"/>
      <c r="AN112" s="73"/>
      <c r="AO112" s="73"/>
      <c r="AQ112" s="70"/>
    </row>
    <row r="113" spans="3:43" s="69" customFormat="1" x14ac:dyDescent="0.25">
      <c r="C113" s="79"/>
      <c r="E113" s="70"/>
      <c r="O113" s="71"/>
      <c r="P113" s="71"/>
      <c r="U113" s="71"/>
      <c r="V113" s="72"/>
      <c r="W113" s="72"/>
      <c r="X113" s="70"/>
      <c r="Y113" s="70"/>
      <c r="AA113" s="73"/>
      <c r="AB113" s="73"/>
      <c r="AC113" s="73"/>
      <c r="AD113" s="73"/>
      <c r="AE113" s="72"/>
      <c r="AF113" s="73"/>
      <c r="AG113" s="71"/>
      <c r="AH113" s="73"/>
      <c r="AI113" s="73"/>
      <c r="AJ113" s="73"/>
      <c r="AK113" s="73"/>
      <c r="AL113" s="73"/>
      <c r="AM113" s="73"/>
      <c r="AN113" s="73"/>
      <c r="AO113" s="73"/>
      <c r="AQ113" s="70"/>
    </row>
    <row r="114" spans="3:43" s="69" customFormat="1" x14ac:dyDescent="0.25">
      <c r="C114" s="79"/>
      <c r="E114" s="70"/>
      <c r="O114" s="71"/>
      <c r="P114" s="71"/>
      <c r="U114" s="71"/>
      <c r="V114" s="72"/>
      <c r="W114" s="72"/>
      <c r="X114" s="70"/>
      <c r="Y114" s="70"/>
      <c r="AA114" s="73"/>
      <c r="AB114" s="73"/>
      <c r="AC114" s="73"/>
      <c r="AD114" s="73"/>
      <c r="AE114" s="72"/>
      <c r="AF114" s="73"/>
      <c r="AG114" s="71"/>
      <c r="AH114" s="73"/>
      <c r="AI114" s="73"/>
      <c r="AJ114" s="73"/>
      <c r="AK114" s="73"/>
      <c r="AL114" s="73"/>
      <c r="AM114" s="73"/>
      <c r="AN114" s="73"/>
      <c r="AO114" s="73"/>
      <c r="AQ114" s="70"/>
    </row>
    <row r="115" spans="3:43" s="69" customFormat="1" x14ac:dyDescent="0.25">
      <c r="C115" s="79"/>
      <c r="E115" s="70"/>
      <c r="O115" s="71"/>
      <c r="P115" s="71"/>
      <c r="U115" s="71"/>
      <c r="V115" s="72"/>
      <c r="W115" s="72"/>
      <c r="X115" s="70"/>
      <c r="Y115" s="70"/>
      <c r="AA115" s="73"/>
      <c r="AB115" s="73"/>
      <c r="AC115" s="73"/>
      <c r="AD115" s="73"/>
      <c r="AE115" s="72"/>
      <c r="AF115" s="73"/>
      <c r="AG115" s="71"/>
      <c r="AH115" s="73"/>
      <c r="AI115" s="73"/>
      <c r="AJ115" s="73"/>
      <c r="AK115" s="73"/>
      <c r="AL115" s="73"/>
      <c r="AM115" s="73"/>
      <c r="AN115" s="73"/>
      <c r="AO115" s="73"/>
      <c r="AQ115" s="70"/>
    </row>
    <row r="116" spans="3:43" s="69" customFormat="1" x14ac:dyDescent="0.25">
      <c r="C116" s="79"/>
      <c r="E116" s="70"/>
      <c r="O116" s="71"/>
      <c r="P116" s="71"/>
      <c r="U116" s="71"/>
      <c r="V116" s="72"/>
      <c r="W116" s="72"/>
      <c r="X116" s="70"/>
      <c r="Y116" s="70"/>
      <c r="AA116" s="73"/>
      <c r="AB116" s="73"/>
      <c r="AC116" s="73"/>
      <c r="AD116" s="73"/>
      <c r="AE116" s="72"/>
      <c r="AF116" s="73"/>
      <c r="AG116" s="71"/>
      <c r="AH116" s="73"/>
      <c r="AI116" s="73"/>
      <c r="AJ116" s="73"/>
      <c r="AK116" s="73"/>
      <c r="AL116" s="73"/>
      <c r="AM116" s="73"/>
      <c r="AN116" s="73"/>
      <c r="AO116" s="73"/>
      <c r="AQ116" s="70"/>
    </row>
    <row r="117" spans="3:43" s="69" customFormat="1" x14ac:dyDescent="0.25">
      <c r="C117" s="79"/>
      <c r="E117" s="70"/>
      <c r="O117" s="71"/>
      <c r="P117" s="71"/>
      <c r="U117" s="71"/>
      <c r="V117" s="72"/>
      <c r="W117" s="72"/>
      <c r="X117" s="70"/>
      <c r="Y117" s="70"/>
      <c r="AA117" s="73"/>
      <c r="AB117" s="73"/>
      <c r="AC117" s="73"/>
      <c r="AD117" s="73"/>
      <c r="AE117" s="72"/>
      <c r="AF117" s="73"/>
      <c r="AG117" s="71"/>
      <c r="AH117" s="73"/>
      <c r="AI117" s="73"/>
      <c r="AJ117" s="73"/>
      <c r="AK117" s="73"/>
      <c r="AL117" s="73"/>
      <c r="AM117" s="73"/>
      <c r="AN117" s="73"/>
      <c r="AO117" s="73"/>
      <c r="AQ117" s="70"/>
    </row>
    <row r="118" spans="3:43" s="69" customFormat="1" x14ac:dyDescent="0.25">
      <c r="C118" s="79"/>
      <c r="E118" s="70"/>
      <c r="O118" s="71"/>
      <c r="P118" s="71"/>
      <c r="U118" s="71"/>
      <c r="V118" s="72"/>
      <c r="W118" s="72"/>
      <c r="X118" s="70"/>
      <c r="Y118" s="70"/>
      <c r="AA118" s="73"/>
      <c r="AB118" s="73"/>
      <c r="AC118" s="73"/>
      <c r="AD118" s="73"/>
      <c r="AE118" s="72"/>
      <c r="AF118" s="73"/>
      <c r="AG118" s="71"/>
      <c r="AH118" s="73"/>
      <c r="AI118" s="73"/>
      <c r="AJ118" s="73"/>
      <c r="AK118" s="73"/>
      <c r="AL118" s="73"/>
      <c r="AM118" s="73"/>
      <c r="AN118" s="73"/>
      <c r="AO118" s="73"/>
      <c r="AQ118" s="70"/>
    </row>
    <row r="119" spans="3:43" s="69" customFormat="1" x14ac:dyDescent="0.25">
      <c r="C119" s="79"/>
      <c r="E119" s="70"/>
      <c r="O119" s="71"/>
      <c r="P119" s="71"/>
      <c r="U119" s="71"/>
      <c r="V119" s="72"/>
      <c r="W119" s="72"/>
      <c r="X119" s="70"/>
      <c r="Y119" s="70"/>
      <c r="AA119" s="73"/>
      <c r="AB119" s="73"/>
      <c r="AC119" s="73"/>
      <c r="AD119" s="73"/>
      <c r="AE119" s="72"/>
      <c r="AF119" s="73"/>
      <c r="AG119" s="71"/>
      <c r="AH119" s="73"/>
      <c r="AI119" s="73"/>
      <c r="AJ119" s="73"/>
      <c r="AK119" s="73"/>
      <c r="AL119" s="73"/>
      <c r="AM119" s="73"/>
      <c r="AN119" s="73"/>
      <c r="AO119" s="73"/>
      <c r="AQ119" s="70"/>
    </row>
    <row r="120" spans="3:43" s="69" customFormat="1" x14ac:dyDescent="0.25">
      <c r="C120" s="79"/>
      <c r="E120" s="70"/>
      <c r="O120" s="71"/>
      <c r="P120" s="71"/>
      <c r="U120" s="71"/>
      <c r="V120" s="72"/>
      <c r="W120" s="72"/>
      <c r="X120" s="70"/>
      <c r="Y120" s="70"/>
      <c r="AA120" s="73"/>
      <c r="AB120" s="73"/>
      <c r="AC120" s="73"/>
      <c r="AD120" s="73"/>
      <c r="AE120" s="72"/>
      <c r="AF120" s="73"/>
      <c r="AG120" s="71"/>
      <c r="AH120" s="73"/>
      <c r="AI120" s="73"/>
      <c r="AJ120" s="73"/>
      <c r="AK120" s="73"/>
      <c r="AL120" s="73"/>
      <c r="AM120" s="73"/>
      <c r="AN120" s="73"/>
      <c r="AO120" s="73"/>
      <c r="AQ120" s="70"/>
    </row>
    <row r="121" spans="3:43" s="69" customFormat="1" x14ac:dyDescent="0.25">
      <c r="C121" s="79"/>
      <c r="E121" s="70"/>
      <c r="O121" s="71"/>
      <c r="P121" s="71"/>
      <c r="U121" s="71"/>
      <c r="V121" s="72"/>
      <c r="W121" s="72"/>
      <c r="X121" s="70"/>
      <c r="Y121" s="70"/>
      <c r="AA121" s="73"/>
      <c r="AB121" s="73"/>
      <c r="AC121" s="73"/>
      <c r="AD121" s="73"/>
      <c r="AE121" s="72"/>
      <c r="AF121" s="73"/>
      <c r="AG121" s="71"/>
      <c r="AH121" s="73"/>
      <c r="AI121" s="73"/>
      <c r="AJ121" s="73"/>
      <c r="AK121" s="73"/>
      <c r="AL121" s="73"/>
      <c r="AM121" s="73"/>
      <c r="AN121" s="73"/>
      <c r="AO121" s="73"/>
      <c r="AQ121" s="70"/>
    </row>
    <row r="122" spans="3:43" s="69" customFormat="1" x14ac:dyDescent="0.25">
      <c r="C122" s="79"/>
      <c r="E122" s="70"/>
      <c r="O122" s="71"/>
      <c r="P122" s="71"/>
      <c r="U122" s="71"/>
      <c r="V122" s="72"/>
      <c r="W122" s="72"/>
      <c r="X122" s="70"/>
      <c r="Y122" s="70"/>
      <c r="AA122" s="73"/>
      <c r="AB122" s="73"/>
      <c r="AC122" s="73"/>
      <c r="AD122" s="73"/>
      <c r="AE122" s="72"/>
      <c r="AF122" s="73"/>
      <c r="AG122" s="71"/>
      <c r="AH122" s="73"/>
      <c r="AI122" s="73"/>
      <c r="AJ122" s="73"/>
      <c r="AK122" s="73"/>
      <c r="AL122" s="73"/>
      <c r="AM122" s="73"/>
      <c r="AN122" s="73"/>
      <c r="AO122" s="73"/>
      <c r="AQ122" s="70"/>
    </row>
    <row r="123" spans="3:43" s="69" customFormat="1" x14ac:dyDescent="0.25">
      <c r="C123" s="79"/>
      <c r="E123" s="70"/>
      <c r="O123" s="71"/>
      <c r="P123" s="71"/>
      <c r="U123" s="71"/>
      <c r="V123" s="72"/>
      <c r="W123" s="72"/>
      <c r="X123" s="70"/>
      <c r="Y123" s="70"/>
      <c r="AA123" s="73"/>
      <c r="AB123" s="73"/>
      <c r="AC123" s="73"/>
      <c r="AD123" s="73"/>
      <c r="AE123" s="72"/>
      <c r="AF123" s="73"/>
      <c r="AG123" s="71"/>
      <c r="AH123" s="73"/>
      <c r="AI123" s="73"/>
      <c r="AJ123" s="73"/>
      <c r="AK123" s="73"/>
      <c r="AL123" s="73"/>
      <c r="AM123" s="73"/>
      <c r="AN123" s="73"/>
      <c r="AO123" s="73"/>
      <c r="AQ123" s="70"/>
    </row>
    <row r="124" spans="3:43" s="69" customFormat="1" x14ac:dyDescent="0.25">
      <c r="C124" s="79"/>
      <c r="E124" s="70"/>
      <c r="O124" s="71"/>
      <c r="P124" s="71"/>
      <c r="U124" s="71"/>
      <c r="V124" s="72"/>
      <c r="W124" s="72"/>
      <c r="X124" s="70"/>
      <c r="Y124" s="70"/>
      <c r="AA124" s="73"/>
      <c r="AB124" s="73"/>
      <c r="AC124" s="73"/>
      <c r="AD124" s="73"/>
      <c r="AE124" s="72"/>
      <c r="AF124" s="73"/>
      <c r="AG124" s="71"/>
      <c r="AH124" s="73"/>
      <c r="AI124" s="73"/>
      <c r="AJ124" s="73"/>
      <c r="AK124" s="73"/>
      <c r="AL124" s="73"/>
      <c r="AM124" s="73"/>
      <c r="AN124" s="73"/>
      <c r="AO124" s="73"/>
      <c r="AQ124" s="70"/>
    </row>
    <row r="125" spans="3:43" s="69" customFormat="1" x14ac:dyDescent="0.25">
      <c r="C125" s="79"/>
      <c r="E125" s="70"/>
      <c r="O125" s="71"/>
      <c r="P125" s="71"/>
      <c r="U125" s="71"/>
      <c r="V125" s="72"/>
      <c r="W125" s="72"/>
      <c r="X125" s="70"/>
      <c r="Y125" s="70"/>
      <c r="AA125" s="73"/>
      <c r="AB125" s="73"/>
      <c r="AC125" s="73"/>
      <c r="AD125" s="73"/>
      <c r="AE125" s="72"/>
      <c r="AF125" s="73"/>
      <c r="AG125" s="71"/>
      <c r="AH125" s="73"/>
      <c r="AI125" s="73"/>
      <c r="AJ125" s="73"/>
      <c r="AK125" s="73"/>
      <c r="AL125" s="73"/>
      <c r="AM125" s="73"/>
      <c r="AN125" s="73"/>
      <c r="AO125" s="73"/>
      <c r="AQ125" s="70"/>
    </row>
    <row r="126" spans="3:43" s="69" customFormat="1" x14ac:dyDescent="0.25">
      <c r="C126" s="79"/>
      <c r="E126" s="70"/>
      <c r="O126" s="71"/>
      <c r="P126" s="71"/>
      <c r="U126" s="71"/>
      <c r="V126" s="72"/>
      <c r="W126" s="72"/>
      <c r="X126" s="70"/>
      <c r="Y126" s="70"/>
      <c r="AA126" s="73"/>
      <c r="AB126" s="73"/>
      <c r="AC126" s="73"/>
      <c r="AD126" s="73"/>
      <c r="AE126" s="72"/>
      <c r="AF126" s="73"/>
      <c r="AG126" s="71"/>
      <c r="AH126" s="73"/>
      <c r="AI126" s="73"/>
      <c r="AJ126" s="73"/>
      <c r="AK126" s="73"/>
      <c r="AL126" s="73"/>
      <c r="AM126" s="73"/>
      <c r="AN126" s="73"/>
      <c r="AO126" s="73"/>
      <c r="AQ126" s="70"/>
    </row>
    <row r="127" spans="3:43" s="69" customFormat="1" x14ac:dyDescent="0.25">
      <c r="C127" s="79"/>
      <c r="E127" s="70"/>
      <c r="O127" s="71"/>
      <c r="P127" s="71"/>
      <c r="U127" s="71"/>
      <c r="V127" s="72"/>
      <c r="W127" s="72"/>
      <c r="X127" s="70"/>
      <c r="Y127" s="70"/>
      <c r="AA127" s="73"/>
      <c r="AB127" s="73"/>
      <c r="AC127" s="73"/>
      <c r="AD127" s="73"/>
      <c r="AE127" s="72"/>
      <c r="AF127" s="73"/>
      <c r="AG127" s="71"/>
      <c r="AH127" s="73"/>
      <c r="AI127" s="73"/>
      <c r="AJ127" s="73"/>
      <c r="AK127" s="73"/>
      <c r="AL127" s="73"/>
      <c r="AM127" s="73"/>
      <c r="AN127" s="73"/>
      <c r="AO127" s="73"/>
      <c r="AQ127" s="70"/>
    </row>
    <row r="128" spans="3:43" s="69" customFormat="1" x14ac:dyDescent="0.25">
      <c r="C128" s="79"/>
      <c r="E128" s="70"/>
      <c r="O128" s="71"/>
      <c r="P128" s="71"/>
      <c r="U128" s="71"/>
      <c r="V128" s="72"/>
      <c r="W128" s="72"/>
      <c r="X128" s="70"/>
      <c r="Y128" s="70"/>
      <c r="AA128" s="73"/>
      <c r="AB128" s="73"/>
      <c r="AC128" s="73"/>
      <c r="AD128" s="73"/>
      <c r="AE128" s="72"/>
      <c r="AF128" s="73"/>
      <c r="AG128" s="71"/>
      <c r="AH128" s="73"/>
      <c r="AI128" s="73"/>
      <c r="AJ128" s="73"/>
      <c r="AK128" s="73"/>
      <c r="AL128" s="73"/>
      <c r="AM128" s="73"/>
      <c r="AN128" s="73"/>
      <c r="AO128" s="73"/>
      <c r="AQ128" s="70"/>
    </row>
    <row r="129" spans="3:43" s="69" customFormat="1" x14ac:dyDescent="0.25">
      <c r="C129" s="79"/>
      <c r="E129" s="70"/>
      <c r="O129" s="71"/>
      <c r="P129" s="71"/>
      <c r="U129" s="71"/>
      <c r="V129" s="72"/>
      <c r="W129" s="72"/>
      <c r="X129" s="70"/>
      <c r="Y129" s="70"/>
      <c r="AA129" s="73"/>
      <c r="AB129" s="73"/>
      <c r="AC129" s="73"/>
      <c r="AD129" s="73"/>
      <c r="AE129" s="72"/>
      <c r="AF129" s="73"/>
      <c r="AG129" s="71"/>
      <c r="AH129" s="73"/>
      <c r="AI129" s="73"/>
      <c r="AJ129" s="73"/>
      <c r="AK129" s="73"/>
      <c r="AL129" s="73"/>
      <c r="AM129" s="73"/>
      <c r="AN129" s="73"/>
      <c r="AO129" s="73"/>
      <c r="AQ129" s="70"/>
    </row>
    <row r="130" spans="3:43" s="69" customFormat="1" x14ac:dyDescent="0.25">
      <c r="C130" s="79"/>
      <c r="E130" s="70"/>
      <c r="O130" s="71"/>
      <c r="P130" s="71"/>
      <c r="U130" s="71"/>
      <c r="V130" s="72"/>
      <c r="W130" s="72"/>
      <c r="X130" s="70"/>
      <c r="Y130" s="70"/>
      <c r="AA130" s="73"/>
      <c r="AB130" s="73"/>
      <c r="AC130" s="73"/>
      <c r="AD130" s="73"/>
      <c r="AE130" s="72"/>
      <c r="AF130" s="73"/>
      <c r="AG130" s="71"/>
      <c r="AH130" s="73"/>
      <c r="AI130" s="73"/>
      <c r="AJ130" s="73"/>
      <c r="AK130" s="73"/>
      <c r="AL130" s="73"/>
      <c r="AM130" s="73"/>
      <c r="AN130" s="73"/>
      <c r="AO130" s="73"/>
      <c r="AQ130" s="70"/>
    </row>
    <row r="131" spans="3:43" s="69" customFormat="1" x14ac:dyDescent="0.25">
      <c r="C131" s="79"/>
      <c r="E131" s="70"/>
      <c r="O131" s="71"/>
      <c r="P131" s="71"/>
      <c r="U131" s="71"/>
      <c r="V131" s="72"/>
      <c r="W131" s="72"/>
      <c r="X131" s="70"/>
      <c r="Y131" s="70"/>
      <c r="AA131" s="73"/>
      <c r="AB131" s="73"/>
      <c r="AC131" s="73"/>
      <c r="AD131" s="73"/>
      <c r="AE131" s="72"/>
      <c r="AF131" s="73"/>
      <c r="AG131" s="71"/>
      <c r="AH131" s="73"/>
      <c r="AI131" s="73"/>
      <c r="AJ131" s="73"/>
      <c r="AK131" s="73"/>
      <c r="AL131" s="73"/>
      <c r="AM131" s="73"/>
      <c r="AN131" s="73"/>
      <c r="AO131" s="73"/>
      <c r="AQ131" s="70"/>
    </row>
    <row r="132" spans="3:43" s="69" customFormat="1" x14ac:dyDescent="0.25">
      <c r="C132" s="79"/>
      <c r="E132" s="70"/>
      <c r="O132" s="71"/>
      <c r="P132" s="71"/>
      <c r="U132" s="71"/>
      <c r="V132" s="72"/>
      <c r="W132" s="72"/>
      <c r="X132" s="70"/>
      <c r="Y132" s="70"/>
      <c r="AA132" s="73"/>
      <c r="AB132" s="73"/>
      <c r="AC132" s="73"/>
      <c r="AD132" s="73"/>
      <c r="AE132" s="72"/>
      <c r="AF132" s="73"/>
      <c r="AG132" s="71"/>
      <c r="AH132" s="73"/>
      <c r="AI132" s="73"/>
      <c r="AJ132" s="73"/>
      <c r="AK132" s="73"/>
      <c r="AL132" s="73"/>
      <c r="AM132" s="73"/>
      <c r="AN132" s="73"/>
      <c r="AO132" s="73"/>
      <c r="AQ132" s="70"/>
    </row>
    <row r="133" spans="3:43" s="69" customFormat="1" x14ac:dyDescent="0.25">
      <c r="C133" s="79"/>
      <c r="E133" s="70"/>
      <c r="O133" s="71"/>
      <c r="P133" s="71"/>
      <c r="U133" s="71"/>
      <c r="V133" s="72"/>
      <c r="W133" s="72"/>
      <c r="X133" s="70"/>
      <c r="Y133" s="70"/>
      <c r="AA133" s="73"/>
      <c r="AB133" s="73"/>
      <c r="AC133" s="73"/>
      <c r="AD133" s="73"/>
      <c r="AE133" s="72"/>
      <c r="AF133" s="73"/>
      <c r="AG133" s="71"/>
      <c r="AH133" s="73"/>
      <c r="AI133" s="73"/>
      <c r="AJ133" s="73"/>
      <c r="AK133" s="73"/>
      <c r="AL133" s="73"/>
      <c r="AM133" s="73"/>
      <c r="AN133" s="73"/>
      <c r="AO133" s="73"/>
      <c r="AQ133" s="70"/>
    </row>
    <row r="134" spans="3:43" s="69" customFormat="1" x14ac:dyDescent="0.25">
      <c r="C134" s="79"/>
      <c r="E134" s="70"/>
      <c r="O134" s="71"/>
      <c r="P134" s="71"/>
      <c r="U134" s="71"/>
      <c r="V134" s="72"/>
      <c r="W134" s="72"/>
      <c r="X134" s="70"/>
      <c r="Y134" s="70"/>
      <c r="AA134" s="73"/>
      <c r="AB134" s="73"/>
      <c r="AC134" s="73"/>
      <c r="AD134" s="73"/>
      <c r="AE134" s="72"/>
      <c r="AF134" s="73"/>
      <c r="AG134" s="71"/>
      <c r="AH134" s="73"/>
      <c r="AI134" s="73"/>
      <c r="AJ134" s="73"/>
      <c r="AK134" s="73"/>
      <c r="AL134" s="73"/>
      <c r="AM134" s="73"/>
      <c r="AN134" s="73"/>
      <c r="AO134" s="73"/>
      <c r="AQ134" s="70"/>
    </row>
    <row r="135" spans="3:43" s="69" customFormat="1" x14ac:dyDescent="0.25">
      <c r="C135" s="79"/>
      <c r="E135" s="70"/>
      <c r="O135" s="71"/>
      <c r="P135" s="71"/>
      <c r="U135" s="71"/>
      <c r="V135" s="72"/>
      <c r="W135" s="72"/>
      <c r="X135" s="70"/>
      <c r="Y135" s="70"/>
      <c r="AA135" s="73"/>
      <c r="AB135" s="73"/>
      <c r="AC135" s="73"/>
      <c r="AD135" s="73"/>
      <c r="AE135" s="72"/>
      <c r="AF135" s="73"/>
      <c r="AG135" s="71"/>
      <c r="AH135" s="73"/>
      <c r="AI135" s="73"/>
      <c r="AJ135" s="73"/>
      <c r="AK135" s="73"/>
      <c r="AL135" s="73"/>
      <c r="AM135" s="73"/>
      <c r="AN135" s="73"/>
      <c r="AO135" s="73"/>
      <c r="AQ135" s="70"/>
    </row>
    <row r="136" spans="3:43" s="69" customFormat="1" x14ac:dyDescent="0.25">
      <c r="C136" s="79"/>
      <c r="E136" s="70"/>
      <c r="O136" s="71"/>
      <c r="P136" s="71"/>
      <c r="U136" s="71"/>
      <c r="V136" s="72"/>
      <c r="W136" s="72"/>
      <c r="X136" s="70"/>
      <c r="Y136" s="70"/>
      <c r="AA136" s="73"/>
      <c r="AB136" s="73"/>
      <c r="AC136" s="73"/>
      <c r="AD136" s="73"/>
      <c r="AE136" s="72"/>
      <c r="AF136" s="73"/>
      <c r="AG136" s="71"/>
      <c r="AH136" s="73"/>
      <c r="AI136" s="73"/>
      <c r="AJ136" s="73"/>
      <c r="AK136" s="73"/>
      <c r="AL136" s="73"/>
      <c r="AM136" s="73"/>
      <c r="AN136" s="73"/>
      <c r="AO136" s="73"/>
      <c r="AQ136" s="70"/>
    </row>
    <row r="137" spans="3:43" s="69" customFormat="1" x14ac:dyDescent="0.25">
      <c r="C137" s="79"/>
      <c r="E137" s="70"/>
      <c r="O137" s="71"/>
      <c r="P137" s="71"/>
      <c r="U137" s="71"/>
      <c r="V137" s="72"/>
      <c r="W137" s="72"/>
      <c r="X137" s="70"/>
      <c r="Y137" s="70"/>
      <c r="AA137" s="73"/>
      <c r="AB137" s="73"/>
      <c r="AC137" s="73"/>
      <c r="AD137" s="73"/>
      <c r="AE137" s="72"/>
      <c r="AF137" s="73"/>
      <c r="AG137" s="71"/>
      <c r="AH137" s="73"/>
      <c r="AI137" s="73"/>
      <c r="AJ137" s="73"/>
      <c r="AK137" s="73"/>
      <c r="AL137" s="73"/>
      <c r="AM137" s="73"/>
      <c r="AN137" s="73"/>
      <c r="AO137" s="73"/>
      <c r="AQ137" s="70"/>
    </row>
    <row r="138" spans="3:43" s="69" customFormat="1" x14ac:dyDescent="0.25">
      <c r="C138" s="79"/>
      <c r="E138" s="70"/>
      <c r="O138" s="71"/>
      <c r="P138" s="71"/>
      <c r="U138" s="71"/>
      <c r="V138" s="72"/>
      <c r="W138" s="72"/>
      <c r="X138" s="70"/>
      <c r="Y138" s="70"/>
      <c r="AA138" s="73"/>
      <c r="AB138" s="73"/>
      <c r="AC138" s="73"/>
      <c r="AD138" s="73"/>
      <c r="AE138" s="72"/>
      <c r="AF138" s="73"/>
      <c r="AG138" s="71"/>
      <c r="AH138" s="73"/>
      <c r="AI138" s="73"/>
      <c r="AJ138" s="73"/>
      <c r="AK138" s="73"/>
      <c r="AL138" s="73"/>
      <c r="AM138" s="73"/>
      <c r="AN138" s="73"/>
      <c r="AO138" s="73"/>
      <c r="AQ138" s="70"/>
    </row>
    <row r="139" spans="3:43" s="69" customFormat="1" x14ac:dyDescent="0.25">
      <c r="C139" s="79"/>
      <c r="E139" s="70"/>
      <c r="O139" s="71"/>
      <c r="P139" s="71"/>
      <c r="U139" s="71"/>
      <c r="V139" s="72"/>
      <c r="W139" s="72"/>
      <c r="X139" s="70"/>
      <c r="Y139" s="70"/>
      <c r="AA139" s="73"/>
      <c r="AB139" s="73"/>
      <c r="AC139" s="73"/>
      <c r="AD139" s="73"/>
      <c r="AE139" s="72"/>
      <c r="AF139" s="73"/>
      <c r="AG139" s="71"/>
      <c r="AH139" s="73"/>
      <c r="AI139" s="73"/>
      <c r="AJ139" s="73"/>
      <c r="AK139" s="73"/>
      <c r="AL139" s="73"/>
      <c r="AM139" s="73"/>
      <c r="AN139" s="73"/>
      <c r="AO139" s="73"/>
      <c r="AQ139" s="70"/>
    </row>
    <row r="140" spans="3:43" s="69" customFormat="1" x14ac:dyDescent="0.25">
      <c r="C140" s="79"/>
      <c r="E140" s="70"/>
      <c r="O140" s="71"/>
      <c r="P140" s="71"/>
      <c r="U140" s="71"/>
      <c r="V140" s="72"/>
      <c r="W140" s="72"/>
      <c r="X140" s="70"/>
      <c r="Y140" s="70"/>
      <c r="AA140" s="73"/>
      <c r="AB140" s="73"/>
      <c r="AC140" s="73"/>
      <c r="AD140" s="73"/>
      <c r="AE140" s="72"/>
      <c r="AF140" s="73"/>
      <c r="AG140" s="71"/>
      <c r="AH140" s="73"/>
      <c r="AI140" s="73"/>
      <c r="AJ140" s="73"/>
      <c r="AK140" s="73"/>
      <c r="AL140" s="73"/>
      <c r="AM140" s="73"/>
      <c r="AN140" s="73"/>
      <c r="AO140" s="73"/>
      <c r="AQ140" s="70"/>
    </row>
    <row r="141" spans="3:43" s="69" customFormat="1" x14ac:dyDescent="0.25">
      <c r="C141" s="79"/>
      <c r="E141" s="70"/>
      <c r="O141" s="71"/>
      <c r="P141" s="71"/>
      <c r="U141" s="71"/>
      <c r="V141" s="72"/>
      <c r="W141" s="72"/>
      <c r="X141" s="70"/>
      <c r="Y141" s="70"/>
      <c r="AA141" s="73"/>
      <c r="AB141" s="73"/>
      <c r="AC141" s="73"/>
      <c r="AD141" s="73"/>
      <c r="AE141" s="72"/>
      <c r="AF141" s="73"/>
      <c r="AG141" s="71"/>
      <c r="AH141" s="73"/>
      <c r="AI141" s="73"/>
      <c r="AJ141" s="73"/>
      <c r="AK141" s="73"/>
      <c r="AL141" s="73"/>
      <c r="AM141" s="73"/>
      <c r="AN141" s="73"/>
      <c r="AO141" s="73"/>
      <c r="AQ141" s="70"/>
    </row>
    <row r="142" spans="3:43" s="69" customFormat="1" x14ac:dyDescent="0.25">
      <c r="C142" s="79"/>
      <c r="E142" s="70"/>
      <c r="O142" s="71"/>
      <c r="P142" s="71"/>
      <c r="U142" s="71"/>
      <c r="V142" s="72"/>
      <c r="W142" s="72"/>
      <c r="X142" s="70"/>
      <c r="Y142" s="70"/>
      <c r="AA142" s="73"/>
      <c r="AB142" s="73"/>
      <c r="AC142" s="73"/>
      <c r="AD142" s="73"/>
      <c r="AE142" s="72"/>
      <c r="AF142" s="73"/>
      <c r="AG142" s="71"/>
      <c r="AH142" s="73"/>
      <c r="AI142" s="73"/>
      <c r="AJ142" s="73"/>
      <c r="AK142" s="73"/>
      <c r="AL142" s="73"/>
      <c r="AM142" s="73"/>
      <c r="AN142" s="73"/>
      <c r="AO142" s="73"/>
      <c r="AQ142" s="70"/>
    </row>
    <row r="143" spans="3:43" s="69" customFormat="1" x14ac:dyDescent="0.25">
      <c r="C143" s="79"/>
      <c r="E143" s="70"/>
      <c r="O143" s="71"/>
      <c r="P143" s="71"/>
      <c r="U143" s="71"/>
      <c r="V143" s="72"/>
      <c r="W143" s="72"/>
      <c r="X143" s="70"/>
      <c r="Y143" s="70"/>
      <c r="AA143" s="73"/>
      <c r="AB143" s="73"/>
      <c r="AC143" s="73"/>
      <c r="AD143" s="73"/>
      <c r="AE143" s="72"/>
      <c r="AF143" s="73"/>
      <c r="AG143" s="71"/>
      <c r="AH143" s="73"/>
      <c r="AI143" s="73"/>
      <c r="AJ143" s="73"/>
      <c r="AK143" s="73"/>
      <c r="AL143" s="73"/>
      <c r="AM143" s="73"/>
      <c r="AN143" s="73"/>
      <c r="AO143" s="73"/>
      <c r="AQ143" s="70"/>
    </row>
    <row r="144" spans="3:43" s="69" customFormat="1" x14ac:dyDescent="0.25">
      <c r="C144" s="79"/>
      <c r="E144" s="70"/>
      <c r="O144" s="71"/>
      <c r="P144" s="71"/>
      <c r="U144" s="71"/>
      <c r="V144" s="72"/>
      <c r="W144" s="72"/>
      <c r="X144" s="70"/>
      <c r="Y144" s="70"/>
      <c r="AA144" s="73"/>
      <c r="AB144" s="73"/>
      <c r="AC144" s="73"/>
      <c r="AD144" s="73"/>
      <c r="AE144" s="72"/>
      <c r="AF144" s="73"/>
      <c r="AG144" s="71"/>
      <c r="AH144" s="73"/>
      <c r="AI144" s="73"/>
      <c r="AJ144" s="73"/>
      <c r="AK144" s="73"/>
      <c r="AL144" s="73"/>
      <c r="AM144" s="73"/>
      <c r="AN144" s="73"/>
      <c r="AO144" s="73"/>
      <c r="AQ144" s="70"/>
    </row>
    <row r="145" spans="3:43" s="69" customFormat="1" x14ac:dyDescent="0.25">
      <c r="C145" s="79"/>
      <c r="E145" s="70"/>
      <c r="O145" s="71"/>
      <c r="P145" s="71"/>
      <c r="U145" s="71"/>
      <c r="V145" s="72"/>
      <c r="W145" s="72"/>
      <c r="X145" s="70"/>
      <c r="Y145" s="70"/>
      <c r="AA145" s="73"/>
      <c r="AB145" s="73"/>
      <c r="AC145" s="73"/>
      <c r="AD145" s="73"/>
      <c r="AE145" s="72"/>
      <c r="AF145" s="73"/>
      <c r="AG145" s="71"/>
      <c r="AH145" s="73"/>
      <c r="AI145" s="73"/>
      <c r="AJ145" s="73"/>
      <c r="AK145" s="73"/>
      <c r="AL145" s="73"/>
      <c r="AM145" s="73"/>
      <c r="AN145" s="73"/>
      <c r="AO145" s="73"/>
      <c r="AQ145" s="70"/>
    </row>
    <row r="146" spans="3:43" s="69" customFormat="1" x14ac:dyDescent="0.25">
      <c r="C146" s="79"/>
      <c r="E146" s="70"/>
      <c r="O146" s="71"/>
      <c r="P146" s="71"/>
      <c r="U146" s="71"/>
      <c r="V146" s="72"/>
      <c r="W146" s="72"/>
      <c r="X146" s="70"/>
      <c r="Y146" s="70"/>
      <c r="AA146" s="73"/>
      <c r="AB146" s="73"/>
      <c r="AC146" s="73"/>
      <c r="AD146" s="73"/>
      <c r="AE146" s="72"/>
      <c r="AF146" s="73"/>
      <c r="AG146" s="71"/>
      <c r="AH146" s="73"/>
      <c r="AI146" s="73"/>
      <c r="AJ146" s="73"/>
      <c r="AK146" s="73"/>
      <c r="AL146" s="73"/>
      <c r="AM146" s="73"/>
      <c r="AN146" s="73"/>
      <c r="AO146" s="73"/>
      <c r="AQ146" s="70"/>
    </row>
    <row r="147" spans="3:43" s="69" customFormat="1" x14ac:dyDescent="0.25">
      <c r="C147" s="79"/>
      <c r="E147" s="70"/>
      <c r="O147" s="71"/>
      <c r="P147" s="71"/>
      <c r="U147" s="71"/>
      <c r="V147" s="72"/>
      <c r="W147" s="72"/>
      <c r="X147" s="70"/>
      <c r="Y147" s="70"/>
      <c r="AA147" s="73"/>
      <c r="AB147" s="73"/>
      <c r="AC147" s="73"/>
      <c r="AD147" s="73"/>
      <c r="AE147" s="72"/>
      <c r="AF147" s="73"/>
      <c r="AG147" s="71"/>
      <c r="AH147" s="73"/>
      <c r="AI147" s="73"/>
      <c r="AJ147" s="73"/>
      <c r="AK147" s="73"/>
      <c r="AL147" s="73"/>
      <c r="AM147" s="73"/>
      <c r="AN147" s="73"/>
      <c r="AO147" s="73"/>
      <c r="AQ147" s="70"/>
    </row>
    <row r="148" spans="3:43" s="69" customFormat="1" x14ac:dyDescent="0.25">
      <c r="C148" s="79"/>
      <c r="E148" s="70"/>
      <c r="O148" s="71"/>
      <c r="P148" s="71"/>
      <c r="U148" s="71"/>
      <c r="V148" s="72"/>
      <c r="W148" s="72"/>
      <c r="X148" s="70"/>
      <c r="Y148" s="70"/>
      <c r="AA148" s="73"/>
      <c r="AB148" s="73"/>
      <c r="AC148" s="73"/>
      <c r="AD148" s="73"/>
      <c r="AE148" s="72"/>
      <c r="AF148" s="73"/>
      <c r="AG148" s="71"/>
      <c r="AH148" s="73"/>
      <c r="AI148" s="73"/>
      <c r="AJ148" s="73"/>
      <c r="AK148" s="73"/>
      <c r="AL148" s="73"/>
      <c r="AM148" s="73"/>
      <c r="AN148" s="73"/>
      <c r="AO148" s="73"/>
      <c r="AQ148" s="70"/>
    </row>
    <row r="149" spans="3:43" s="69" customFormat="1" ht="13.15" customHeight="1" x14ac:dyDescent="0.25">
      <c r="C149" s="79"/>
      <c r="E149" s="70"/>
      <c r="O149" s="71"/>
      <c r="P149" s="71"/>
      <c r="U149" s="71"/>
      <c r="V149" s="72"/>
      <c r="W149" s="72"/>
      <c r="X149" s="70"/>
      <c r="Y149" s="70"/>
      <c r="AA149" s="73"/>
      <c r="AB149" s="73"/>
      <c r="AC149" s="73"/>
      <c r="AD149" s="73"/>
      <c r="AE149" s="72"/>
      <c r="AF149" s="73"/>
      <c r="AG149" s="71"/>
      <c r="AH149" s="73"/>
      <c r="AI149" s="73"/>
      <c r="AJ149" s="73"/>
      <c r="AK149" s="73"/>
      <c r="AL149" s="73"/>
      <c r="AM149" s="73"/>
      <c r="AN149" s="73"/>
      <c r="AO149" s="73"/>
      <c r="AQ149" s="70"/>
    </row>
    <row r="150" spans="3:43" s="69" customFormat="1" x14ac:dyDescent="0.25">
      <c r="C150" s="79"/>
      <c r="E150" s="70"/>
      <c r="O150" s="71"/>
      <c r="P150" s="71"/>
      <c r="U150" s="71"/>
      <c r="V150" s="72"/>
      <c r="W150" s="72"/>
      <c r="X150" s="70"/>
      <c r="Y150" s="70"/>
      <c r="AA150" s="73"/>
      <c r="AB150" s="73"/>
      <c r="AC150" s="73"/>
      <c r="AD150" s="73"/>
      <c r="AE150" s="72"/>
      <c r="AF150" s="73"/>
      <c r="AG150" s="71"/>
      <c r="AH150" s="73"/>
      <c r="AI150" s="73"/>
      <c r="AJ150" s="73"/>
      <c r="AK150" s="73"/>
      <c r="AL150" s="73"/>
      <c r="AM150" s="73"/>
      <c r="AN150" s="73"/>
      <c r="AO150" s="73"/>
      <c r="AQ150" s="70"/>
    </row>
    <row r="151" spans="3:43" s="69" customFormat="1" x14ac:dyDescent="0.25">
      <c r="C151" s="79"/>
      <c r="E151" s="70"/>
      <c r="O151" s="71"/>
      <c r="P151" s="71"/>
      <c r="U151" s="71"/>
      <c r="V151" s="72"/>
      <c r="W151" s="72"/>
      <c r="X151" s="70"/>
      <c r="Y151" s="70"/>
      <c r="AA151" s="73"/>
      <c r="AB151" s="73"/>
      <c r="AC151" s="73"/>
      <c r="AD151" s="73"/>
      <c r="AE151" s="72"/>
      <c r="AF151" s="73"/>
      <c r="AG151" s="71"/>
      <c r="AH151" s="73"/>
      <c r="AI151" s="73"/>
      <c r="AJ151" s="73"/>
      <c r="AK151" s="73"/>
      <c r="AL151" s="73"/>
      <c r="AM151" s="73"/>
      <c r="AN151" s="73"/>
      <c r="AO151" s="73"/>
      <c r="AQ151" s="70"/>
    </row>
    <row r="152" spans="3:43" s="69" customFormat="1" x14ac:dyDescent="0.25">
      <c r="C152" s="79"/>
      <c r="E152" s="70"/>
      <c r="O152" s="71"/>
      <c r="P152" s="71"/>
      <c r="U152" s="71"/>
      <c r="V152" s="72"/>
      <c r="W152" s="72"/>
      <c r="X152" s="70"/>
      <c r="Y152" s="70"/>
      <c r="AA152" s="73"/>
      <c r="AB152" s="73"/>
      <c r="AC152" s="73"/>
      <c r="AD152" s="73"/>
      <c r="AE152" s="72"/>
      <c r="AF152" s="73"/>
      <c r="AG152" s="71"/>
      <c r="AH152" s="73"/>
      <c r="AI152" s="73"/>
      <c r="AJ152" s="73"/>
      <c r="AK152" s="73"/>
      <c r="AL152" s="73"/>
      <c r="AM152" s="73"/>
      <c r="AN152" s="73"/>
      <c r="AO152" s="73"/>
      <c r="AQ152" s="70"/>
    </row>
    <row r="153" spans="3:43" s="69" customFormat="1" x14ac:dyDescent="0.25">
      <c r="C153" s="79"/>
      <c r="E153" s="70"/>
      <c r="O153" s="71"/>
      <c r="P153" s="71"/>
      <c r="U153" s="71"/>
      <c r="V153" s="72"/>
      <c r="W153" s="72"/>
      <c r="X153" s="70"/>
      <c r="Y153" s="70"/>
      <c r="AA153" s="73"/>
      <c r="AB153" s="73"/>
      <c r="AC153" s="73"/>
      <c r="AD153" s="73"/>
      <c r="AE153" s="72"/>
      <c r="AF153" s="73"/>
      <c r="AG153" s="71"/>
      <c r="AH153" s="73"/>
      <c r="AI153" s="73"/>
      <c r="AJ153" s="73"/>
      <c r="AK153" s="73"/>
      <c r="AL153" s="73"/>
      <c r="AM153" s="73"/>
      <c r="AN153" s="73"/>
      <c r="AO153" s="73"/>
      <c r="AQ153" s="70"/>
    </row>
    <row r="154" spans="3:43" s="69" customFormat="1" x14ac:dyDescent="0.25">
      <c r="C154" s="79"/>
      <c r="E154" s="70"/>
      <c r="O154" s="71"/>
      <c r="P154" s="71"/>
      <c r="U154" s="71"/>
      <c r="V154" s="72"/>
      <c r="W154" s="72"/>
      <c r="X154" s="70"/>
      <c r="Y154" s="70"/>
      <c r="AA154" s="73"/>
      <c r="AB154" s="73"/>
      <c r="AC154" s="73"/>
      <c r="AD154" s="73"/>
      <c r="AE154" s="72"/>
      <c r="AF154" s="73"/>
      <c r="AG154" s="71"/>
      <c r="AH154" s="73"/>
      <c r="AI154" s="73"/>
      <c r="AJ154" s="73"/>
      <c r="AK154" s="73"/>
      <c r="AL154" s="73"/>
      <c r="AM154" s="73"/>
      <c r="AN154" s="73"/>
      <c r="AO154" s="73"/>
      <c r="AQ154" s="70"/>
    </row>
    <row r="155" spans="3:43" s="69" customFormat="1" x14ac:dyDescent="0.25">
      <c r="C155" s="79"/>
      <c r="E155" s="70"/>
      <c r="O155" s="71"/>
      <c r="P155" s="71"/>
      <c r="U155" s="71"/>
      <c r="V155" s="72"/>
      <c r="W155" s="72"/>
      <c r="X155" s="70"/>
      <c r="Y155" s="70"/>
      <c r="AA155" s="73"/>
      <c r="AB155" s="73"/>
      <c r="AC155" s="73"/>
      <c r="AD155" s="73"/>
      <c r="AE155" s="72"/>
      <c r="AF155" s="73"/>
      <c r="AG155" s="71"/>
      <c r="AH155" s="73"/>
      <c r="AI155" s="73"/>
      <c r="AJ155" s="73"/>
      <c r="AK155" s="73"/>
      <c r="AL155" s="73"/>
      <c r="AM155" s="73"/>
      <c r="AN155" s="73"/>
      <c r="AO155" s="73"/>
      <c r="AQ155" s="70"/>
    </row>
    <row r="156" spans="3:43" s="69" customFormat="1" x14ac:dyDescent="0.25">
      <c r="C156" s="79"/>
      <c r="E156" s="70"/>
      <c r="O156" s="71"/>
      <c r="P156" s="71"/>
      <c r="U156" s="71"/>
      <c r="V156" s="72"/>
      <c r="W156" s="72"/>
      <c r="X156" s="70"/>
      <c r="Y156" s="70"/>
      <c r="AA156" s="73"/>
      <c r="AB156" s="73"/>
      <c r="AC156" s="73"/>
      <c r="AD156" s="73"/>
      <c r="AE156" s="72"/>
      <c r="AF156" s="73"/>
      <c r="AG156" s="71"/>
      <c r="AH156" s="73"/>
      <c r="AI156" s="73"/>
      <c r="AJ156" s="73"/>
      <c r="AK156" s="73"/>
      <c r="AL156" s="73"/>
      <c r="AM156" s="73"/>
      <c r="AN156" s="73"/>
      <c r="AO156" s="73"/>
      <c r="AQ156" s="70"/>
    </row>
    <row r="157" spans="3:43" s="69" customFormat="1" x14ac:dyDescent="0.25">
      <c r="C157" s="79"/>
      <c r="E157" s="70"/>
      <c r="O157" s="71"/>
      <c r="P157" s="71"/>
      <c r="U157" s="71"/>
      <c r="V157" s="72"/>
      <c r="W157" s="72"/>
      <c r="X157" s="70"/>
      <c r="Y157" s="70"/>
      <c r="AA157" s="73"/>
      <c r="AB157" s="73"/>
      <c r="AC157" s="73"/>
      <c r="AD157" s="73"/>
      <c r="AE157" s="72"/>
      <c r="AF157" s="73"/>
      <c r="AG157" s="71"/>
      <c r="AH157" s="73"/>
      <c r="AI157" s="73"/>
      <c r="AJ157" s="73"/>
      <c r="AK157" s="73"/>
      <c r="AL157" s="73"/>
      <c r="AM157" s="73"/>
      <c r="AN157" s="73"/>
      <c r="AO157" s="73"/>
      <c r="AQ157" s="70"/>
    </row>
    <row r="158" spans="3:43" s="69" customFormat="1" ht="13.9" customHeight="1" x14ac:dyDescent="0.25">
      <c r="C158" s="79"/>
      <c r="E158" s="70"/>
      <c r="O158" s="71"/>
      <c r="P158" s="71"/>
      <c r="U158" s="71"/>
      <c r="V158" s="72"/>
      <c r="W158" s="72"/>
      <c r="X158" s="70"/>
      <c r="Y158" s="70"/>
      <c r="AA158" s="73"/>
      <c r="AB158" s="73"/>
      <c r="AC158" s="73"/>
      <c r="AD158" s="73"/>
      <c r="AE158" s="72"/>
      <c r="AF158" s="73"/>
      <c r="AG158" s="71"/>
      <c r="AH158" s="73"/>
      <c r="AI158" s="73"/>
      <c r="AJ158" s="73"/>
      <c r="AK158" s="73"/>
      <c r="AL158" s="73"/>
      <c r="AM158" s="73"/>
      <c r="AN158" s="73"/>
      <c r="AO158" s="73"/>
      <c r="AQ158" s="70"/>
    </row>
    <row r="159" spans="3:43" s="69" customFormat="1" x14ac:dyDescent="0.25">
      <c r="C159" s="79"/>
      <c r="E159" s="70"/>
      <c r="O159" s="71"/>
      <c r="P159" s="71"/>
      <c r="U159" s="71"/>
      <c r="V159" s="72"/>
      <c r="W159" s="72"/>
      <c r="X159" s="70"/>
      <c r="Y159" s="70"/>
      <c r="AA159" s="73"/>
      <c r="AB159" s="73"/>
      <c r="AC159" s="73"/>
      <c r="AD159" s="73"/>
      <c r="AE159" s="72"/>
      <c r="AF159" s="73"/>
      <c r="AG159" s="71"/>
      <c r="AH159" s="73"/>
      <c r="AI159" s="73"/>
      <c r="AJ159" s="73"/>
      <c r="AK159" s="73"/>
      <c r="AL159" s="73"/>
      <c r="AM159" s="73"/>
      <c r="AN159" s="73"/>
      <c r="AO159" s="73"/>
      <c r="AQ159" s="70"/>
    </row>
    <row r="160" spans="3:43" s="69" customFormat="1" x14ac:dyDescent="0.25">
      <c r="C160" s="79"/>
      <c r="E160" s="70"/>
      <c r="O160" s="71"/>
      <c r="P160" s="71"/>
      <c r="U160" s="71"/>
      <c r="V160" s="72"/>
      <c r="W160" s="72"/>
      <c r="X160" s="70"/>
      <c r="Y160" s="70"/>
      <c r="AA160" s="73"/>
      <c r="AB160" s="73"/>
      <c r="AC160" s="73"/>
      <c r="AD160" s="73"/>
      <c r="AE160" s="72"/>
      <c r="AF160" s="73"/>
      <c r="AG160" s="71"/>
      <c r="AH160" s="73"/>
      <c r="AI160" s="73"/>
      <c r="AJ160" s="73"/>
      <c r="AK160" s="73"/>
      <c r="AL160" s="73"/>
      <c r="AM160" s="73"/>
      <c r="AN160" s="73"/>
      <c r="AO160" s="73"/>
      <c r="AQ160" s="70"/>
    </row>
    <row r="161" spans="3:43" s="69" customFormat="1" x14ac:dyDescent="0.25">
      <c r="C161" s="79"/>
      <c r="E161" s="70"/>
      <c r="O161" s="71"/>
      <c r="P161" s="71"/>
      <c r="U161" s="71"/>
      <c r="V161" s="72"/>
      <c r="W161" s="72"/>
      <c r="X161" s="70"/>
      <c r="Y161" s="70"/>
      <c r="AA161" s="73"/>
      <c r="AB161" s="73"/>
      <c r="AC161" s="73"/>
      <c r="AD161" s="73"/>
      <c r="AE161" s="72"/>
      <c r="AF161" s="73"/>
      <c r="AG161" s="71"/>
      <c r="AH161" s="73"/>
      <c r="AI161" s="73"/>
      <c r="AJ161" s="73"/>
      <c r="AK161" s="73"/>
      <c r="AL161" s="73"/>
      <c r="AM161" s="73"/>
      <c r="AN161" s="73"/>
      <c r="AO161" s="73"/>
      <c r="AQ161" s="70"/>
    </row>
    <row r="162" spans="3:43" s="69" customFormat="1" x14ac:dyDescent="0.25">
      <c r="C162" s="79"/>
      <c r="E162" s="70"/>
      <c r="O162" s="71"/>
      <c r="P162" s="71"/>
      <c r="U162" s="71"/>
      <c r="V162" s="72"/>
      <c r="W162" s="72"/>
      <c r="X162" s="70"/>
      <c r="Y162" s="70"/>
      <c r="AA162" s="73"/>
      <c r="AB162" s="73"/>
      <c r="AC162" s="73"/>
      <c r="AD162" s="73"/>
      <c r="AE162" s="72"/>
      <c r="AF162" s="73"/>
      <c r="AG162" s="71"/>
      <c r="AH162" s="73"/>
      <c r="AI162" s="73"/>
      <c r="AJ162" s="73"/>
      <c r="AK162" s="73"/>
      <c r="AL162" s="73"/>
      <c r="AM162" s="73"/>
      <c r="AN162" s="73"/>
      <c r="AO162" s="73"/>
      <c r="AQ162" s="70"/>
    </row>
    <row r="163" spans="3:43" s="69" customFormat="1" x14ac:dyDescent="0.25">
      <c r="C163" s="79"/>
      <c r="E163" s="70"/>
      <c r="O163" s="71"/>
      <c r="P163" s="71"/>
      <c r="U163" s="71"/>
      <c r="V163" s="72"/>
      <c r="W163" s="72"/>
      <c r="X163" s="70"/>
      <c r="Y163" s="70"/>
      <c r="AA163" s="73"/>
      <c r="AB163" s="73"/>
      <c r="AC163" s="73"/>
      <c r="AD163" s="73"/>
      <c r="AE163" s="72"/>
      <c r="AF163" s="73"/>
      <c r="AG163" s="71"/>
      <c r="AH163" s="73"/>
      <c r="AI163" s="73"/>
      <c r="AJ163" s="73"/>
      <c r="AK163" s="73"/>
      <c r="AL163" s="73"/>
      <c r="AM163" s="73"/>
      <c r="AN163" s="73"/>
      <c r="AO163" s="73"/>
      <c r="AQ163" s="70"/>
    </row>
    <row r="164" spans="3:43" s="69" customFormat="1" x14ac:dyDescent="0.25">
      <c r="C164" s="79"/>
      <c r="E164" s="70"/>
      <c r="O164" s="71"/>
      <c r="P164" s="71"/>
      <c r="U164" s="71"/>
      <c r="V164" s="72"/>
      <c r="W164" s="72"/>
      <c r="X164" s="70"/>
      <c r="Y164" s="70"/>
      <c r="AA164" s="73"/>
      <c r="AB164" s="73"/>
      <c r="AC164" s="73"/>
      <c r="AD164" s="73"/>
      <c r="AE164" s="72"/>
      <c r="AF164" s="73"/>
      <c r="AG164" s="71"/>
      <c r="AH164" s="73"/>
      <c r="AI164" s="73"/>
      <c r="AJ164" s="73"/>
      <c r="AK164" s="73"/>
      <c r="AL164" s="73"/>
      <c r="AM164" s="73"/>
      <c r="AN164" s="73"/>
      <c r="AO164" s="73"/>
      <c r="AQ164" s="70"/>
    </row>
    <row r="165" spans="3:43" s="69" customFormat="1" x14ac:dyDescent="0.25">
      <c r="C165" s="79"/>
      <c r="E165" s="70"/>
      <c r="O165" s="71"/>
      <c r="P165" s="71"/>
      <c r="U165" s="71"/>
      <c r="V165" s="72"/>
      <c r="W165" s="72"/>
      <c r="X165" s="70"/>
      <c r="Y165" s="70"/>
      <c r="AA165" s="73"/>
      <c r="AB165" s="73"/>
      <c r="AC165" s="73"/>
      <c r="AD165" s="73"/>
      <c r="AE165" s="72"/>
      <c r="AF165" s="73"/>
      <c r="AG165" s="71"/>
      <c r="AH165" s="73"/>
      <c r="AI165" s="73"/>
      <c r="AJ165" s="73"/>
      <c r="AK165" s="73"/>
      <c r="AL165" s="73"/>
      <c r="AM165" s="73"/>
      <c r="AN165" s="73"/>
      <c r="AO165" s="73"/>
      <c r="AQ165" s="70"/>
    </row>
    <row r="166" spans="3:43" s="69" customFormat="1" x14ac:dyDescent="0.25">
      <c r="C166" s="79"/>
      <c r="E166" s="70"/>
      <c r="O166" s="71"/>
      <c r="P166" s="71"/>
      <c r="U166" s="71"/>
      <c r="V166" s="72"/>
      <c r="W166" s="72"/>
      <c r="X166" s="70"/>
      <c r="Y166" s="70"/>
      <c r="AA166" s="73"/>
      <c r="AB166" s="73"/>
      <c r="AC166" s="73"/>
      <c r="AD166" s="73"/>
      <c r="AE166" s="72"/>
      <c r="AF166" s="73"/>
      <c r="AG166" s="71"/>
      <c r="AH166" s="73"/>
      <c r="AI166" s="73"/>
      <c r="AJ166" s="73"/>
      <c r="AK166" s="73"/>
      <c r="AL166" s="73"/>
      <c r="AM166" s="73"/>
      <c r="AN166" s="73"/>
      <c r="AO166" s="73"/>
      <c r="AQ166" s="70"/>
    </row>
    <row r="167" spans="3:43" s="69" customFormat="1" x14ac:dyDescent="0.25">
      <c r="C167" s="79"/>
      <c r="E167" s="70"/>
      <c r="O167" s="71"/>
      <c r="P167" s="71"/>
      <c r="U167" s="71"/>
      <c r="V167" s="72"/>
      <c r="W167" s="72"/>
      <c r="X167" s="70"/>
      <c r="Y167" s="70"/>
      <c r="AA167" s="73"/>
      <c r="AB167" s="73"/>
      <c r="AC167" s="73"/>
      <c r="AD167" s="73"/>
      <c r="AE167" s="72"/>
      <c r="AF167" s="73"/>
      <c r="AG167" s="71"/>
      <c r="AH167" s="73"/>
      <c r="AI167" s="73"/>
      <c r="AJ167" s="73"/>
      <c r="AK167" s="73"/>
      <c r="AL167" s="73"/>
      <c r="AM167" s="73"/>
      <c r="AN167" s="73"/>
      <c r="AO167" s="73"/>
      <c r="AQ167" s="70"/>
    </row>
    <row r="168" spans="3:43" s="69" customFormat="1" x14ac:dyDescent="0.25">
      <c r="C168" s="79"/>
      <c r="E168" s="70"/>
      <c r="O168" s="71"/>
      <c r="P168" s="71"/>
      <c r="U168" s="71"/>
      <c r="V168" s="72"/>
      <c r="W168" s="72"/>
      <c r="X168" s="70"/>
      <c r="Y168" s="70"/>
      <c r="AA168" s="73"/>
      <c r="AB168" s="73"/>
      <c r="AC168" s="73"/>
      <c r="AD168" s="73"/>
      <c r="AE168" s="72"/>
      <c r="AF168" s="73"/>
      <c r="AG168" s="71"/>
      <c r="AH168" s="73"/>
      <c r="AI168" s="73"/>
      <c r="AJ168" s="73"/>
      <c r="AK168" s="73"/>
      <c r="AL168" s="73"/>
      <c r="AM168" s="73"/>
      <c r="AN168" s="73"/>
      <c r="AO168" s="73"/>
      <c r="AQ168" s="70"/>
    </row>
    <row r="169" spans="3:43" s="69" customFormat="1" x14ac:dyDescent="0.25">
      <c r="C169" s="79"/>
      <c r="E169" s="70"/>
      <c r="O169" s="71"/>
      <c r="P169" s="71"/>
      <c r="U169" s="71"/>
      <c r="V169" s="72"/>
      <c r="W169" s="72"/>
      <c r="X169" s="70"/>
      <c r="Y169" s="70"/>
      <c r="AA169" s="73"/>
      <c r="AB169" s="73"/>
      <c r="AC169" s="73"/>
      <c r="AD169" s="73"/>
      <c r="AE169" s="72"/>
      <c r="AF169" s="73"/>
      <c r="AG169" s="71"/>
      <c r="AH169" s="73"/>
      <c r="AI169" s="73"/>
      <c r="AJ169" s="73"/>
      <c r="AK169" s="73"/>
      <c r="AL169" s="73"/>
      <c r="AM169" s="73"/>
      <c r="AN169" s="73"/>
      <c r="AO169" s="73"/>
      <c r="AQ169" s="70"/>
    </row>
    <row r="170" spans="3:43" s="69" customFormat="1" x14ac:dyDescent="0.25">
      <c r="C170" s="79"/>
      <c r="E170" s="70"/>
      <c r="O170" s="71"/>
      <c r="P170" s="71"/>
      <c r="U170" s="71"/>
      <c r="V170" s="72"/>
      <c r="W170" s="72"/>
      <c r="X170" s="70"/>
      <c r="Y170" s="70"/>
      <c r="AA170" s="73"/>
      <c r="AB170" s="73"/>
      <c r="AC170" s="73"/>
      <c r="AD170" s="73"/>
      <c r="AE170" s="72"/>
      <c r="AF170" s="73"/>
      <c r="AG170" s="71"/>
      <c r="AH170" s="73"/>
      <c r="AI170" s="73"/>
      <c r="AJ170" s="73"/>
      <c r="AK170" s="73"/>
      <c r="AL170" s="73"/>
      <c r="AM170" s="73"/>
      <c r="AN170" s="73"/>
      <c r="AO170" s="73"/>
      <c r="AQ170" s="70"/>
    </row>
    <row r="171" spans="3:43" s="69" customFormat="1" x14ac:dyDescent="0.25">
      <c r="C171" s="79"/>
      <c r="E171" s="70"/>
      <c r="O171" s="71"/>
      <c r="P171" s="71"/>
      <c r="U171" s="71"/>
      <c r="V171" s="72"/>
      <c r="W171" s="72"/>
      <c r="X171" s="70"/>
      <c r="Y171" s="70"/>
      <c r="AA171" s="73"/>
      <c r="AB171" s="73"/>
      <c r="AC171" s="73"/>
      <c r="AD171" s="73"/>
      <c r="AE171" s="72"/>
      <c r="AF171" s="73"/>
      <c r="AG171" s="71"/>
      <c r="AH171" s="73"/>
      <c r="AI171" s="73"/>
      <c r="AJ171" s="73"/>
      <c r="AK171" s="73"/>
      <c r="AL171" s="73"/>
      <c r="AM171" s="73"/>
      <c r="AN171" s="73"/>
      <c r="AO171" s="73"/>
      <c r="AQ171" s="70"/>
    </row>
    <row r="172" spans="3:43" s="69" customFormat="1" x14ac:dyDescent="0.25">
      <c r="C172" s="79"/>
      <c r="E172" s="70"/>
      <c r="O172" s="71"/>
      <c r="P172" s="71"/>
      <c r="U172" s="71"/>
      <c r="V172" s="72"/>
      <c r="W172" s="72"/>
      <c r="X172" s="70"/>
      <c r="Y172" s="70"/>
      <c r="AA172" s="73"/>
      <c r="AB172" s="73"/>
      <c r="AC172" s="73"/>
      <c r="AD172" s="73"/>
      <c r="AE172" s="72"/>
      <c r="AF172" s="73"/>
      <c r="AG172" s="71"/>
      <c r="AH172" s="73"/>
      <c r="AI172" s="73"/>
      <c r="AJ172" s="73"/>
      <c r="AK172" s="73"/>
      <c r="AL172" s="73"/>
      <c r="AM172" s="73"/>
      <c r="AN172" s="73"/>
      <c r="AO172" s="73"/>
      <c r="AQ172" s="70"/>
    </row>
    <row r="173" spans="3:43" s="69" customFormat="1" x14ac:dyDescent="0.25">
      <c r="C173" s="79"/>
      <c r="E173" s="70"/>
      <c r="O173" s="71"/>
      <c r="P173" s="71"/>
      <c r="U173" s="71"/>
      <c r="V173" s="72"/>
      <c r="W173" s="72"/>
      <c r="X173" s="70"/>
      <c r="Y173" s="70"/>
      <c r="AA173" s="73"/>
      <c r="AB173" s="73"/>
      <c r="AC173" s="73"/>
      <c r="AD173" s="73"/>
      <c r="AE173" s="72"/>
      <c r="AF173" s="73"/>
      <c r="AG173" s="71"/>
      <c r="AH173" s="73"/>
      <c r="AI173" s="73"/>
      <c r="AJ173" s="73"/>
      <c r="AK173" s="73"/>
      <c r="AL173" s="73"/>
      <c r="AM173" s="73"/>
      <c r="AN173" s="73"/>
      <c r="AO173" s="73"/>
      <c r="AQ173" s="70"/>
    </row>
    <row r="174" spans="3:43" s="69" customFormat="1" x14ac:dyDescent="0.25">
      <c r="C174" s="79"/>
      <c r="E174" s="70"/>
      <c r="O174" s="71"/>
      <c r="P174" s="71"/>
      <c r="U174" s="71"/>
      <c r="V174" s="72"/>
      <c r="W174" s="72"/>
      <c r="X174" s="70"/>
      <c r="Y174" s="70"/>
      <c r="AA174" s="73"/>
      <c r="AB174" s="73"/>
      <c r="AC174" s="73"/>
      <c r="AD174" s="73"/>
      <c r="AE174" s="72"/>
      <c r="AF174" s="73"/>
      <c r="AG174" s="71"/>
      <c r="AH174" s="73"/>
      <c r="AI174" s="73"/>
      <c r="AJ174" s="73"/>
      <c r="AK174" s="73"/>
      <c r="AL174" s="73"/>
      <c r="AM174" s="73"/>
      <c r="AN174" s="73"/>
      <c r="AO174" s="73"/>
      <c r="AQ174" s="70"/>
    </row>
    <row r="175" spans="3:43" s="69" customFormat="1" x14ac:dyDescent="0.25">
      <c r="C175" s="79"/>
      <c r="E175" s="70"/>
      <c r="O175" s="71"/>
      <c r="P175" s="71"/>
      <c r="U175" s="71"/>
      <c r="V175" s="72"/>
      <c r="W175" s="72"/>
      <c r="X175" s="70"/>
      <c r="Y175" s="70"/>
      <c r="AA175" s="73"/>
      <c r="AB175" s="73"/>
      <c r="AC175" s="73"/>
      <c r="AD175" s="73"/>
      <c r="AE175" s="72"/>
      <c r="AF175" s="73"/>
      <c r="AG175" s="71"/>
      <c r="AH175" s="73"/>
      <c r="AI175" s="73"/>
      <c r="AJ175" s="73"/>
      <c r="AK175" s="73"/>
      <c r="AL175" s="73"/>
      <c r="AM175" s="73"/>
      <c r="AN175" s="73"/>
      <c r="AO175" s="73"/>
      <c r="AQ175" s="70"/>
    </row>
    <row r="176" spans="3:43" s="69" customFormat="1" x14ac:dyDescent="0.25">
      <c r="C176" s="79"/>
      <c r="E176" s="70"/>
      <c r="O176" s="71"/>
      <c r="P176" s="71"/>
      <c r="U176" s="71"/>
      <c r="V176" s="72"/>
      <c r="W176" s="72"/>
      <c r="X176" s="70"/>
      <c r="Y176" s="70"/>
      <c r="AA176" s="73"/>
      <c r="AB176" s="73"/>
      <c r="AC176" s="73"/>
      <c r="AD176" s="73"/>
      <c r="AE176" s="72"/>
      <c r="AF176" s="73"/>
      <c r="AG176" s="71"/>
      <c r="AH176" s="73"/>
      <c r="AI176" s="73"/>
      <c r="AJ176" s="73"/>
      <c r="AK176" s="73"/>
      <c r="AL176" s="73"/>
      <c r="AM176" s="73"/>
      <c r="AN176" s="73"/>
      <c r="AO176" s="73"/>
      <c r="AQ176" s="70"/>
    </row>
    <row r="177" spans="3:43" s="69" customFormat="1" x14ac:dyDescent="0.25">
      <c r="C177" s="79"/>
      <c r="E177" s="70"/>
      <c r="O177" s="71"/>
      <c r="P177" s="71"/>
      <c r="U177" s="71"/>
      <c r="V177" s="72"/>
      <c r="W177" s="72"/>
      <c r="X177" s="70"/>
      <c r="Y177" s="70"/>
      <c r="AA177" s="73"/>
      <c r="AB177" s="73"/>
      <c r="AC177" s="73"/>
      <c r="AD177" s="73"/>
      <c r="AE177" s="72"/>
      <c r="AF177" s="73"/>
      <c r="AG177" s="71"/>
      <c r="AH177" s="73"/>
      <c r="AI177" s="73"/>
      <c r="AJ177" s="73"/>
      <c r="AK177" s="73"/>
      <c r="AL177" s="73"/>
      <c r="AM177" s="73"/>
      <c r="AN177" s="73"/>
      <c r="AO177" s="73"/>
      <c r="AQ177" s="70"/>
    </row>
    <row r="178" spans="3:43" s="69" customFormat="1" x14ac:dyDescent="0.25">
      <c r="C178" s="79"/>
      <c r="E178" s="70"/>
      <c r="O178" s="71"/>
      <c r="P178" s="71"/>
      <c r="U178" s="71"/>
      <c r="V178" s="72"/>
      <c r="W178" s="72"/>
      <c r="X178" s="70"/>
      <c r="Y178" s="70"/>
      <c r="AA178" s="73"/>
      <c r="AB178" s="73"/>
      <c r="AC178" s="73"/>
      <c r="AD178" s="73"/>
      <c r="AE178" s="72"/>
      <c r="AF178" s="73"/>
      <c r="AG178" s="71"/>
      <c r="AH178" s="73"/>
      <c r="AI178" s="73"/>
      <c r="AJ178" s="73"/>
      <c r="AK178" s="73"/>
      <c r="AL178" s="73"/>
      <c r="AM178" s="73"/>
      <c r="AN178" s="73"/>
      <c r="AO178" s="73"/>
      <c r="AQ178" s="70"/>
    </row>
    <row r="179" spans="3:43" s="69" customFormat="1" x14ac:dyDescent="0.25">
      <c r="C179" s="79"/>
      <c r="E179" s="70"/>
      <c r="O179" s="71"/>
      <c r="P179" s="71"/>
      <c r="U179" s="71"/>
      <c r="V179" s="72"/>
      <c r="W179" s="72"/>
      <c r="X179" s="70"/>
      <c r="Y179" s="70"/>
      <c r="AA179" s="73"/>
      <c r="AB179" s="73"/>
      <c r="AC179" s="73"/>
      <c r="AD179" s="73"/>
      <c r="AE179" s="72"/>
      <c r="AF179" s="73"/>
      <c r="AG179" s="71"/>
      <c r="AH179" s="73"/>
      <c r="AI179" s="73"/>
      <c r="AJ179" s="73"/>
      <c r="AK179" s="73"/>
      <c r="AL179" s="73"/>
      <c r="AM179" s="73"/>
      <c r="AN179" s="73"/>
      <c r="AO179" s="73"/>
      <c r="AQ179" s="70"/>
    </row>
    <row r="180" spans="3:43" s="69" customFormat="1" x14ac:dyDescent="0.25">
      <c r="C180" s="79"/>
      <c r="E180" s="70"/>
      <c r="O180" s="71"/>
      <c r="P180" s="71"/>
      <c r="U180" s="71"/>
      <c r="V180" s="72"/>
      <c r="W180" s="72"/>
      <c r="X180" s="70"/>
      <c r="Y180" s="70"/>
      <c r="AA180" s="73"/>
      <c r="AB180" s="73"/>
      <c r="AC180" s="73"/>
      <c r="AD180" s="73"/>
      <c r="AE180" s="72"/>
      <c r="AF180" s="73"/>
      <c r="AG180" s="71"/>
      <c r="AH180" s="73"/>
      <c r="AI180" s="73"/>
      <c r="AJ180" s="73"/>
      <c r="AK180" s="73"/>
      <c r="AL180" s="73"/>
      <c r="AM180" s="73"/>
      <c r="AN180" s="73"/>
      <c r="AO180" s="73"/>
      <c r="AQ180" s="70"/>
    </row>
    <row r="181" spans="3:43" s="69" customFormat="1" x14ac:dyDescent="0.25">
      <c r="C181" s="79"/>
      <c r="E181" s="70"/>
      <c r="O181" s="71"/>
      <c r="P181" s="71"/>
      <c r="U181" s="71"/>
      <c r="V181" s="72"/>
      <c r="W181" s="72"/>
      <c r="X181" s="70"/>
      <c r="Y181" s="70"/>
      <c r="AA181" s="73"/>
      <c r="AB181" s="73"/>
      <c r="AC181" s="73"/>
      <c r="AD181" s="73"/>
      <c r="AE181" s="72"/>
      <c r="AF181" s="73"/>
      <c r="AG181" s="71"/>
      <c r="AH181" s="73"/>
      <c r="AI181" s="73"/>
      <c r="AJ181" s="73"/>
      <c r="AK181" s="73"/>
      <c r="AL181" s="73"/>
      <c r="AM181" s="73"/>
      <c r="AN181" s="73"/>
      <c r="AO181" s="73"/>
      <c r="AQ181" s="70"/>
    </row>
    <row r="182" spans="3:43" s="69" customFormat="1" x14ac:dyDescent="0.25">
      <c r="C182" s="79"/>
      <c r="E182" s="70"/>
      <c r="O182" s="71"/>
      <c r="P182" s="71"/>
      <c r="U182" s="71"/>
      <c r="V182" s="72"/>
      <c r="W182" s="72"/>
      <c r="X182" s="70"/>
      <c r="Y182" s="70"/>
      <c r="AA182" s="73"/>
      <c r="AB182" s="73"/>
      <c r="AC182" s="73"/>
      <c r="AD182" s="73"/>
      <c r="AE182" s="72"/>
      <c r="AF182" s="73"/>
      <c r="AG182" s="71"/>
      <c r="AH182" s="73"/>
      <c r="AI182" s="73"/>
      <c r="AJ182" s="73"/>
      <c r="AK182" s="73"/>
      <c r="AL182" s="73"/>
      <c r="AM182" s="73"/>
      <c r="AN182" s="73"/>
      <c r="AO182" s="73"/>
      <c r="AQ182" s="70"/>
    </row>
    <row r="183" spans="3:43" s="69" customFormat="1" x14ac:dyDescent="0.25">
      <c r="C183" s="79"/>
      <c r="E183" s="70"/>
      <c r="O183" s="71"/>
      <c r="P183" s="71"/>
      <c r="U183" s="71"/>
      <c r="V183" s="72"/>
      <c r="W183" s="72"/>
      <c r="X183" s="70"/>
      <c r="Y183" s="70"/>
      <c r="AA183" s="73"/>
      <c r="AB183" s="73"/>
      <c r="AC183" s="73"/>
      <c r="AD183" s="73"/>
      <c r="AE183" s="72"/>
      <c r="AF183" s="73"/>
      <c r="AG183" s="71"/>
      <c r="AH183" s="73"/>
      <c r="AI183" s="73"/>
      <c r="AJ183" s="73"/>
      <c r="AK183" s="73"/>
      <c r="AL183" s="73"/>
      <c r="AM183" s="73"/>
      <c r="AN183" s="73"/>
      <c r="AO183" s="73"/>
      <c r="AQ183" s="70"/>
    </row>
    <row r="184" spans="3:43" s="69" customFormat="1" x14ac:dyDescent="0.25">
      <c r="C184" s="79"/>
      <c r="E184" s="70"/>
      <c r="O184" s="71"/>
      <c r="P184" s="71"/>
      <c r="U184" s="71"/>
      <c r="V184" s="72"/>
      <c r="W184" s="72"/>
      <c r="X184" s="70"/>
      <c r="Y184" s="70"/>
      <c r="AA184" s="73"/>
      <c r="AB184" s="73"/>
      <c r="AC184" s="73"/>
      <c r="AD184" s="73"/>
      <c r="AE184" s="72"/>
      <c r="AF184" s="73"/>
      <c r="AG184" s="71"/>
      <c r="AH184" s="73"/>
      <c r="AI184" s="73"/>
      <c r="AJ184" s="73"/>
      <c r="AK184" s="73"/>
      <c r="AL184" s="73"/>
      <c r="AM184" s="73"/>
      <c r="AN184" s="73"/>
      <c r="AO184" s="73"/>
      <c r="AQ184" s="70"/>
    </row>
    <row r="185" spans="3:43" s="69" customFormat="1" x14ac:dyDescent="0.25">
      <c r="C185" s="79"/>
      <c r="E185" s="70"/>
      <c r="O185" s="71"/>
      <c r="P185" s="71"/>
      <c r="U185" s="71"/>
      <c r="V185" s="72"/>
      <c r="W185" s="72"/>
      <c r="X185" s="70"/>
      <c r="Y185" s="70"/>
      <c r="AA185" s="73"/>
      <c r="AB185" s="73"/>
      <c r="AC185" s="73"/>
      <c r="AD185" s="73"/>
      <c r="AE185" s="72"/>
      <c r="AF185" s="73"/>
      <c r="AG185" s="71"/>
      <c r="AH185" s="73"/>
      <c r="AI185" s="73"/>
      <c r="AJ185" s="73"/>
      <c r="AK185" s="73"/>
      <c r="AL185" s="73"/>
      <c r="AM185" s="73"/>
      <c r="AN185" s="73"/>
      <c r="AO185" s="73"/>
      <c r="AQ185" s="70"/>
    </row>
    <row r="186" spans="3:43" s="69" customFormat="1" x14ac:dyDescent="0.25">
      <c r="C186" s="79"/>
      <c r="E186" s="70"/>
      <c r="O186" s="71"/>
      <c r="P186" s="71"/>
      <c r="U186" s="71"/>
      <c r="V186" s="72"/>
      <c r="W186" s="72"/>
      <c r="X186" s="70"/>
      <c r="Y186" s="70"/>
      <c r="AA186" s="73"/>
      <c r="AB186" s="73"/>
      <c r="AC186" s="73"/>
      <c r="AD186" s="73"/>
      <c r="AE186" s="72"/>
      <c r="AF186" s="73"/>
      <c r="AG186" s="71"/>
      <c r="AH186" s="73"/>
      <c r="AI186" s="73"/>
      <c r="AJ186" s="73"/>
      <c r="AK186" s="73"/>
      <c r="AL186" s="73"/>
      <c r="AM186" s="73"/>
      <c r="AN186" s="73"/>
      <c r="AO186" s="73"/>
      <c r="AQ186" s="70"/>
    </row>
    <row r="187" spans="3:43" s="69" customFormat="1" x14ac:dyDescent="0.25">
      <c r="C187" s="79"/>
      <c r="E187" s="70"/>
      <c r="O187" s="71"/>
      <c r="P187" s="71"/>
      <c r="U187" s="71"/>
      <c r="V187" s="72"/>
      <c r="W187" s="72"/>
      <c r="X187" s="70"/>
      <c r="Y187" s="70"/>
      <c r="AA187" s="73"/>
      <c r="AB187" s="73"/>
      <c r="AC187" s="73"/>
      <c r="AD187" s="73"/>
      <c r="AE187" s="72"/>
      <c r="AF187" s="73"/>
      <c r="AG187" s="71"/>
      <c r="AH187" s="73"/>
      <c r="AI187" s="73"/>
      <c r="AJ187" s="73"/>
      <c r="AK187" s="73"/>
      <c r="AL187" s="73"/>
      <c r="AM187" s="73"/>
      <c r="AN187" s="73"/>
      <c r="AO187" s="73"/>
      <c r="AQ187" s="70"/>
    </row>
    <row r="188" spans="3:43" s="69" customFormat="1" x14ac:dyDescent="0.25">
      <c r="C188" s="79"/>
      <c r="E188" s="70"/>
      <c r="O188" s="71"/>
      <c r="P188" s="71"/>
      <c r="U188" s="71"/>
      <c r="V188" s="72"/>
      <c r="W188" s="72"/>
      <c r="X188" s="70"/>
      <c r="Y188" s="70"/>
      <c r="AA188" s="73"/>
      <c r="AB188" s="73"/>
      <c r="AC188" s="73"/>
      <c r="AD188" s="73"/>
      <c r="AE188" s="72"/>
      <c r="AF188" s="73"/>
      <c r="AG188" s="71"/>
      <c r="AH188" s="73"/>
      <c r="AI188" s="73"/>
      <c r="AJ188" s="73"/>
      <c r="AK188" s="73"/>
      <c r="AL188" s="73"/>
      <c r="AM188" s="73"/>
      <c r="AN188" s="73"/>
      <c r="AO188" s="73"/>
      <c r="AQ188" s="70"/>
    </row>
    <row r="189" spans="3:43" s="69" customFormat="1" x14ac:dyDescent="0.25">
      <c r="C189" s="79"/>
      <c r="E189" s="70"/>
      <c r="O189" s="71"/>
      <c r="P189" s="71"/>
      <c r="U189" s="71"/>
      <c r="V189" s="72"/>
      <c r="W189" s="72"/>
      <c r="X189" s="70"/>
      <c r="Y189" s="70"/>
      <c r="AA189" s="73"/>
      <c r="AB189" s="73"/>
      <c r="AC189" s="73"/>
      <c r="AD189" s="73"/>
      <c r="AE189" s="72"/>
      <c r="AF189" s="73"/>
      <c r="AG189" s="71"/>
      <c r="AH189" s="73"/>
      <c r="AI189" s="73"/>
      <c r="AJ189" s="73"/>
      <c r="AK189" s="73"/>
      <c r="AL189" s="73"/>
      <c r="AM189" s="73"/>
      <c r="AN189" s="73"/>
      <c r="AO189" s="73"/>
      <c r="AQ189" s="70"/>
    </row>
    <row r="190" spans="3:43" s="69" customFormat="1" x14ac:dyDescent="0.25">
      <c r="C190" s="79"/>
      <c r="E190" s="70"/>
      <c r="O190" s="71"/>
      <c r="P190" s="71"/>
      <c r="U190" s="71"/>
      <c r="V190" s="72"/>
      <c r="W190" s="72"/>
      <c r="X190" s="70"/>
      <c r="Y190" s="70"/>
      <c r="AA190" s="73"/>
      <c r="AB190" s="73"/>
      <c r="AC190" s="73"/>
      <c r="AD190" s="73"/>
      <c r="AE190" s="72"/>
      <c r="AF190" s="73"/>
      <c r="AG190" s="71"/>
      <c r="AH190" s="73"/>
      <c r="AI190" s="73"/>
      <c r="AJ190" s="73"/>
      <c r="AK190" s="73"/>
      <c r="AL190" s="73"/>
      <c r="AM190" s="73"/>
      <c r="AN190" s="73"/>
      <c r="AO190" s="73"/>
      <c r="AQ190" s="70"/>
    </row>
    <row r="191" spans="3:43" s="69" customFormat="1" x14ac:dyDescent="0.25">
      <c r="C191" s="79"/>
      <c r="E191" s="70"/>
      <c r="O191" s="71"/>
      <c r="P191" s="71"/>
      <c r="U191" s="71"/>
      <c r="V191" s="72"/>
      <c r="W191" s="72"/>
      <c r="X191" s="70"/>
      <c r="Y191" s="70"/>
      <c r="AA191" s="73"/>
      <c r="AB191" s="73"/>
      <c r="AC191" s="73"/>
      <c r="AD191" s="73"/>
      <c r="AE191" s="72"/>
      <c r="AF191" s="73"/>
      <c r="AG191" s="71"/>
      <c r="AH191" s="73"/>
      <c r="AI191" s="73"/>
      <c r="AJ191" s="73"/>
      <c r="AK191" s="73"/>
      <c r="AL191" s="73"/>
      <c r="AM191" s="73"/>
      <c r="AN191" s="73"/>
      <c r="AO191" s="73"/>
      <c r="AQ191" s="70"/>
    </row>
    <row r="192" spans="3:43" s="69" customFormat="1" x14ac:dyDescent="0.25">
      <c r="C192" s="79"/>
      <c r="E192" s="70"/>
      <c r="O192" s="71"/>
      <c r="P192" s="71"/>
      <c r="U192" s="71"/>
      <c r="V192" s="72"/>
      <c r="W192" s="72"/>
      <c r="X192" s="70"/>
      <c r="Y192" s="70"/>
      <c r="AA192" s="73"/>
      <c r="AB192" s="73"/>
      <c r="AC192" s="73"/>
      <c r="AD192" s="73"/>
      <c r="AE192" s="72"/>
      <c r="AF192" s="73"/>
      <c r="AG192" s="71"/>
      <c r="AH192" s="73"/>
      <c r="AI192" s="73"/>
      <c r="AJ192" s="73"/>
      <c r="AK192" s="73"/>
      <c r="AL192" s="73"/>
      <c r="AM192" s="73"/>
      <c r="AN192" s="73"/>
      <c r="AO192" s="73"/>
      <c r="AQ192" s="70"/>
    </row>
    <row r="193" spans="3:43" s="69" customFormat="1" x14ac:dyDescent="0.25">
      <c r="C193" s="79"/>
      <c r="E193" s="70"/>
      <c r="U193" s="71"/>
      <c r="V193" s="72"/>
      <c r="W193" s="72"/>
      <c r="X193" s="70"/>
      <c r="Y193" s="70"/>
      <c r="AA193" s="73"/>
      <c r="AB193" s="73"/>
      <c r="AC193" s="73"/>
      <c r="AD193" s="73"/>
      <c r="AE193" s="72"/>
      <c r="AF193" s="73"/>
      <c r="AH193" s="73"/>
      <c r="AI193" s="73"/>
      <c r="AJ193" s="73"/>
      <c r="AK193" s="73"/>
      <c r="AL193" s="73"/>
      <c r="AM193" s="73"/>
      <c r="AN193" s="73"/>
      <c r="AO193" s="73"/>
      <c r="AQ193" s="70"/>
    </row>
    <row r="194" spans="3:43" s="69" customFormat="1" x14ac:dyDescent="0.25">
      <c r="C194" s="79"/>
      <c r="E194" s="70"/>
      <c r="U194" s="71"/>
      <c r="V194" s="72"/>
      <c r="W194" s="72"/>
      <c r="X194" s="70"/>
      <c r="Y194" s="70"/>
      <c r="AA194" s="73"/>
      <c r="AB194" s="73"/>
      <c r="AC194" s="73"/>
      <c r="AD194" s="73"/>
      <c r="AE194" s="72"/>
      <c r="AF194" s="73"/>
      <c r="AH194" s="73"/>
      <c r="AI194" s="73"/>
      <c r="AJ194" s="73"/>
      <c r="AK194" s="73"/>
      <c r="AL194" s="73"/>
      <c r="AM194" s="73"/>
      <c r="AN194" s="73"/>
      <c r="AO194" s="73"/>
      <c r="AQ194" s="70"/>
    </row>
    <row r="195" spans="3:43" s="69" customFormat="1" x14ac:dyDescent="0.25">
      <c r="C195" s="79"/>
      <c r="E195" s="70"/>
      <c r="U195" s="71"/>
      <c r="V195" s="72"/>
      <c r="W195" s="72"/>
      <c r="X195" s="70"/>
      <c r="Y195" s="70"/>
      <c r="AA195" s="73"/>
      <c r="AB195" s="73"/>
      <c r="AC195" s="73"/>
      <c r="AD195" s="73"/>
      <c r="AE195" s="72"/>
      <c r="AF195" s="73"/>
      <c r="AH195" s="73"/>
      <c r="AI195" s="73"/>
      <c r="AJ195" s="73"/>
      <c r="AK195" s="73"/>
      <c r="AL195" s="73"/>
      <c r="AM195" s="73"/>
      <c r="AN195" s="73"/>
      <c r="AO195" s="73"/>
      <c r="AQ195" s="70"/>
    </row>
    <row r="196" spans="3:43" s="69" customFormat="1" x14ac:dyDescent="0.25">
      <c r="C196" s="79"/>
      <c r="E196" s="70"/>
      <c r="U196" s="71"/>
      <c r="V196" s="72"/>
      <c r="W196" s="72"/>
      <c r="X196" s="70"/>
      <c r="Y196" s="70"/>
      <c r="AA196" s="73"/>
      <c r="AB196" s="73"/>
      <c r="AC196" s="73"/>
      <c r="AD196" s="73"/>
      <c r="AE196" s="72"/>
      <c r="AF196" s="73"/>
      <c r="AH196" s="73"/>
      <c r="AI196" s="73"/>
      <c r="AJ196" s="73"/>
      <c r="AK196" s="73"/>
      <c r="AL196" s="73"/>
      <c r="AM196" s="73"/>
      <c r="AN196" s="73"/>
      <c r="AO196" s="73"/>
      <c r="AQ196" s="70"/>
    </row>
    <row r="197" spans="3:43" s="69" customFormat="1" x14ac:dyDescent="0.25">
      <c r="C197" s="79"/>
      <c r="E197" s="70"/>
      <c r="U197" s="71"/>
      <c r="V197" s="72"/>
      <c r="W197" s="72"/>
      <c r="X197" s="70"/>
      <c r="Y197" s="70"/>
      <c r="AA197" s="73"/>
      <c r="AB197" s="73"/>
      <c r="AC197" s="73"/>
      <c r="AD197" s="73"/>
      <c r="AE197" s="72"/>
      <c r="AF197" s="73"/>
      <c r="AH197" s="73"/>
      <c r="AI197" s="73"/>
      <c r="AJ197" s="73"/>
      <c r="AK197" s="73"/>
      <c r="AL197" s="73"/>
      <c r="AM197" s="73"/>
      <c r="AN197" s="73"/>
      <c r="AO197" s="73"/>
      <c r="AQ197" s="70"/>
    </row>
    <row r="198" spans="3:43" s="69" customFormat="1" x14ac:dyDescent="0.25">
      <c r="C198" s="79"/>
      <c r="E198" s="70"/>
      <c r="U198" s="71"/>
      <c r="V198" s="72"/>
      <c r="W198" s="72"/>
      <c r="X198" s="70"/>
      <c r="Y198" s="70"/>
      <c r="AA198" s="73"/>
      <c r="AB198" s="73"/>
      <c r="AC198" s="73"/>
      <c r="AD198" s="73"/>
      <c r="AE198" s="72"/>
      <c r="AF198" s="73"/>
      <c r="AH198" s="73"/>
      <c r="AI198" s="73"/>
      <c r="AJ198" s="73"/>
      <c r="AK198" s="73"/>
      <c r="AL198" s="73"/>
      <c r="AM198" s="73"/>
      <c r="AN198" s="73"/>
      <c r="AO198" s="73"/>
      <c r="AQ198" s="70"/>
    </row>
    <row r="199" spans="3:43" s="69" customFormat="1" x14ac:dyDescent="0.25">
      <c r="C199" s="79"/>
      <c r="E199" s="70"/>
      <c r="U199" s="71"/>
      <c r="V199" s="72"/>
      <c r="W199" s="72"/>
      <c r="X199" s="70"/>
      <c r="Y199" s="70"/>
      <c r="AA199" s="73"/>
      <c r="AB199" s="73"/>
      <c r="AC199" s="73"/>
      <c r="AD199" s="73"/>
      <c r="AE199" s="72"/>
      <c r="AF199" s="73"/>
      <c r="AH199" s="73"/>
      <c r="AI199" s="73"/>
      <c r="AJ199" s="73"/>
      <c r="AK199" s="73"/>
      <c r="AL199" s="73"/>
      <c r="AM199" s="73"/>
      <c r="AN199" s="73"/>
      <c r="AO199" s="73"/>
      <c r="AQ199" s="70"/>
    </row>
    <row r="200" spans="3:43" s="69" customFormat="1" x14ac:dyDescent="0.25">
      <c r="C200" s="79"/>
      <c r="E200" s="70"/>
      <c r="U200" s="71"/>
      <c r="V200" s="72"/>
      <c r="W200" s="72"/>
      <c r="X200" s="70"/>
      <c r="Y200" s="70"/>
      <c r="AA200" s="73"/>
      <c r="AB200" s="73"/>
      <c r="AC200" s="73"/>
      <c r="AD200" s="73"/>
      <c r="AE200" s="72"/>
      <c r="AF200" s="73"/>
      <c r="AH200" s="73"/>
      <c r="AI200" s="73"/>
      <c r="AJ200" s="73"/>
      <c r="AK200" s="73"/>
      <c r="AL200" s="73"/>
      <c r="AM200" s="73"/>
      <c r="AN200" s="73"/>
      <c r="AO200" s="73"/>
      <c r="AQ200" s="70"/>
    </row>
    <row r="201" spans="3:43" s="69" customFormat="1" x14ac:dyDescent="0.25">
      <c r="C201" s="79"/>
      <c r="E201" s="70"/>
      <c r="U201" s="71"/>
      <c r="V201" s="72"/>
      <c r="W201" s="72"/>
      <c r="X201" s="70"/>
      <c r="Y201" s="70"/>
      <c r="AA201" s="73"/>
      <c r="AB201" s="73"/>
      <c r="AC201" s="73"/>
      <c r="AD201" s="73"/>
      <c r="AE201" s="72"/>
      <c r="AF201" s="73"/>
      <c r="AH201" s="73"/>
      <c r="AI201" s="73"/>
      <c r="AJ201" s="73"/>
      <c r="AK201" s="73"/>
      <c r="AL201" s="73"/>
      <c r="AM201" s="73"/>
      <c r="AN201" s="73"/>
      <c r="AO201" s="73"/>
      <c r="AQ201" s="70"/>
    </row>
    <row r="202" spans="3:43" s="69" customFormat="1" x14ac:dyDescent="0.25">
      <c r="C202" s="79"/>
      <c r="E202" s="70"/>
      <c r="U202" s="71"/>
      <c r="V202" s="72"/>
      <c r="W202" s="72"/>
      <c r="X202" s="70"/>
      <c r="Y202" s="70"/>
      <c r="AA202" s="73"/>
      <c r="AB202" s="73"/>
      <c r="AC202" s="73"/>
      <c r="AD202" s="73"/>
      <c r="AE202" s="72"/>
      <c r="AF202" s="73"/>
      <c r="AH202" s="73"/>
      <c r="AI202" s="73"/>
      <c r="AJ202" s="73"/>
      <c r="AK202" s="73"/>
      <c r="AL202" s="73"/>
      <c r="AM202" s="73"/>
      <c r="AN202" s="73"/>
      <c r="AO202" s="73"/>
      <c r="AQ202" s="70"/>
    </row>
    <row r="203" spans="3:43" s="69" customFormat="1" x14ac:dyDescent="0.25">
      <c r="C203" s="79"/>
      <c r="E203" s="70"/>
      <c r="U203" s="71"/>
      <c r="V203" s="72"/>
      <c r="W203" s="72"/>
      <c r="X203" s="70"/>
      <c r="Y203" s="70"/>
      <c r="AA203" s="73"/>
      <c r="AB203" s="73"/>
      <c r="AC203" s="73"/>
      <c r="AD203" s="73"/>
      <c r="AE203" s="72"/>
      <c r="AF203" s="73"/>
      <c r="AH203" s="73"/>
      <c r="AI203" s="73"/>
      <c r="AJ203" s="73"/>
      <c r="AK203" s="73"/>
      <c r="AL203" s="73"/>
      <c r="AM203" s="73"/>
      <c r="AN203" s="73"/>
      <c r="AO203" s="73"/>
      <c r="AQ203" s="70"/>
    </row>
    <row r="204" spans="3:43" s="69" customFormat="1" x14ac:dyDescent="0.25">
      <c r="C204" s="79"/>
      <c r="E204" s="70"/>
      <c r="U204" s="71"/>
      <c r="V204" s="72"/>
      <c r="W204" s="72"/>
      <c r="X204" s="70"/>
      <c r="Y204" s="70"/>
      <c r="AA204" s="73"/>
      <c r="AB204" s="73"/>
      <c r="AC204" s="73"/>
      <c r="AD204" s="73"/>
      <c r="AE204" s="72"/>
      <c r="AF204" s="73"/>
      <c r="AH204" s="73"/>
      <c r="AI204" s="73"/>
      <c r="AJ204" s="73"/>
      <c r="AK204" s="73"/>
      <c r="AL204" s="73"/>
      <c r="AM204" s="73"/>
      <c r="AN204" s="73"/>
      <c r="AO204" s="73"/>
      <c r="AQ204" s="70"/>
    </row>
    <row r="205" spans="3:43" s="69" customFormat="1" x14ac:dyDescent="0.25">
      <c r="C205" s="79"/>
      <c r="E205" s="70"/>
      <c r="U205" s="71"/>
      <c r="V205" s="72"/>
      <c r="W205" s="72"/>
      <c r="X205" s="70"/>
      <c r="Y205" s="70"/>
      <c r="AA205" s="73"/>
      <c r="AB205" s="73"/>
      <c r="AC205" s="73"/>
      <c r="AD205" s="73"/>
      <c r="AE205" s="72"/>
      <c r="AF205" s="73"/>
      <c r="AH205" s="73"/>
      <c r="AI205" s="73"/>
      <c r="AJ205" s="73"/>
      <c r="AK205" s="73"/>
      <c r="AL205" s="73"/>
      <c r="AM205" s="73"/>
      <c r="AN205" s="73"/>
      <c r="AO205" s="73"/>
      <c r="AQ205" s="70"/>
    </row>
    <row r="206" spans="3:43" s="69" customFormat="1" x14ac:dyDescent="0.25">
      <c r="C206" s="79"/>
      <c r="E206" s="70"/>
      <c r="U206" s="71"/>
      <c r="V206" s="72"/>
      <c r="W206" s="72"/>
      <c r="X206" s="70"/>
      <c r="Y206" s="70"/>
      <c r="AA206" s="73"/>
      <c r="AB206" s="73"/>
      <c r="AC206" s="73"/>
      <c r="AD206" s="73"/>
      <c r="AE206" s="72"/>
      <c r="AF206" s="73"/>
      <c r="AH206" s="73"/>
      <c r="AI206" s="73"/>
      <c r="AJ206" s="73"/>
      <c r="AK206" s="73"/>
      <c r="AL206" s="73"/>
      <c r="AM206" s="73"/>
      <c r="AN206" s="73"/>
      <c r="AO206" s="73"/>
      <c r="AQ206" s="70"/>
    </row>
    <row r="207" spans="3:43" s="69" customFormat="1" x14ac:dyDescent="0.25">
      <c r="C207" s="79"/>
      <c r="E207" s="70"/>
      <c r="U207" s="71"/>
      <c r="V207" s="72"/>
      <c r="W207" s="72"/>
      <c r="X207" s="70"/>
      <c r="Y207" s="70"/>
      <c r="AA207" s="73"/>
      <c r="AB207" s="73"/>
      <c r="AC207" s="73"/>
      <c r="AD207" s="73"/>
      <c r="AE207" s="72"/>
      <c r="AF207" s="73"/>
      <c r="AH207" s="73"/>
      <c r="AI207" s="73"/>
      <c r="AJ207" s="73"/>
      <c r="AK207" s="73"/>
      <c r="AL207" s="73"/>
      <c r="AM207" s="73"/>
      <c r="AN207" s="73"/>
      <c r="AO207" s="73"/>
      <c r="AQ207" s="70"/>
    </row>
    <row r="208" spans="3:43" s="69" customFormat="1" x14ac:dyDescent="0.25">
      <c r="C208" s="79"/>
      <c r="E208" s="70"/>
      <c r="U208" s="71"/>
      <c r="V208" s="72"/>
      <c r="W208" s="72"/>
      <c r="X208" s="70"/>
      <c r="Y208" s="70"/>
      <c r="AA208" s="73"/>
      <c r="AB208" s="73"/>
      <c r="AC208" s="73"/>
      <c r="AD208" s="73"/>
      <c r="AE208" s="72"/>
      <c r="AF208" s="73"/>
      <c r="AH208" s="73"/>
      <c r="AI208" s="73"/>
      <c r="AJ208" s="73"/>
      <c r="AK208" s="73"/>
      <c r="AL208" s="73"/>
      <c r="AM208" s="73"/>
      <c r="AN208" s="73"/>
      <c r="AO208" s="73"/>
      <c r="AQ208" s="70"/>
    </row>
    <row r="209" spans="3:43" s="69" customFormat="1" x14ac:dyDescent="0.25">
      <c r="C209" s="79"/>
      <c r="E209" s="70"/>
      <c r="U209" s="71"/>
      <c r="V209" s="72"/>
      <c r="W209" s="72"/>
      <c r="X209" s="70"/>
      <c r="Y209" s="70"/>
      <c r="AA209" s="73"/>
      <c r="AB209" s="73"/>
      <c r="AC209" s="73"/>
      <c r="AD209" s="73"/>
      <c r="AE209" s="72"/>
      <c r="AF209" s="73"/>
      <c r="AH209" s="73"/>
      <c r="AI209" s="73"/>
      <c r="AJ209" s="73"/>
      <c r="AK209" s="73"/>
      <c r="AL209" s="73"/>
      <c r="AM209" s="73"/>
      <c r="AN209" s="73"/>
      <c r="AO209" s="73"/>
      <c r="AQ209" s="70"/>
    </row>
    <row r="210" spans="3:43" s="69" customFormat="1" x14ac:dyDescent="0.25">
      <c r="C210" s="79"/>
      <c r="E210" s="70"/>
      <c r="U210" s="71"/>
      <c r="V210" s="72"/>
      <c r="W210" s="72"/>
      <c r="X210" s="70"/>
      <c r="Y210" s="70"/>
      <c r="AA210" s="73"/>
      <c r="AB210" s="73"/>
      <c r="AC210" s="73"/>
      <c r="AD210" s="73"/>
      <c r="AE210" s="72"/>
      <c r="AF210" s="73"/>
      <c r="AH210" s="73"/>
      <c r="AI210" s="73"/>
      <c r="AJ210" s="73"/>
      <c r="AK210" s="73"/>
      <c r="AL210" s="73"/>
      <c r="AM210" s="73"/>
      <c r="AN210" s="73"/>
      <c r="AO210" s="73"/>
      <c r="AQ210" s="70"/>
    </row>
    <row r="211" spans="3:43" s="69" customFormat="1" x14ac:dyDescent="0.25">
      <c r="C211" s="79"/>
      <c r="E211" s="70"/>
      <c r="U211" s="71"/>
      <c r="V211" s="72"/>
      <c r="W211" s="72"/>
      <c r="X211" s="70"/>
      <c r="Y211" s="70"/>
      <c r="AA211" s="73"/>
      <c r="AB211" s="73"/>
      <c r="AC211" s="73"/>
      <c r="AD211" s="73"/>
      <c r="AE211" s="72"/>
      <c r="AF211" s="73"/>
      <c r="AH211" s="73"/>
      <c r="AI211" s="73"/>
      <c r="AJ211" s="73"/>
      <c r="AK211" s="73"/>
      <c r="AL211" s="73"/>
      <c r="AM211" s="73"/>
      <c r="AN211" s="73"/>
      <c r="AO211" s="73"/>
      <c r="AQ211" s="70"/>
    </row>
    <row r="212" spans="3:43" s="69" customFormat="1" x14ac:dyDescent="0.25">
      <c r="C212" s="79"/>
      <c r="E212" s="70"/>
      <c r="U212" s="71"/>
      <c r="V212" s="72"/>
      <c r="W212" s="72"/>
      <c r="X212" s="70"/>
      <c r="Y212" s="70"/>
      <c r="AA212" s="73"/>
      <c r="AB212" s="73"/>
      <c r="AC212" s="73"/>
      <c r="AD212" s="73"/>
      <c r="AE212" s="72"/>
      <c r="AF212" s="73"/>
      <c r="AH212" s="73"/>
      <c r="AI212" s="73"/>
      <c r="AJ212" s="73"/>
      <c r="AK212" s="73"/>
      <c r="AL212" s="73"/>
      <c r="AM212" s="73"/>
      <c r="AN212" s="73"/>
      <c r="AO212" s="73"/>
      <c r="AQ212" s="70"/>
    </row>
    <row r="213" spans="3:43" s="69" customFormat="1" x14ac:dyDescent="0.25">
      <c r="C213" s="79"/>
      <c r="E213" s="70"/>
      <c r="U213" s="71"/>
      <c r="V213" s="72"/>
      <c r="W213" s="72"/>
      <c r="X213" s="70"/>
      <c r="Y213" s="70"/>
      <c r="AA213" s="73"/>
      <c r="AB213" s="73"/>
      <c r="AC213" s="73"/>
      <c r="AD213" s="73"/>
      <c r="AE213" s="72"/>
      <c r="AF213" s="73"/>
      <c r="AH213" s="73"/>
      <c r="AI213" s="73"/>
      <c r="AJ213" s="73"/>
      <c r="AK213" s="73"/>
      <c r="AL213" s="73"/>
      <c r="AM213" s="73"/>
      <c r="AN213" s="73"/>
      <c r="AO213" s="73"/>
      <c r="AQ213" s="70"/>
    </row>
    <row r="214" spans="3:43" s="69" customFormat="1" x14ac:dyDescent="0.25">
      <c r="C214" s="79"/>
      <c r="E214" s="70"/>
      <c r="U214" s="71"/>
      <c r="V214" s="72"/>
      <c r="W214" s="72"/>
      <c r="X214" s="70"/>
      <c r="Y214" s="70"/>
      <c r="AA214" s="73"/>
      <c r="AB214" s="73"/>
      <c r="AC214" s="73"/>
      <c r="AD214" s="73"/>
      <c r="AE214" s="72"/>
      <c r="AF214" s="73"/>
      <c r="AH214" s="73"/>
      <c r="AI214" s="73"/>
      <c r="AJ214" s="73"/>
      <c r="AK214" s="73"/>
      <c r="AL214" s="73"/>
      <c r="AM214" s="73"/>
      <c r="AN214" s="73"/>
      <c r="AO214" s="73"/>
      <c r="AQ214" s="70"/>
    </row>
    <row r="215" spans="3:43" s="69" customFormat="1" x14ac:dyDescent="0.25">
      <c r="C215" s="79"/>
      <c r="E215" s="70"/>
      <c r="U215" s="71"/>
      <c r="V215" s="72"/>
      <c r="W215" s="72"/>
      <c r="X215" s="70"/>
      <c r="Y215" s="70"/>
      <c r="AA215" s="73"/>
      <c r="AB215" s="73"/>
      <c r="AC215" s="73"/>
      <c r="AD215" s="73"/>
      <c r="AE215" s="72"/>
      <c r="AF215" s="73"/>
      <c r="AH215" s="73"/>
      <c r="AI215" s="73"/>
      <c r="AJ215" s="73"/>
      <c r="AK215" s="73"/>
      <c r="AL215" s="73"/>
      <c r="AM215" s="73"/>
      <c r="AN215" s="73"/>
      <c r="AO215" s="73"/>
      <c r="AQ215" s="70"/>
    </row>
    <row r="216" spans="3:43" s="69" customFormat="1" x14ac:dyDescent="0.25">
      <c r="C216" s="79"/>
      <c r="E216" s="70"/>
      <c r="U216" s="71"/>
      <c r="V216" s="72"/>
      <c r="W216" s="72"/>
      <c r="X216" s="70"/>
      <c r="Y216" s="70"/>
      <c r="AA216" s="73"/>
      <c r="AB216" s="73"/>
      <c r="AC216" s="73"/>
      <c r="AD216" s="73"/>
      <c r="AE216" s="72"/>
      <c r="AF216" s="73"/>
      <c r="AH216" s="73"/>
      <c r="AI216" s="73"/>
      <c r="AJ216" s="73"/>
      <c r="AK216" s="73"/>
      <c r="AL216" s="73"/>
      <c r="AM216" s="73"/>
      <c r="AN216" s="73"/>
      <c r="AO216" s="73"/>
      <c r="AQ216" s="70"/>
    </row>
    <row r="217" spans="3:43" s="69" customFormat="1" x14ac:dyDescent="0.25">
      <c r="C217" s="79"/>
      <c r="E217" s="70"/>
      <c r="U217" s="71"/>
      <c r="V217" s="72"/>
      <c r="W217" s="72"/>
      <c r="X217" s="70"/>
      <c r="Y217" s="70"/>
      <c r="AA217" s="73"/>
      <c r="AB217" s="73"/>
      <c r="AC217" s="73"/>
      <c r="AD217" s="73"/>
      <c r="AE217" s="72"/>
      <c r="AF217" s="73"/>
      <c r="AH217" s="73"/>
      <c r="AI217" s="73"/>
      <c r="AJ217" s="73"/>
      <c r="AK217" s="73"/>
      <c r="AL217" s="73"/>
      <c r="AM217" s="73"/>
      <c r="AN217" s="73"/>
      <c r="AO217" s="73"/>
      <c r="AQ217" s="70"/>
    </row>
    <row r="218" spans="3:43" s="69" customFormat="1" x14ac:dyDescent="0.25">
      <c r="C218" s="79"/>
      <c r="E218" s="70"/>
      <c r="U218" s="71"/>
      <c r="V218" s="72"/>
      <c r="W218" s="72"/>
      <c r="X218" s="70"/>
      <c r="Y218" s="70"/>
      <c r="AA218" s="73"/>
      <c r="AB218" s="73"/>
      <c r="AC218" s="73"/>
      <c r="AD218" s="73"/>
      <c r="AE218" s="72"/>
      <c r="AF218" s="73"/>
      <c r="AH218" s="73"/>
      <c r="AI218" s="73"/>
      <c r="AJ218" s="73"/>
      <c r="AK218" s="73"/>
      <c r="AL218" s="73"/>
      <c r="AM218" s="73"/>
      <c r="AN218" s="73"/>
      <c r="AO218" s="73"/>
      <c r="AQ218" s="70"/>
    </row>
    <row r="219" spans="3:43" s="69" customFormat="1" x14ac:dyDescent="0.25">
      <c r="C219" s="79"/>
      <c r="E219" s="70"/>
      <c r="U219" s="71"/>
      <c r="V219" s="72"/>
      <c r="W219" s="72"/>
      <c r="X219" s="70"/>
      <c r="Y219" s="70"/>
      <c r="AA219" s="73"/>
      <c r="AB219" s="73"/>
      <c r="AC219" s="73"/>
      <c r="AD219" s="73"/>
      <c r="AE219" s="72"/>
      <c r="AF219" s="73"/>
      <c r="AH219" s="73"/>
      <c r="AI219" s="73"/>
      <c r="AJ219" s="73"/>
      <c r="AK219" s="73"/>
      <c r="AL219" s="73"/>
      <c r="AM219" s="73"/>
      <c r="AN219" s="73"/>
      <c r="AO219" s="73"/>
      <c r="AQ219" s="70"/>
    </row>
    <row r="220" spans="3:43" s="69" customFormat="1" x14ac:dyDescent="0.25">
      <c r="C220" s="79"/>
      <c r="E220" s="70"/>
      <c r="U220" s="71"/>
      <c r="V220" s="72"/>
      <c r="W220" s="72"/>
      <c r="X220" s="70"/>
      <c r="Y220" s="70"/>
      <c r="AA220" s="73"/>
      <c r="AB220" s="73"/>
      <c r="AC220" s="73"/>
      <c r="AD220" s="73"/>
      <c r="AE220" s="72"/>
      <c r="AF220" s="73"/>
      <c r="AH220" s="73"/>
      <c r="AI220" s="73"/>
      <c r="AJ220" s="73"/>
      <c r="AK220" s="73"/>
      <c r="AL220" s="73"/>
      <c r="AM220" s="73"/>
      <c r="AN220" s="73"/>
      <c r="AO220" s="73"/>
      <c r="AQ220" s="70"/>
    </row>
    <row r="221" spans="3:43" s="69" customFormat="1" x14ac:dyDescent="0.25">
      <c r="C221" s="79"/>
      <c r="E221" s="70"/>
      <c r="U221" s="71"/>
      <c r="V221" s="72"/>
      <c r="W221" s="72"/>
      <c r="X221" s="70"/>
      <c r="Y221" s="70"/>
      <c r="AA221" s="73"/>
      <c r="AB221" s="73"/>
      <c r="AC221" s="73"/>
      <c r="AD221" s="73"/>
      <c r="AE221" s="72"/>
      <c r="AF221" s="73"/>
      <c r="AH221" s="73"/>
      <c r="AI221" s="73"/>
      <c r="AJ221" s="73"/>
      <c r="AK221" s="73"/>
      <c r="AL221" s="73"/>
      <c r="AM221" s="73"/>
      <c r="AN221" s="73"/>
      <c r="AO221" s="73"/>
      <c r="AQ221" s="70"/>
    </row>
    <row r="222" spans="3:43" s="69" customFormat="1" x14ac:dyDescent="0.25">
      <c r="C222" s="79"/>
      <c r="E222" s="70"/>
      <c r="U222" s="71"/>
      <c r="V222" s="72"/>
      <c r="W222" s="72"/>
      <c r="X222" s="70"/>
      <c r="Y222" s="70"/>
      <c r="AA222" s="73"/>
      <c r="AB222" s="73"/>
      <c r="AC222" s="73"/>
      <c r="AD222" s="73"/>
      <c r="AE222" s="72"/>
      <c r="AF222" s="73"/>
      <c r="AH222" s="73"/>
      <c r="AI222" s="73"/>
      <c r="AJ222" s="73"/>
      <c r="AK222" s="73"/>
      <c r="AL222" s="73"/>
      <c r="AM222" s="73"/>
      <c r="AN222" s="73"/>
      <c r="AO222" s="73"/>
      <c r="AQ222" s="70"/>
    </row>
    <row r="223" spans="3:43" s="69" customFormat="1" x14ac:dyDescent="0.25">
      <c r="C223" s="79"/>
      <c r="E223" s="70"/>
      <c r="U223" s="71"/>
      <c r="V223" s="72"/>
      <c r="W223" s="72"/>
      <c r="X223" s="70"/>
      <c r="Y223" s="70"/>
      <c r="AA223" s="73"/>
      <c r="AB223" s="73"/>
      <c r="AC223" s="73"/>
      <c r="AD223" s="73"/>
      <c r="AE223" s="72"/>
      <c r="AF223" s="73"/>
      <c r="AH223" s="73"/>
      <c r="AI223" s="73"/>
      <c r="AJ223" s="73"/>
      <c r="AK223" s="73"/>
      <c r="AL223" s="73"/>
      <c r="AM223" s="73"/>
      <c r="AN223" s="73"/>
      <c r="AO223" s="73"/>
      <c r="AQ223" s="70"/>
    </row>
    <row r="224" spans="3:43" s="69" customFormat="1" x14ac:dyDescent="0.25">
      <c r="C224" s="79"/>
      <c r="E224" s="70"/>
      <c r="U224" s="71"/>
      <c r="V224" s="72"/>
      <c r="W224" s="72"/>
      <c r="X224" s="70"/>
      <c r="Y224" s="70"/>
      <c r="AA224" s="73"/>
      <c r="AB224" s="73"/>
      <c r="AC224" s="73"/>
      <c r="AD224" s="73"/>
      <c r="AE224" s="72"/>
      <c r="AF224" s="73"/>
      <c r="AH224" s="73"/>
      <c r="AI224" s="73"/>
      <c r="AJ224" s="73"/>
      <c r="AK224" s="73"/>
      <c r="AL224" s="73"/>
      <c r="AM224" s="73"/>
      <c r="AN224" s="73"/>
      <c r="AO224" s="73"/>
      <c r="AQ224" s="70"/>
    </row>
    <row r="225" spans="3:43" s="69" customFormat="1" x14ac:dyDescent="0.25">
      <c r="C225" s="79"/>
      <c r="E225" s="70"/>
      <c r="U225" s="71"/>
      <c r="V225" s="72"/>
      <c r="W225" s="72"/>
      <c r="X225" s="70"/>
      <c r="Y225" s="70"/>
      <c r="AA225" s="73"/>
      <c r="AB225" s="73"/>
      <c r="AC225" s="73"/>
      <c r="AD225" s="73"/>
      <c r="AE225" s="72"/>
      <c r="AF225" s="73"/>
      <c r="AH225" s="73"/>
      <c r="AI225" s="73"/>
      <c r="AJ225" s="73"/>
      <c r="AK225" s="73"/>
      <c r="AL225" s="73"/>
      <c r="AM225" s="73"/>
      <c r="AN225" s="73"/>
      <c r="AO225" s="73"/>
      <c r="AQ225" s="70"/>
    </row>
    <row r="226" spans="3:43" s="69" customFormat="1" x14ac:dyDescent="0.25">
      <c r="C226" s="79"/>
      <c r="E226" s="70"/>
      <c r="U226" s="71"/>
      <c r="V226" s="72"/>
      <c r="W226" s="72"/>
      <c r="X226" s="70"/>
      <c r="Y226" s="70"/>
      <c r="AA226" s="73"/>
      <c r="AB226" s="73"/>
      <c r="AC226" s="73"/>
      <c r="AD226" s="73"/>
      <c r="AE226" s="72"/>
      <c r="AF226" s="73"/>
      <c r="AH226" s="73"/>
      <c r="AI226" s="73"/>
      <c r="AJ226" s="73"/>
      <c r="AK226" s="73"/>
      <c r="AL226" s="73"/>
      <c r="AM226" s="73"/>
      <c r="AN226" s="73"/>
      <c r="AO226" s="73"/>
      <c r="AQ226" s="70"/>
    </row>
    <row r="227" spans="3:43" s="69" customFormat="1" x14ac:dyDescent="0.25">
      <c r="C227" s="79"/>
      <c r="E227" s="70"/>
      <c r="U227" s="71"/>
      <c r="V227" s="72"/>
      <c r="W227" s="72"/>
      <c r="X227" s="70"/>
      <c r="Y227" s="70"/>
      <c r="AA227" s="73"/>
      <c r="AB227" s="73"/>
      <c r="AC227" s="73"/>
      <c r="AD227" s="73"/>
      <c r="AE227" s="72"/>
      <c r="AF227" s="73"/>
      <c r="AH227" s="73"/>
      <c r="AI227" s="73"/>
      <c r="AJ227" s="73"/>
      <c r="AK227" s="73"/>
      <c r="AL227" s="73"/>
      <c r="AM227" s="73"/>
      <c r="AN227" s="73"/>
      <c r="AO227" s="73"/>
      <c r="AQ227" s="70"/>
    </row>
    <row r="228" spans="3:43" s="69" customFormat="1" x14ac:dyDescent="0.25">
      <c r="C228" s="79"/>
      <c r="E228" s="70"/>
      <c r="U228" s="71"/>
      <c r="V228" s="72"/>
      <c r="W228" s="72"/>
      <c r="X228" s="70"/>
      <c r="Y228" s="70"/>
      <c r="AA228" s="73"/>
      <c r="AB228" s="73"/>
      <c r="AC228" s="73"/>
      <c r="AD228" s="73"/>
      <c r="AE228" s="72"/>
      <c r="AF228" s="73"/>
      <c r="AH228" s="73"/>
      <c r="AI228" s="73"/>
      <c r="AJ228" s="73"/>
      <c r="AK228" s="73"/>
      <c r="AL228" s="73"/>
      <c r="AM228" s="73"/>
      <c r="AN228" s="73"/>
      <c r="AO228" s="73"/>
      <c r="AQ228" s="70"/>
    </row>
    <row r="229" spans="3:43" s="69" customFormat="1" x14ac:dyDescent="0.25">
      <c r="C229" s="79"/>
      <c r="E229" s="70"/>
      <c r="U229" s="71"/>
      <c r="V229" s="72"/>
      <c r="W229" s="72"/>
      <c r="X229" s="70"/>
      <c r="Y229" s="70"/>
      <c r="AA229" s="73"/>
      <c r="AB229" s="73"/>
      <c r="AC229" s="73"/>
      <c r="AD229" s="73"/>
      <c r="AE229" s="72"/>
      <c r="AF229" s="73"/>
      <c r="AH229" s="73"/>
      <c r="AI229" s="73"/>
      <c r="AJ229" s="73"/>
      <c r="AK229" s="73"/>
      <c r="AL229" s="73"/>
      <c r="AM229" s="73"/>
      <c r="AN229" s="73"/>
      <c r="AO229" s="73"/>
      <c r="AQ229" s="70"/>
    </row>
    <row r="230" spans="3:43" s="69" customFormat="1" x14ac:dyDescent="0.25">
      <c r="C230" s="79"/>
      <c r="E230" s="70"/>
      <c r="U230" s="71"/>
      <c r="V230" s="72"/>
      <c r="W230" s="72"/>
      <c r="X230" s="70"/>
      <c r="Y230" s="70"/>
      <c r="AA230" s="73"/>
      <c r="AB230" s="73"/>
      <c r="AC230" s="73"/>
      <c r="AD230" s="73"/>
      <c r="AE230" s="72"/>
      <c r="AF230" s="73"/>
      <c r="AH230" s="73"/>
      <c r="AI230" s="73"/>
      <c r="AJ230" s="73"/>
      <c r="AK230" s="73"/>
      <c r="AL230" s="73"/>
      <c r="AM230" s="73"/>
      <c r="AN230" s="73"/>
      <c r="AO230" s="73"/>
      <c r="AQ230" s="70"/>
    </row>
    <row r="231" spans="3:43" s="69" customFormat="1" x14ac:dyDescent="0.25">
      <c r="C231" s="79"/>
      <c r="E231" s="70"/>
      <c r="U231" s="71"/>
      <c r="V231" s="72"/>
      <c r="W231" s="72"/>
      <c r="X231" s="70"/>
      <c r="Y231" s="70"/>
      <c r="AA231" s="73"/>
      <c r="AB231" s="73"/>
      <c r="AC231" s="73"/>
      <c r="AD231" s="73"/>
      <c r="AE231" s="72"/>
      <c r="AF231" s="73"/>
      <c r="AH231" s="73"/>
      <c r="AI231" s="73"/>
      <c r="AJ231" s="73"/>
      <c r="AK231" s="73"/>
      <c r="AL231" s="73"/>
      <c r="AM231" s="73"/>
      <c r="AN231" s="73"/>
      <c r="AO231" s="73"/>
      <c r="AQ231" s="70"/>
    </row>
    <row r="232" spans="3:43" s="69" customFormat="1" x14ac:dyDescent="0.25">
      <c r="C232" s="79"/>
      <c r="E232" s="70"/>
      <c r="U232" s="71"/>
      <c r="V232" s="72"/>
      <c r="W232" s="72"/>
      <c r="X232" s="70"/>
      <c r="Y232" s="70"/>
      <c r="AA232" s="73"/>
      <c r="AB232" s="73"/>
      <c r="AC232" s="73"/>
      <c r="AD232" s="73"/>
      <c r="AE232" s="72"/>
      <c r="AF232" s="73"/>
      <c r="AH232" s="73"/>
      <c r="AI232" s="73"/>
      <c r="AJ232" s="73"/>
      <c r="AK232" s="73"/>
      <c r="AL232" s="73"/>
      <c r="AM232" s="73"/>
      <c r="AN232" s="73"/>
      <c r="AO232" s="73"/>
      <c r="AQ232" s="70"/>
    </row>
    <row r="233" spans="3:43" s="69" customFormat="1" x14ac:dyDescent="0.25">
      <c r="C233" s="79"/>
      <c r="E233" s="70"/>
      <c r="U233" s="71"/>
      <c r="V233" s="72"/>
      <c r="W233" s="72"/>
      <c r="X233" s="70"/>
      <c r="Y233" s="70"/>
      <c r="AA233" s="73"/>
      <c r="AB233" s="73"/>
      <c r="AC233" s="73"/>
      <c r="AD233" s="73"/>
      <c r="AE233" s="72"/>
      <c r="AF233" s="73"/>
      <c r="AH233" s="73"/>
      <c r="AI233" s="73"/>
      <c r="AJ233" s="73"/>
      <c r="AK233" s="73"/>
      <c r="AL233" s="73"/>
      <c r="AM233" s="73"/>
      <c r="AN233" s="73"/>
      <c r="AO233" s="73"/>
      <c r="AQ233" s="70"/>
    </row>
    <row r="234" spans="3:43" s="69" customFormat="1" x14ac:dyDescent="0.25">
      <c r="C234" s="79"/>
      <c r="E234" s="70"/>
      <c r="U234" s="71"/>
      <c r="V234" s="72"/>
      <c r="W234" s="72"/>
      <c r="X234" s="70"/>
      <c r="Y234" s="70"/>
      <c r="AA234" s="73"/>
      <c r="AB234" s="73"/>
      <c r="AC234" s="73"/>
      <c r="AD234" s="73"/>
      <c r="AE234" s="72"/>
      <c r="AF234" s="73"/>
      <c r="AH234" s="73"/>
      <c r="AI234" s="73"/>
      <c r="AJ234" s="73"/>
      <c r="AK234" s="73"/>
      <c r="AL234" s="73"/>
      <c r="AM234" s="73"/>
      <c r="AN234" s="73"/>
      <c r="AO234" s="73"/>
      <c r="AQ234" s="70"/>
    </row>
    <row r="235" spans="3:43" s="69" customFormat="1" x14ac:dyDescent="0.25">
      <c r="C235" s="79"/>
      <c r="E235" s="70"/>
      <c r="U235" s="71"/>
      <c r="V235" s="72"/>
      <c r="W235" s="72"/>
      <c r="X235" s="70"/>
      <c r="Y235" s="70"/>
      <c r="AA235" s="73"/>
      <c r="AB235" s="73"/>
      <c r="AC235" s="73"/>
      <c r="AD235" s="73"/>
      <c r="AE235" s="72"/>
      <c r="AF235" s="73"/>
      <c r="AH235" s="73"/>
      <c r="AI235" s="73"/>
      <c r="AJ235" s="73"/>
      <c r="AK235" s="73"/>
      <c r="AL235" s="73"/>
      <c r="AM235" s="73"/>
      <c r="AN235" s="73"/>
      <c r="AO235" s="73"/>
      <c r="AQ235" s="70"/>
    </row>
    <row r="236" spans="3:43" s="69" customFormat="1" x14ac:dyDescent="0.25">
      <c r="C236" s="79"/>
      <c r="E236" s="70"/>
      <c r="U236" s="71"/>
      <c r="V236" s="72"/>
      <c r="W236" s="72"/>
      <c r="X236" s="70"/>
      <c r="Y236" s="70"/>
      <c r="AA236" s="73"/>
      <c r="AB236" s="73"/>
      <c r="AC236" s="73"/>
      <c r="AD236" s="73"/>
      <c r="AE236" s="72"/>
      <c r="AF236" s="73"/>
      <c r="AH236" s="73"/>
      <c r="AI236" s="73"/>
      <c r="AJ236" s="73"/>
      <c r="AK236" s="73"/>
      <c r="AL236" s="73"/>
      <c r="AM236" s="73"/>
      <c r="AN236" s="73"/>
      <c r="AO236" s="73"/>
      <c r="AQ236" s="70"/>
    </row>
    <row r="237" spans="3:43" s="69" customFormat="1" x14ac:dyDescent="0.25">
      <c r="C237" s="79"/>
      <c r="E237" s="70"/>
      <c r="U237" s="71"/>
      <c r="V237" s="72"/>
      <c r="W237" s="72"/>
      <c r="X237" s="70"/>
      <c r="Y237" s="70"/>
      <c r="AA237" s="73"/>
      <c r="AB237" s="73"/>
      <c r="AC237" s="73"/>
      <c r="AD237" s="73"/>
      <c r="AE237" s="72"/>
      <c r="AF237" s="73"/>
      <c r="AH237" s="73"/>
      <c r="AI237" s="73"/>
      <c r="AJ237" s="73"/>
      <c r="AK237" s="73"/>
      <c r="AL237" s="73"/>
      <c r="AM237" s="73"/>
      <c r="AN237" s="73"/>
      <c r="AO237" s="73"/>
      <c r="AQ237" s="70"/>
    </row>
    <row r="238" spans="3:43" s="69" customFormat="1" x14ac:dyDescent="0.25">
      <c r="C238" s="79"/>
      <c r="E238" s="70"/>
      <c r="U238" s="71"/>
      <c r="V238" s="72"/>
      <c r="W238" s="72"/>
      <c r="X238" s="70"/>
      <c r="Y238" s="70"/>
      <c r="AA238" s="73"/>
      <c r="AB238" s="73"/>
      <c r="AC238" s="73"/>
      <c r="AD238" s="73"/>
      <c r="AE238" s="72"/>
      <c r="AF238" s="73"/>
      <c r="AH238" s="73"/>
      <c r="AI238" s="73"/>
      <c r="AJ238" s="73"/>
      <c r="AK238" s="73"/>
      <c r="AL238" s="73"/>
      <c r="AM238" s="73"/>
      <c r="AN238" s="73"/>
      <c r="AO238" s="73"/>
      <c r="AQ238" s="70"/>
    </row>
    <row r="239" spans="3:43" s="69" customFormat="1" x14ac:dyDescent="0.25">
      <c r="C239" s="79"/>
      <c r="E239" s="70"/>
      <c r="U239" s="71"/>
      <c r="V239" s="72"/>
      <c r="W239" s="72"/>
      <c r="X239" s="70"/>
      <c r="Y239" s="70"/>
      <c r="AA239" s="73"/>
      <c r="AB239" s="73"/>
      <c r="AC239" s="73"/>
      <c r="AD239" s="73"/>
      <c r="AE239" s="72"/>
      <c r="AF239" s="73"/>
      <c r="AH239" s="73"/>
      <c r="AI239" s="73"/>
      <c r="AJ239" s="73"/>
      <c r="AK239" s="73"/>
      <c r="AL239" s="73"/>
      <c r="AM239" s="73"/>
      <c r="AN239" s="73"/>
      <c r="AO239" s="73"/>
      <c r="AQ239" s="70"/>
    </row>
    <row r="240" spans="3:43" s="69" customFormat="1" x14ac:dyDescent="0.25">
      <c r="C240" s="79"/>
      <c r="E240" s="70"/>
      <c r="U240" s="71"/>
      <c r="V240" s="72"/>
      <c r="W240" s="72"/>
      <c r="X240" s="70"/>
      <c r="Y240" s="70"/>
      <c r="AA240" s="73"/>
      <c r="AB240" s="73"/>
      <c r="AC240" s="73"/>
      <c r="AD240" s="73"/>
      <c r="AE240" s="72"/>
      <c r="AF240" s="73"/>
      <c r="AH240" s="73"/>
      <c r="AI240" s="73"/>
      <c r="AJ240" s="73"/>
      <c r="AK240" s="73"/>
      <c r="AL240" s="73"/>
      <c r="AM240" s="73"/>
      <c r="AN240" s="73"/>
      <c r="AO240" s="73"/>
      <c r="AQ240" s="70"/>
    </row>
    <row r="241" spans="3:43" s="69" customFormat="1" x14ac:dyDescent="0.25">
      <c r="C241" s="79"/>
      <c r="E241" s="70"/>
      <c r="U241" s="71"/>
      <c r="V241" s="72"/>
      <c r="W241" s="72"/>
      <c r="X241" s="70"/>
      <c r="Y241" s="70"/>
      <c r="AA241" s="73"/>
      <c r="AB241" s="73"/>
      <c r="AC241" s="73"/>
      <c r="AD241" s="73"/>
      <c r="AE241" s="72"/>
      <c r="AF241" s="73"/>
      <c r="AH241" s="73"/>
      <c r="AI241" s="73"/>
      <c r="AJ241" s="73"/>
      <c r="AK241" s="73"/>
      <c r="AL241" s="73"/>
      <c r="AM241" s="73"/>
      <c r="AN241" s="73"/>
      <c r="AO241" s="73"/>
      <c r="AQ241" s="70"/>
    </row>
    <row r="242" spans="3:43" s="69" customFormat="1" x14ac:dyDescent="0.25">
      <c r="C242" s="79"/>
      <c r="E242" s="70"/>
      <c r="U242" s="71"/>
      <c r="V242" s="72"/>
      <c r="W242" s="72"/>
      <c r="X242" s="70"/>
      <c r="Y242" s="70"/>
      <c r="AA242" s="73"/>
      <c r="AB242" s="73"/>
      <c r="AC242" s="73"/>
      <c r="AD242" s="73"/>
      <c r="AE242" s="72"/>
      <c r="AF242" s="73"/>
      <c r="AH242" s="73"/>
      <c r="AI242" s="73"/>
      <c r="AJ242" s="73"/>
      <c r="AK242" s="73"/>
      <c r="AL242" s="73"/>
      <c r="AM242" s="73"/>
      <c r="AN242" s="73"/>
      <c r="AO242" s="73"/>
      <c r="AQ242" s="70"/>
    </row>
    <row r="243" spans="3:43" s="69" customFormat="1" x14ac:dyDescent="0.25">
      <c r="C243" s="79"/>
      <c r="E243" s="70"/>
      <c r="U243" s="71"/>
      <c r="V243" s="72"/>
      <c r="W243" s="72"/>
      <c r="X243" s="70"/>
      <c r="Y243" s="70"/>
      <c r="AA243" s="73"/>
      <c r="AB243" s="73"/>
      <c r="AC243" s="73"/>
      <c r="AD243" s="73"/>
      <c r="AE243" s="72"/>
      <c r="AF243" s="73"/>
      <c r="AH243" s="73"/>
      <c r="AI243" s="73"/>
      <c r="AJ243" s="73"/>
      <c r="AK243" s="73"/>
      <c r="AL243" s="73"/>
      <c r="AM243" s="73"/>
      <c r="AN243" s="73"/>
      <c r="AO243" s="73"/>
      <c r="AQ243" s="70"/>
    </row>
    <row r="244" spans="3:43" s="69" customFormat="1" x14ac:dyDescent="0.25">
      <c r="C244" s="79"/>
      <c r="E244" s="70"/>
      <c r="U244" s="71"/>
      <c r="V244" s="72"/>
      <c r="W244" s="72"/>
      <c r="X244" s="70"/>
      <c r="Y244" s="70"/>
      <c r="AA244" s="73"/>
      <c r="AB244" s="73"/>
      <c r="AC244" s="73"/>
      <c r="AD244" s="73"/>
      <c r="AE244" s="72"/>
      <c r="AF244" s="73"/>
      <c r="AH244" s="73"/>
      <c r="AI244" s="73"/>
      <c r="AJ244" s="73"/>
      <c r="AK244" s="73"/>
      <c r="AL244" s="73"/>
      <c r="AM244" s="73"/>
      <c r="AN244" s="73"/>
      <c r="AO244" s="73"/>
      <c r="AQ244" s="70"/>
    </row>
    <row r="245" spans="3:43" s="69" customFormat="1" x14ac:dyDescent="0.25">
      <c r="C245" s="79"/>
      <c r="E245" s="70"/>
      <c r="U245" s="71"/>
      <c r="V245" s="72"/>
      <c r="W245" s="72"/>
      <c r="X245" s="70"/>
      <c r="Y245" s="70"/>
      <c r="AA245" s="73"/>
      <c r="AB245" s="73"/>
      <c r="AC245" s="73"/>
      <c r="AD245" s="73"/>
      <c r="AE245" s="72"/>
      <c r="AF245" s="73"/>
      <c r="AH245" s="73"/>
      <c r="AI245" s="73"/>
      <c r="AJ245" s="73"/>
      <c r="AK245" s="73"/>
      <c r="AL245" s="73"/>
      <c r="AM245" s="73"/>
      <c r="AN245" s="73"/>
      <c r="AO245" s="73"/>
      <c r="AQ245" s="70"/>
    </row>
    <row r="246" spans="3:43" s="69" customFormat="1" x14ac:dyDescent="0.25">
      <c r="C246" s="79"/>
      <c r="E246" s="70"/>
      <c r="U246" s="71"/>
      <c r="V246" s="72"/>
      <c r="W246" s="72"/>
      <c r="X246" s="70"/>
      <c r="Y246" s="70"/>
      <c r="AA246" s="73"/>
      <c r="AB246" s="73"/>
      <c r="AC246" s="73"/>
      <c r="AD246" s="73"/>
      <c r="AE246" s="72"/>
      <c r="AF246" s="73"/>
      <c r="AH246" s="73"/>
      <c r="AI246" s="73"/>
      <c r="AJ246" s="73"/>
      <c r="AK246" s="73"/>
      <c r="AL246" s="73"/>
      <c r="AM246" s="73"/>
      <c r="AN246" s="73"/>
      <c r="AO246" s="73"/>
      <c r="AQ246" s="70"/>
    </row>
    <row r="247" spans="3:43" s="69" customFormat="1" x14ac:dyDescent="0.25">
      <c r="C247" s="79"/>
      <c r="E247" s="70"/>
      <c r="U247" s="71"/>
      <c r="V247" s="72"/>
      <c r="W247" s="72"/>
      <c r="X247" s="70"/>
      <c r="Y247" s="70"/>
      <c r="AA247" s="73"/>
      <c r="AB247" s="73"/>
      <c r="AC247" s="73"/>
      <c r="AD247" s="73"/>
      <c r="AE247" s="72"/>
      <c r="AF247" s="73"/>
      <c r="AH247" s="73"/>
      <c r="AI247" s="73"/>
      <c r="AJ247" s="73"/>
      <c r="AK247" s="73"/>
      <c r="AL247" s="73"/>
      <c r="AM247" s="73"/>
      <c r="AN247" s="73"/>
      <c r="AO247" s="73"/>
      <c r="AQ247" s="70"/>
    </row>
    <row r="248" spans="3:43" s="69" customFormat="1" x14ac:dyDescent="0.25">
      <c r="C248" s="79"/>
      <c r="E248" s="70"/>
      <c r="U248" s="71"/>
      <c r="V248" s="72"/>
      <c r="W248" s="72"/>
      <c r="X248" s="70"/>
      <c r="Y248" s="70"/>
      <c r="AA248" s="73"/>
      <c r="AB248" s="73"/>
      <c r="AC248" s="73"/>
      <c r="AD248" s="73"/>
      <c r="AE248" s="72"/>
      <c r="AF248" s="73"/>
      <c r="AH248" s="73"/>
      <c r="AI248" s="73"/>
      <c r="AJ248" s="73"/>
      <c r="AK248" s="73"/>
      <c r="AL248" s="73"/>
      <c r="AM248" s="73"/>
      <c r="AN248" s="73"/>
      <c r="AO248" s="73"/>
      <c r="AQ248" s="70"/>
    </row>
    <row r="249" spans="3:43" s="69" customFormat="1" x14ac:dyDescent="0.25">
      <c r="C249" s="79"/>
      <c r="E249" s="70"/>
      <c r="U249" s="71"/>
      <c r="V249" s="72"/>
      <c r="W249" s="72"/>
      <c r="X249" s="70"/>
      <c r="Y249" s="70"/>
      <c r="AA249" s="73"/>
      <c r="AB249" s="73"/>
      <c r="AC249" s="73"/>
      <c r="AD249" s="73"/>
      <c r="AE249" s="72"/>
      <c r="AF249" s="73"/>
      <c r="AH249" s="73"/>
      <c r="AI249" s="73"/>
      <c r="AJ249" s="73"/>
      <c r="AK249" s="73"/>
      <c r="AL249" s="73"/>
      <c r="AM249" s="73"/>
      <c r="AN249" s="73"/>
      <c r="AO249" s="73"/>
      <c r="AQ249" s="70"/>
    </row>
    <row r="250" spans="3:43" s="69" customFormat="1" x14ac:dyDescent="0.25">
      <c r="C250" s="79"/>
      <c r="E250" s="70"/>
      <c r="U250" s="71"/>
      <c r="V250" s="72"/>
      <c r="W250" s="72"/>
      <c r="X250" s="70"/>
      <c r="Y250" s="70"/>
      <c r="AA250" s="73"/>
      <c r="AB250" s="73"/>
      <c r="AC250" s="73"/>
      <c r="AD250" s="73"/>
      <c r="AE250" s="72"/>
      <c r="AF250" s="73"/>
      <c r="AH250" s="73"/>
      <c r="AI250" s="73"/>
      <c r="AJ250" s="73"/>
      <c r="AK250" s="73"/>
      <c r="AL250" s="73"/>
      <c r="AM250" s="73"/>
      <c r="AN250" s="73"/>
      <c r="AO250" s="73"/>
      <c r="AQ250" s="70"/>
    </row>
    <row r="251" spans="3:43" s="69" customFormat="1" x14ac:dyDescent="0.25">
      <c r="C251" s="79"/>
      <c r="E251" s="70"/>
      <c r="U251" s="71"/>
      <c r="V251" s="72"/>
      <c r="W251" s="72"/>
      <c r="X251" s="70"/>
      <c r="Y251" s="70"/>
      <c r="AA251" s="73"/>
      <c r="AB251" s="73"/>
      <c r="AC251" s="73"/>
      <c r="AD251" s="73"/>
      <c r="AE251" s="72"/>
      <c r="AF251" s="73"/>
      <c r="AH251" s="73"/>
      <c r="AI251" s="73"/>
      <c r="AJ251" s="73"/>
      <c r="AK251" s="73"/>
      <c r="AL251" s="73"/>
      <c r="AM251" s="73"/>
      <c r="AN251" s="73"/>
      <c r="AO251" s="73"/>
      <c r="AQ251" s="70"/>
    </row>
    <row r="252" spans="3:43" s="69" customFormat="1" x14ac:dyDescent="0.25">
      <c r="C252" s="79"/>
      <c r="E252" s="70"/>
      <c r="U252" s="71"/>
      <c r="V252" s="72"/>
      <c r="W252" s="72"/>
      <c r="X252" s="70"/>
      <c r="Y252" s="70"/>
      <c r="AA252" s="73"/>
      <c r="AB252" s="73"/>
      <c r="AC252" s="73"/>
      <c r="AD252" s="73"/>
      <c r="AE252" s="72"/>
      <c r="AF252" s="73"/>
      <c r="AH252" s="73"/>
      <c r="AI252" s="73"/>
      <c r="AJ252" s="73"/>
      <c r="AK252" s="73"/>
      <c r="AL252" s="73"/>
      <c r="AM252" s="73"/>
      <c r="AN252" s="73"/>
      <c r="AO252" s="73"/>
      <c r="AQ252" s="70"/>
    </row>
    <row r="253" spans="3:43" s="69" customFormat="1" x14ac:dyDescent="0.25">
      <c r="C253" s="79"/>
      <c r="E253" s="70"/>
      <c r="U253" s="71"/>
      <c r="V253" s="72"/>
      <c r="W253" s="72"/>
      <c r="X253" s="70"/>
      <c r="Y253" s="70"/>
      <c r="AA253" s="73"/>
      <c r="AB253" s="73"/>
      <c r="AC253" s="73"/>
      <c r="AD253" s="73"/>
      <c r="AE253" s="72"/>
      <c r="AF253" s="73"/>
      <c r="AH253" s="73"/>
      <c r="AI253" s="73"/>
      <c r="AJ253" s="73"/>
      <c r="AK253" s="73"/>
      <c r="AL253" s="73"/>
      <c r="AM253" s="73"/>
      <c r="AN253" s="73"/>
      <c r="AO253" s="73"/>
      <c r="AQ253" s="70"/>
    </row>
    <row r="254" spans="3:43" s="69" customFormat="1" x14ac:dyDescent="0.25">
      <c r="C254" s="79"/>
      <c r="E254" s="70"/>
      <c r="U254" s="71"/>
      <c r="V254" s="72"/>
      <c r="W254" s="72"/>
      <c r="X254" s="70"/>
      <c r="Y254" s="70"/>
      <c r="AA254" s="73"/>
      <c r="AB254" s="73"/>
      <c r="AC254" s="73"/>
      <c r="AD254" s="73"/>
      <c r="AE254" s="72"/>
      <c r="AF254" s="73"/>
      <c r="AH254" s="73"/>
      <c r="AI254" s="73"/>
      <c r="AJ254" s="73"/>
      <c r="AK254" s="73"/>
      <c r="AL254" s="73"/>
      <c r="AM254" s="73"/>
      <c r="AN254" s="73"/>
      <c r="AO254" s="73"/>
      <c r="AQ254" s="70"/>
    </row>
    <row r="255" spans="3:43" s="69" customFormat="1" x14ac:dyDescent="0.25">
      <c r="C255" s="79"/>
      <c r="E255" s="70"/>
      <c r="U255" s="71"/>
      <c r="V255" s="72"/>
      <c r="W255" s="72"/>
      <c r="X255" s="70"/>
      <c r="Y255" s="70"/>
      <c r="AA255" s="73"/>
      <c r="AB255" s="73"/>
      <c r="AC255" s="73"/>
      <c r="AD255" s="73"/>
      <c r="AE255" s="72"/>
      <c r="AF255" s="73"/>
      <c r="AH255" s="73"/>
      <c r="AI255" s="73"/>
      <c r="AJ255" s="73"/>
      <c r="AK255" s="73"/>
      <c r="AL255" s="73"/>
      <c r="AM255" s="73"/>
      <c r="AN255" s="73"/>
      <c r="AO255" s="73"/>
      <c r="AQ255" s="70"/>
    </row>
    <row r="256" spans="3:43" s="69" customFormat="1" x14ac:dyDescent="0.25">
      <c r="C256" s="79"/>
      <c r="E256" s="70"/>
      <c r="U256" s="71"/>
      <c r="V256" s="72"/>
      <c r="W256" s="72"/>
      <c r="X256" s="70"/>
      <c r="Y256" s="70"/>
      <c r="AA256" s="73"/>
      <c r="AB256" s="73"/>
      <c r="AC256" s="73"/>
      <c r="AD256" s="73"/>
      <c r="AE256" s="72"/>
      <c r="AF256" s="73"/>
      <c r="AH256" s="73"/>
      <c r="AI256" s="73"/>
      <c r="AJ256" s="73"/>
      <c r="AK256" s="73"/>
      <c r="AL256" s="73"/>
      <c r="AM256" s="73"/>
      <c r="AN256" s="73"/>
      <c r="AO256" s="73"/>
      <c r="AQ256" s="70"/>
    </row>
    <row r="257" spans="3:43" s="69" customFormat="1" x14ac:dyDescent="0.25">
      <c r="C257" s="79"/>
      <c r="E257" s="70"/>
      <c r="U257" s="71"/>
      <c r="V257" s="72"/>
      <c r="W257" s="72"/>
      <c r="X257" s="70"/>
      <c r="Y257" s="70"/>
      <c r="AA257" s="73"/>
      <c r="AB257" s="73"/>
      <c r="AC257" s="73"/>
      <c r="AD257" s="73"/>
      <c r="AE257" s="72"/>
      <c r="AF257" s="73"/>
      <c r="AH257" s="73"/>
      <c r="AI257" s="73"/>
      <c r="AJ257" s="73"/>
      <c r="AK257" s="73"/>
      <c r="AL257" s="73"/>
      <c r="AM257" s="73"/>
      <c r="AN257" s="73"/>
      <c r="AO257" s="73"/>
      <c r="AQ257" s="70"/>
    </row>
    <row r="258" spans="3:43" s="69" customFormat="1" x14ac:dyDescent="0.25">
      <c r="C258" s="79"/>
      <c r="E258" s="70"/>
      <c r="U258" s="71"/>
      <c r="V258" s="72"/>
      <c r="W258" s="72"/>
      <c r="X258" s="70"/>
      <c r="Y258" s="70"/>
      <c r="AA258" s="73"/>
      <c r="AB258" s="73"/>
      <c r="AC258" s="73"/>
      <c r="AD258" s="73"/>
      <c r="AE258" s="72"/>
      <c r="AF258" s="73"/>
      <c r="AH258" s="73"/>
      <c r="AI258" s="73"/>
      <c r="AJ258" s="73"/>
      <c r="AK258" s="73"/>
      <c r="AL258" s="73"/>
      <c r="AM258" s="73"/>
      <c r="AN258" s="73"/>
      <c r="AO258" s="73"/>
      <c r="AQ258" s="70"/>
    </row>
    <row r="259" spans="3:43" s="69" customFormat="1" x14ac:dyDescent="0.25">
      <c r="C259" s="79"/>
      <c r="E259" s="70"/>
      <c r="U259" s="71"/>
      <c r="V259" s="72"/>
      <c r="W259" s="72"/>
      <c r="X259" s="70"/>
      <c r="Y259" s="70"/>
      <c r="AA259" s="73"/>
      <c r="AB259" s="73"/>
      <c r="AC259" s="73"/>
      <c r="AD259" s="73"/>
      <c r="AE259" s="72"/>
      <c r="AF259" s="73"/>
      <c r="AH259" s="73"/>
      <c r="AI259" s="73"/>
      <c r="AJ259" s="73"/>
      <c r="AK259" s="73"/>
      <c r="AL259" s="73"/>
      <c r="AM259" s="73"/>
      <c r="AN259" s="73"/>
      <c r="AO259" s="73"/>
      <c r="AQ259" s="70"/>
    </row>
    <row r="260" spans="3:43" s="69" customFormat="1" x14ac:dyDescent="0.25">
      <c r="C260" s="79"/>
      <c r="E260" s="70"/>
      <c r="U260" s="71"/>
      <c r="V260" s="72"/>
      <c r="W260" s="72"/>
      <c r="X260" s="70"/>
      <c r="Y260" s="70"/>
      <c r="AA260" s="73"/>
      <c r="AB260" s="73"/>
      <c r="AC260" s="73"/>
      <c r="AD260" s="73"/>
      <c r="AE260" s="72"/>
      <c r="AF260" s="73"/>
      <c r="AH260" s="73"/>
      <c r="AI260" s="73"/>
      <c r="AJ260" s="73"/>
      <c r="AK260" s="73"/>
      <c r="AL260" s="73"/>
      <c r="AM260" s="73"/>
      <c r="AN260" s="73"/>
      <c r="AO260" s="73"/>
      <c r="AQ260" s="70"/>
    </row>
    <row r="261" spans="3:43" s="69" customFormat="1" x14ac:dyDescent="0.25">
      <c r="C261" s="79"/>
      <c r="E261" s="70"/>
      <c r="U261" s="71"/>
      <c r="V261" s="72"/>
      <c r="W261" s="72"/>
      <c r="X261" s="70"/>
      <c r="Y261" s="70"/>
      <c r="AA261" s="73"/>
      <c r="AB261" s="73"/>
      <c r="AC261" s="73"/>
      <c r="AD261" s="73"/>
      <c r="AE261" s="72"/>
      <c r="AF261" s="73"/>
      <c r="AH261" s="73"/>
      <c r="AI261" s="73"/>
      <c r="AJ261" s="73"/>
      <c r="AK261" s="73"/>
      <c r="AL261" s="73"/>
      <c r="AM261" s="73"/>
      <c r="AN261" s="73"/>
      <c r="AO261" s="73"/>
      <c r="AQ261" s="70"/>
    </row>
    <row r="262" spans="3:43" s="69" customFormat="1" x14ac:dyDescent="0.25">
      <c r="C262" s="79"/>
      <c r="E262" s="70"/>
      <c r="U262" s="71"/>
      <c r="V262" s="72"/>
      <c r="W262" s="72"/>
      <c r="X262" s="70"/>
      <c r="Y262" s="70"/>
      <c r="AA262" s="73"/>
      <c r="AB262" s="73"/>
      <c r="AC262" s="73"/>
      <c r="AD262" s="73"/>
      <c r="AE262" s="72"/>
      <c r="AF262" s="73"/>
      <c r="AH262" s="73"/>
      <c r="AI262" s="73"/>
      <c r="AJ262" s="73"/>
      <c r="AK262" s="73"/>
      <c r="AL262" s="73"/>
      <c r="AM262" s="73"/>
      <c r="AN262" s="73"/>
      <c r="AO262" s="73"/>
      <c r="AQ262" s="70"/>
    </row>
    <row r="263" spans="3:43" s="69" customFormat="1" x14ac:dyDescent="0.25">
      <c r="C263" s="79"/>
      <c r="E263" s="70"/>
      <c r="U263" s="71"/>
      <c r="V263" s="72"/>
      <c r="W263" s="72"/>
      <c r="X263" s="70"/>
      <c r="Y263" s="70"/>
      <c r="AA263" s="73"/>
      <c r="AB263" s="73"/>
      <c r="AC263" s="73"/>
      <c r="AD263" s="73"/>
      <c r="AE263" s="72"/>
      <c r="AF263" s="73"/>
      <c r="AH263" s="73"/>
      <c r="AI263" s="73"/>
      <c r="AJ263" s="73"/>
      <c r="AK263" s="73"/>
      <c r="AL263" s="73"/>
      <c r="AM263" s="73"/>
      <c r="AN263" s="73"/>
      <c r="AO263" s="73"/>
      <c r="AQ263" s="70"/>
    </row>
    <row r="264" spans="3:43" s="69" customFormat="1" x14ac:dyDescent="0.25">
      <c r="C264" s="79"/>
      <c r="E264" s="70"/>
      <c r="U264" s="71"/>
      <c r="V264" s="72"/>
      <c r="W264" s="72"/>
      <c r="X264" s="70"/>
      <c r="Y264" s="70"/>
      <c r="AA264" s="73"/>
      <c r="AB264" s="73"/>
      <c r="AC264" s="73"/>
      <c r="AD264" s="73"/>
      <c r="AE264" s="72"/>
      <c r="AF264" s="73"/>
      <c r="AH264" s="73"/>
      <c r="AI264" s="73"/>
      <c r="AJ264" s="73"/>
      <c r="AK264" s="73"/>
      <c r="AL264" s="73"/>
      <c r="AM264" s="73"/>
      <c r="AN264" s="73"/>
      <c r="AO264" s="73"/>
      <c r="AQ264" s="70"/>
    </row>
    <row r="265" spans="3:43" s="69" customFormat="1" x14ac:dyDescent="0.25">
      <c r="C265" s="79"/>
      <c r="E265" s="70"/>
      <c r="U265" s="71"/>
      <c r="V265" s="72"/>
      <c r="W265" s="72"/>
      <c r="X265" s="70"/>
      <c r="Y265" s="70"/>
      <c r="AA265" s="73"/>
      <c r="AB265" s="73"/>
      <c r="AC265" s="73"/>
      <c r="AD265" s="73"/>
      <c r="AE265" s="72"/>
      <c r="AF265" s="73"/>
      <c r="AH265" s="73"/>
      <c r="AI265" s="73"/>
      <c r="AJ265" s="73"/>
      <c r="AK265" s="73"/>
      <c r="AL265" s="73"/>
      <c r="AM265" s="73"/>
      <c r="AN265" s="73"/>
      <c r="AO265" s="73"/>
      <c r="AQ265" s="70"/>
    </row>
    <row r="266" spans="3:43" s="69" customFormat="1" x14ac:dyDescent="0.25">
      <c r="C266" s="79"/>
      <c r="E266" s="70"/>
      <c r="U266" s="71"/>
      <c r="V266" s="72"/>
      <c r="W266" s="72"/>
      <c r="X266" s="70"/>
      <c r="Y266" s="70"/>
      <c r="AA266" s="73"/>
      <c r="AB266" s="73"/>
      <c r="AC266" s="73"/>
      <c r="AD266" s="73"/>
      <c r="AE266" s="72"/>
      <c r="AF266" s="73"/>
      <c r="AH266" s="73"/>
      <c r="AI266" s="73"/>
      <c r="AJ266" s="73"/>
      <c r="AK266" s="73"/>
      <c r="AL266" s="73"/>
      <c r="AM266" s="73"/>
      <c r="AN266" s="73"/>
      <c r="AO266" s="73"/>
      <c r="AQ266" s="70"/>
    </row>
    <row r="267" spans="3:43" s="69" customFormat="1" x14ac:dyDescent="0.25">
      <c r="C267" s="79"/>
      <c r="E267" s="70"/>
      <c r="U267" s="71"/>
      <c r="V267" s="72"/>
      <c r="W267" s="72"/>
      <c r="X267" s="70"/>
      <c r="Y267" s="70"/>
      <c r="AA267" s="73"/>
      <c r="AB267" s="73"/>
      <c r="AC267" s="73"/>
      <c r="AD267" s="73"/>
      <c r="AE267" s="72"/>
      <c r="AF267" s="73"/>
      <c r="AH267" s="73"/>
      <c r="AI267" s="73"/>
      <c r="AJ267" s="73"/>
      <c r="AK267" s="73"/>
      <c r="AL267" s="73"/>
      <c r="AM267" s="73"/>
      <c r="AN267" s="73"/>
      <c r="AO267" s="73"/>
      <c r="AQ267" s="70"/>
    </row>
    <row r="268" spans="3:43" s="69" customFormat="1" x14ac:dyDescent="0.25">
      <c r="C268" s="79"/>
      <c r="E268" s="70"/>
      <c r="U268" s="71"/>
      <c r="V268" s="72"/>
      <c r="W268" s="72"/>
      <c r="X268" s="70"/>
      <c r="Y268" s="70"/>
      <c r="AA268" s="73"/>
      <c r="AB268" s="73"/>
      <c r="AC268" s="73"/>
      <c r="AD268" s="73"/>
      <c r="AE268" s="72"/>
      <c r="AF268" s="73"/>
      <c r="AH268" s="73"/>
      <c r="AI268" s="73"/>
      <c r="AJ268" s="73"/>
      <c r="AK268" s="73"/>
      <c r="AL268" s="73"/>
      <c r="AM268" s="73"/>
      <c r="AN268" s="73"/>
      <c r="AO268" s="73"/>
      <c r="AQ268" s="70"/>
    </row>
    <row r="269" spans="3:43" s="69" customFormat="1" x14ac:dyDescent="0.25">
      <c r="C269" s="79"/>
      <c r="E269" s="70"/>
      <c r="U269" s="71"/>
      <c r="V269" s="72"/>
      <c r="W269" s="72"/>
      <c r="X269" s="70"/>
      <c r="Y269" s="70"/>
      <c r="AA269" s="73"/>
      <c r="AB269" s="73"/>
      <c r="AC269" s="73"/>
      <c r="AD269" s="73"/>
      <c r="AE269" s="72"/>
      <c r="AF269" s="73"/>
      <c r="AH269" s="73"/>
      <c r="AI269" s="73"/>
      <c r="AJ269" s="73"/>
      <c r="AK269" s="73"/>
      <c r="AL269" s="73"/>
      <c r="AM269" s="73"/>
      <c r="AN269" s="73"/>
      <c r="AO269" s="73"/>
      <c r="AQ269" s="70"/>
    </row>
    <row r="270" spans="3:43" s="69" customFormat="1" x14ac:dyDescent="0.25">
      <c r="C270" s="79"/>
      <c r="E270" s="70"/>
      <c r="U270" s="71"/>
      <c r="V270" s="72"/>
      <c r="W270" s="72"/>
      <c r="X270" s="70"/>
      <c r="Y270" s="70"/>
      <c r="AA270" s="73"/>
      <c r="AB270" s="73"/>
      <c r="AC270" s="73"/>
      <c r="AD270" s="73"/>
      <c r="AE270" s="72"/>
      <c r="AF270" s="73"/>
      <c r="AH270" s="73"/>
      <c r="AI270" s="73"/>
      <c r="AJ270" s="73"/>
      <c r="AK270" s="73"/>
      <c r="AL270" s="73"/>
      <c r="AM270" s="73"/>
      <c r="AN270" s="73"/>
      <c r="AO270" s="73"/>
      <c r="AQ270" s="70"/>
    </row>
    <row r="271" spans="3:43" s="69" customFormat="1" x14ac:dyDescent="0.25">
      <c r="C271" s="79"/>
      <c r="E271" s="70"/>
      <c r="U271" s="71"/>
      <c r="V271" s="72"/>
      <c r="W271" s="72"/>
      <c r="X271" s="70"/>
      <c r="Y271" s="70"/>
      <c r="AA271" s="73"/>
      <c r="AB271" s="73"/>
      <c r="AC271" s="73"/>
      <c r="AD271" s="73"/>
      <c r="AE271" s="72"/>
      <c r="AF271" s="73"/>
      <c r="AH271" s="73"/>
      <c r="AI271" s="73"/>
      <c r="AJ271" s="73"/>
      <c r="AK271" s="73"/>
      <c r="AL271" s="73"/>
      <c r="AM271" s="73"/>
      <c r="AN271" s="73"/>
      <c r="AO271" s="73"/>
      <c r="AQ271" s="70"/>
    </row>
    <row r="272" spans="3:43" s="69" customFormat="1" x14ac:dyDescent="0.25">
      <c r="C272" s="79"/>
      <c r="E272" s="70"/>
      <c r="U272" s="71"/>
      <c r="V272" s="72"/>
      <c r="W272" s="72"/>
      <c r="X272" s="70"/>
      <c r="Y272" s="70"/>
      <c r="AA272" s="73"/>
      <c r="AB272" s="73"/>
      <c r="AC272" s="73"/>
      <c r="AD272" s="73"/>
      <c r="AE272" s="72"/>
      <c r="AF272" s="73"/>
      <c r="AH272" s="73"/>
      <c r="AI272" s="73"/>
      <c r="AJ272" s="73"/>
      <c r="AK272" s="73"/>
      <c r="AL272" s="73"/>
      <c r="AM272" s="73"/>
      <c r="AN272" s="73"/>
      <c r="AO272" s="73"/>
      <c r="AQ272" s="70"/>
    </row>
    <row r="273" spans="3:43" s="69" customFormat="1" x14ac:dyDescent="0.25">
      <c r="C273" s="79"/>
      <c r="E273" s="70"/>
      <c r="U273" s="71"/>
      <c r="V273" s="72"/>
      <c r="W273" s="72"/>
      <c r="X273" s="70"/>
      <c r="Y273" s="70"/>
      <c r="AA273" s="73"/>
      <c r="AB273" s="73"/>
      <c r="AC273" s="73"/>
      <c r="AD273" s="73"/>
      <c r="AE273" s="72"/>
      <c r="AF273" s="73"/>
      <c r="AH273" s="73"/>
      <c r="AI273" s="73"/>
      <c r="AJ273" s="73"/>
      <c r="AK273" s="73"/>
      <c r="AL273" s="73"/>
      <c r="AM273" s="73"/>
      <c r="AN273" s="73"/>
      <c r="AO273" s="73"/>
      <c r="AQ273" s="70"/>
    </row>
    <row r="274" spans="3:43" s="69" customFormat="1" x14ac:dyDescent="0.25">
      <c r="C274" s="79"/>
      <c r="E274" s="70"/>
      <c r="U274" s="71"/>
      <c r="V274" s="72"/>
      <c r="W274" s="72"/>
      <c r="X274" s="70"/>
      <c r="Y274" s="70"/>
      <c r="AA274" s="73"/>
      <c r="AB274" s="73"/>
      <c r="AC274" s="73"/>
      <c r="AD274" s="73"/>
      <c r="AE274" s="72"/>
      <c r="AF274" s="73"/>
      <c r="AH274" s="73"/>
      <c r="AI274" s="73"/>
      <c r="AJ274" s="73"/>
      <c r="AK274" s="73"/>
      <c r="AL274" s="73"/>
      <c r="AM274" s="73"/>
      <c r="AN274" s="73"/>
      <c r="AO274" s="73"/>
      <c r="AQ274" s="70"/>
    </row>
    <row r="275" spans="3:43" s="69" customFormat="1" x14ac:dyDescent="0.25">
      <c r="C275" s="79"/>
      <c r="E275" s="70"/>
      <c r="U275" s="71"/>
      <c r="V275" s="72"/>
      <c r="W275" s="72"/>
      <c r="X275" s="70"/>
      <c r="Y275" s="70"/>
      <c r="AA275" s="73"/>
      <c r="AB275" s="73"/>
      <c r="AC275" s="73"/>
      <c r="AD275" s="73"/>
      <c r="AE275" s="72"/>
      <c r="AF275" s="73"/>
      <c r="AH275" s="73"/>
      <c r="AI275" s="73"/>
      <c r="AJ275" s="73"/>
      <c r="AK275" s="73"/>
      <c r="AL275" s="73"/>
      <c r="AM275" s="73"/>
      <c r="AN275" s="73"/>
      <c r="AO275" s="73"/>
      <c r="AQ275" s="70"/>
    </row>
    <row r="276" spans="3:43" s="69" customFormat="1" x14ac:dyDescent="0.25">
      <c r="C276" s="79"/>
      <c r="E276" s="70"/>
      <c r="U276" s="71"/>
      <c r="V276" s="72"/>
      <c r="W276" s="72"/>
      <c r="X276" s="70"/>
      <c r="Y276" s="70"/>
      <c r="AA276" s="73"/>
      <c r="AB276" s="73"/>
      <c r="AC276" s="73"/>
      <c r="AD276" s="73"/>
      <c r="AE276" s="72"/>
      <c r="AF276" s="73"/>
      <c r="AH276" s="73"/>
      <c r="AI276" s="73"/>
      <c r="AJ276" s="73"/>
      <c r="AK276" s="73"/>
      <c r="AL276" s="73"/>
      <c r="AM276" s="73"/>
      <c r="AN276" s="73"/>
      <c r="AO276" s="73"/>
      <c r="AQ276" s="70"/>
    </row>
    <row r="277" spans="3:43" s="69" customFormat="1" x14ac:dyDescent="0.25">
      <c r="C277" s="79"/>
      <c r="E277" s="70"/>
      <c r="U277" s="71"/>
      <c r="V277" s="72"/>
      <c r="W277" s="72"/>
      <c r="X277" s="70"/>
      <c r="Y277" s="70"/>
      <c r="AA277" s="73"/>
      <c r="AB277" s="73"/>
      <c r="AC277" s="73"/>
      <c r="AD277" s="73"/>
      <c r="AE277" s="72"/>
      <c r="AF277" s="73"/>
      <c r="AH277" s="73"/>
      <c r="AI277" s="73"/>
      <c r="AJ277" s="73"/>
      <c r="AK277" s="73"/>
      <c r="AL277" s="73"/>
      <c r="AM277" s="73"/>
      <c r="AN277" s="73"/>
      <c r="AO277" s="73"/>
      <c r="AQ277" s="70"/>
    </row>
    <row r="278" spans="3:43" s="69" customFormat="1" x14ac:dyDescent="0.25">
      <c r="C278" s="79"/>
      <c r="E278" s="70"/>
      <c r="U278" s="71"/>
      <c r="V278" s="72"/>
      <c r="W278" s="72"/>
      <c r="X278" s="70"/>
      <c r="Y278" s="70"/>
      <c r="AA278" s="73"/>
      <c r="AB278" s="73"/>
      <c r="AC278" s="73"/>
      <c r="AD278" s="73"/>
      <c r="AE278" s="72"/>
      <c r="AF278" s="73"/>
      <c r="AH278" s="73"/>
      <c r="AI278" s="73"/>
      <c r="AJ278" s="73"/>
      <c r="AK278" s="73"/>
      <c r="AL278" s="73"/>
      <c r="AM278" s="73"/>
      <c r="AN278" s="73"/>
      <c r="AO278" s="73"/>
      <c r="AQ278" s="70"/>
    </row>
    <row r="279" spans="3:43" s="69" customFormat="1" x14ac:dyDescent="0.25">
      <c r="C279" s="79"/>
      <c r="E279" s="70"/>
      <c r="U279" s="71"/>
      <c r="V279" s="72"/>
      <c r="W279" s="72"/>
      <c r="X279" s="70"/>
      <c r="Y279" s="70"/>
      <c r="AA279" s="73"/>
      <c r="AB279" s="73"/>
      <c r="AC279" s="73"/>
      <c r="AD279" s="73"/>
      <c r="AE279" s="72"/>
      <c r="AF279" s="73"/>
      <c r="AH279" s="73"/>
      <c r="AI279" s="73"/>
      <c r="AJ279" s="73"/>
      <c r="AK279" s="73"/>
      <c r="AL279" s="73"/>
      <c r="AM279" s="73"/>
      <c r="AN279" s="73"/>
      <c r="AO279" s="73"/>
      <c r="AQ279" s="70"/>
    </row>
    <row r="280" spans="3:43" s="69" customFormat="1" x14ac:dyDescent="0.25">
      <c r="C280" s="79"/>
      <c r="E280" s="70"/>
      <c r="U280" s="71"/>
      <c r="V280" s="72"/>
      <c r="W280" s="72"/>
      <c r="X280" s="70"/>
      <c r="Y280" s="70"/>
      <c r="AA280" s="73"/>
      <c r="AB280" s="73"/>
      <c r="AC280" s="73"/>
      <c r="AD280" s="73"/>
      <c r="AE280" s="72"/>
      <c r="AF280" s="73"/>
      <c r="AH280" s="73"/>
      <c r="AI280" s="73"/>
      <c r="AJ280" s="73"/>
      <c r="AK280" s="73"/>
      <c r="AL280" s="73"/>
      <c r="AM280" s="73"/>
      <c r="AN280" s="73"/>
      <c r="AO280" s="73"/>
      <c r="AQ280" s="70"/>
    </row>
    <row r="281" spans="3:43" s="69" customFormat="1" x14ac:dyDescent="0.25">
      <c r="C281" s="79"/>
      <c r="E281" s="70"/>
      <c r="U281" s="71"/>
      <c r="V281" s="72"/>
      <c r="W281" s="72"/>
      <c r="X281" s="70"/>
      <c r="Y281" s="70"/>
      <c r="AA281" s="73"/>
      <c r="AB281" s="73"/>
      <c r="AC281" s="73"/>
      <c r="AD281" s="73"/>
      <c r="AE281" s="72"/>
      <c r="AF281" s="73"/>
      <c r="AH281" s="73"/>
      <c r="AI281" s="73"/>
      <c r="AJ281" s="73"/>
      <c r="AK281" s="73"/>
      <c r="AL281" s="73"/>
      <c r="AM281" s="73"/>
      <c r="AN281" s="73"/>
      <c r="AO281" s="73"/>
      <c r="AQ281" s="70"/>
    </row>
    <row r="282" spans="3:43" s="69" customFormat="1" x14ac:dyDescent="0.25">
      <c r="C282" s="79"/>
      <c r="E282" s="70"/>
      <c r="U282" s="71"/>
      <c r="V282" s="72"/>
      <c r="W282" s="72"/>
      <c r="X282" s="70"/>
      <c r="Y282" s="70"/>
      <c r="AA282" s="73"/>
      <c r="AB282" s="73"/>
      <c r="AC282" s="73"/>
      <c r="AD282" s="73"/>
      <c r="AE282" s="72"/>
      <c r="AF282" s="73"/>
      <c r="AH282" s="73"/>
      <c r="AI282" s="73"/>
      <c r="AJ282" s="73"/>
      <c r="AK282" s="73"/>
      <c r="AL282" s="73"/>
      <c r="AM282" s="73"/>
      <c r="AN282" s="73"/>
      <c r="AO282" s="73"/>
      <c r="AQ282" s="70"/>
    </row>
    <row r="283" spans="3:43" s="69" customFormat="1" x14ac:dyDescent="0.25">
      <c r="C283" s="79"/>
      <c r="E283" s="70"/>
      <c r="U283" s="71"/>
      <c r="V283" s="72"/>
      <c r="W283" s="72"/>
      <c r="X283" s="70"/>
      <c r="Y283" s="70"/>
      <c r="AA283" s="73"/>
      <c r="AB283" s="73"/>
      <c r="AC283" s="73"/>
      <c r="AD283" s="73"/>
      <c r="AE283" s="72"/>
      <c r="AF283" s="73"/>
      <c r="AH283" s="73"/>
      <c r="AI283" s="73"/>
      <c r="AJ283" s="73"/>
      <c r="AK283" s="73"/>
      <c r="AL283" s="73"/>
      <c r="AM283" s="73"/>
      <c r="AN283" s="73"/>
      <c r="AO283" s="73"/>
      <c r="AQ283" s="70"/>
    </row>
    <row r="284" spans="3:43" s="69" customFormat="1" x14ac:dyDescent="0.25">
      <c r="C284" s="79"/>
      <c r="E284" s="70"/>
      <c r="U284" s="71"/>
      <c r="V284" s="72"/>
      <c r="W284" s="72"/>
      <c r="X284" s="70"/>
      <c r="Y284" s="70"/>
      <c r="AA284" s="73"/>
      <c r="AB284" s="73"/>
      <c r="AC284" s="73"/>
      <c r="AD284" s="73"/>
      <c r="AE284" s="72"/>
      <c r="AF284" s="73"/>
      <c r="AH284" s="73"/>
      <c r="AI284" s="73"/>
      <c r="AJ284" s="73"/>
      <c r="AK284" s="73"/>
      <c r="AL284" s="73"/>
      <c r="AM284" s="73"/>
      <c r="AN284" s="73"/>
      <c r="AO284" s="73"/>
      <c r="AQ284" s="70"/>
    </row>
    <row r="285" spans="3:43" s="69" customFormat="1" x14ac:dyDescent="0.25">
      <c r="C285" s="79"/>
      <c r="E285" s="70"/>
      <c r="U285" s="71"/>
      <c r="V285" s="72"/>
      <c r="W285" s="72"/>
      <c r="X285" s="70"/>
      <c r="Y285" s="70"/>
      <c r="AA285" s="73"/>
      <c r="AB285" s="73"/>
      <c r="AC285" s="73"/>
      <c r="AD285" s="73"/>
      <c r="AE285" s="72"/>
      <c r="AF285" s="73"/>
      <c r="AH285" s="73"/>
      <c r="AI285" s="73"/>
      <c r="AJ285" s="73"/>
      <c r="AK285" s="73"/>
      <c r="AL285" s="73"/>
      <c r="AM285" s="73"/>
      <c r="AN285" s="73"/>
      <c r="AO285" s="73"/>
      <c r="AQ285" s="70"/>
    </row>
    <row r="286" spans="3:43" s="69" customFormat="1" x14ac:dyDescent="0.25">
      <c r="C286" s="79"/>
      <c r="E286" s="70"/>
      <c r="U286" s="71"/>
      <c r="V286" s="72"/>
      <c r="W286" s="72"/>
      <c r="X286" s="70"/>
      <c r="Y286" s="70"/>
      <c r="AA286" s="73"/>
      <c r="AB286" s="73"/>
      <c r="AC286" s="73"/>
      <c r="AD286" s="73"/>
      <c r="AE286" s="72"/>
      <c r="AF286" s="73"/>
      <c r="AH286" s="73"/>
      <c r="AI286" s="73"/>
      <c r="AJ286" s="73"/>
      <c r="AK286" s="73"/>
      <c r="AL286" s="73"/>
      <c r="AM286" s="73"/>
      <c r="AN286" s="73"/>
      <c r="AO286" s="73"/>
      <c r="AQ286" s="70"/>
    </row>
    <row r="287" spans="3:43" s="69" customFormat="1" x14ac:dyDescent="0.25">
      <c r="C287" s="79"/>
      <c r="E287" s="70"/>
      <c r="U287" s="71"/>
      <c r="V287" s="72"/>
      <c r="W287" s="72"/>
      <c r="X287" s="70"/>
      <c r="Y287" s="70"/>
      <c r="AA287" s="73"/>
      <c r="AB287" s="73"/>
      <c r="AC287" s="73"/>
      <c r="AD287" s="73"/>
      <c r="AE287" s="72"/>
      <c r="AF287" s="73"/>
      <c r="AH287" s="73"/>
      <c r="AI287" s="73"/>
      <c r="AJ287" s="73"/>
      <c r="AK287" s="73"/>
      <c r="AL287" s="73"/>
      <c r="AM287" s="73"/>
      <c r="AN287" s="73"/>
      <c r="AO287" s="73"/>
      <c r="AQ287" s="70"/>
    </row>
    <row r="288" spans="3:43" s="69" customFormat="1" x14ac:dyDescent="0.25">
      <c r="C288" s="79"/>
      <c r="E288" s="70"/>
      <c r="U288" s="71"/>
      <c r="V288" s="72"/>
      <c r="W288" s="72"/>
      <c r="X288" s="70"/>
      <c r="Y288" s="70"/>
      <c r="AA288" s="73"/>
      <c r="AB288" s="73"/>
      <c r="AC288" s="73"/>
      <c r="AD288" s="73"/>
      <c r="AE288" s="72"/>
      <c r="AF288" s="73"/>
      <c r="AH288" s="73"/>
      <c r="AI288" s="73"/>
      <c r="AJ288" s="73"/>
      <c r="AK288" s="73"/>
      <c r="AL288" s="73"/>
      <c r="AM288" s="73"/>
      <c r="AN288" s="73"/>
      <c r="AO288" s="73"/>
      <c r="AQ288" s="70"/>
    </row>
    <row r="289" spans="3:43" s="69" customFormat="1" x14ac:dyDescent="0.25">
      <c r="C289" s="79"/>
      <c r="E289" s="70"/>
      <c r="U289" s="71"/>
      <c r="V289" s="72"/>
      <c r="W289" s="72"/>
      <c r="X289" s="70"/>
      <c r="Y289" s="70"/>
      <c r="AA289" s="73"/>
      <c r="AB289" s="73"/>
      <c r="AC289" s="73"/>
      <c r="AD289" s="73"/>
      <c r="AE289" s="72"/>
      <c r="AF289" s="73"/>
      <c r="AH289" s="73"/>
      <c r="AI289" s="73"/>
      <c r="AJ289" s="73"/>
      <c r="AK289" s="73"/>
      <c r="AL289" s="73"/>
      <c r="AM289" s="73"/>
      <c r="AN289" s="73"/>
      <c r="AO289" s="73"/>
      <c r="AQ289" s="70"/>
    </row>
    <row r="290" spans="3:43" s="69" customFormat="1" x14ac:dyDescent="0.25">
      <c r="C290" s="79"/>
      <c r="E290" s="70"/>
      <c r="U290" s="71"/>
      <c r="V290" s="72"/>
      <c r="W290" s="72"/>
      <c r="X290" s="70"/>
      <c r="Y290" s="70"/>
      <c r="AA290" s="73"/>
      <c r="AB290" s="73"/>
      <c r="AC290" s="73"/>
      <c r="AD290" s="73"/>
      <c r="AE290" s="72"/>
      <c r="AF290" s="73"/>
      <c r="AH290" s="73"/>
      <c r="AI290" s="73"/>
      <c r="AJ290" s="73"/>
      <c r="AK290" s="73"/>
      <c r="AL290" s="73"/>
      <c r="AM290" s="73"/>
      <c r="AN290" s="73"/>
      <c r="AO290" s="73"/>
      <c r="AQ290" s="70"/>
    </row>
    <row r="291" spans="3:43" s="69" customFormat="1" x14ac:dyDescent="0.25">
      <c r="C291" s="79"/>
      <c r="E291" s="70"/>
      <c r="U291" s="71"/>
      <c r="V291" s="72"/>
      <c r="W291" s="72"/>
      <c r="X291" s="70"/>
      <c r="Y291" s="70"/>
      <c r="AA291" s="73"/>
      <c r="AB291" s="73"/>
      <c r="AC291" s="73"/>
      <c r="AD291" s="73"/>
      <c r="AE291" s="72"/>
      <c r="AF291" s="73"/>
      <c r="AH291" s="73"/>
      <c r="AI291" s="73"/>
      <c r="AJ291" s="73"/>
      <c r="AK291" s="73"/>
      <c r="AL291" s="73"/>
      <c r="AM291" s="73"/>
      <c r="AN291" s="73"/>
      <c r="AO291" s="73"/>
      <c r="AQ291" s="70"/>
    </row>
    <row r="292" spans="3:43" s="69" customFormat="1" x14ac:dyDescent="0.25">
      <c r="C292" s="79"/>
      <c r="E292" s="70"/>
      <c r="U292" s="71"/>
      <c r="V292" s="72"/>
      <c r="W292" s="72"/>
      <c r="X292" s="70"/>
      <c r="Y292" s="70"/>
      <c r="AA292" s="73"/>
      <c r="AB292" s="73"/>
      <c r="AC292" s="73"/>
      <c r="AD292" s="73"/>
      <c r="AE292" s="72"/>
      <c r="AF292" s="73"/>
      <c r="AH292" s="73"/>
      <c r="AI292" s="73"/>
      <c r="AJ292" s="73"/>
      <c r="AK292" s="73"/>
      <c r="AL292" s="73"/>
      <c r="AM292" s="73"/>
      <c r="AN292" s="73"/>
      <c r="AO292" s="73"/>
      <c r="AQ292" s="70"/>
    </row>
    <row r="293" spans="3:43" s="69" customFormat="1" x14ac:dyDescent="0.25">
      <c r="C293" s="79"/>
      <c r="E293" s="70"/>
      <c r="U293" s="71"/>
      <c r="V293" s="72"/>
      <c r="W293" s="72"/>
      <c r="X293" s="70"/>
      <c r="Y293" s="70"/>
      <c r="AA293" s="73"/>
      <c r="AB293" s="73"/>
      <c r="AC293" s="73"/>
      <c r="AD293" s="73"/>
      <c r="AE293" s="72"/>
      <c r="AF293" s="73"/>
      <c r="AH293" s="73"/>
      <c r="AI293" s="73"/>
      <c r="AJ293" s="73"/>
      <c r="AK293" s="73"/>
      <c r="AL293" s="73"/>
      <c r="AM293" s="73"/>
      <c r="AN293" s="73"/>
      <c r="AO293" s="73"/>
      <c r="AQ293" s="70"/>
    </row>
    <row r="294" spans="3:43" s="69" customFormat="1" x14ac:dyDescent="0.25">
      <c r="C294" s="79"/>
      <c r="E294" s="70"/>
      <c r="U294" s="71"/>
      <c r="V294" s="72"/>
      <c r="W294" s="72"/>
      <c r="X294" s="70"/>
      <c r="Y294" s="70"/>
      <c r="AA294" s="73"/>
      <c r="AB294" s="73"/>
      <c r="AC294" s="73"/>
      <c r="AD294" s="73"/>
      <c r="AE294" s="72"/>
      <c r="AF294" s="73"/>
      <c r="AH294" s="73"/>
      <c r="AI294" s="73"/>
      <c r="AJ294" s="73"/>
      <c r="AK294" s="73"/>
      <c r="AL294" s="73"/>
      <c r="AM294" s="73"/>
      <c r="AN294" s="73"/>
      <c r="AO294" s="73"/>
      <c r="AQ294" s="70"/>
    </row>
    <row r="295" spans="3:43" s="69" customFormat="1" x14ac:dyDescent="0.25">
      <c r="C295" s="79"/>
      <c r="E295" s="70"/>
      <c r="U295" s="71"/>
      <c r="V295" s="72"/>
      <c r="W295" s="72"/>
      <c r="X295" s="70"/>
      <c r="Y295" s="70"/>
      <c r="AA295" s="73"/>
      <c r="AB295" s="73"/>
      <c r="AC295" s="73"/>
      <c r="AD295" s="73"/>
      <c r="AE295" s="72"/>
      <c r="AF295" s="73"/>
      <c r="AH295" s="73"/>
      <c r="AI295" s="73"/>
      <c r="AJ295" s="73"/>
      <c r="AK295" s="73"/>
      <c r="AL295" s="73"/>
      <c r="AM295" s="73"/>
      <c r="AN295" s="73"/>
      <c r="AO295" s="73"/>
      <c r="AQ295" s="70"/>
    </row>
    <row r="296" spans="3:43" s="69" customFormat="1" x14ac:dyDescent="0.25">
      <c r="C296" s="79"/>
      <c r="E296" s="70"/>
      <c r="U296" s="71"/>
      <c r="V296" s="72"/>
      <c r="W296" s="72"/>
      <c r="X296" s="70"/>
      <c r="Y296" s="70"/>
      <c r="AA296" s="73"/>
      <c r="AB296" s="73"/>
      <c r="AC296" s="73"/>
      <c r="AD296" s="73"/>
      <c r="AE296" s="72"/>
      <c r="AF296" s="73"/>
      <c r="AH296" s="73"/>
      <c r="AI296" s="73"/>
      <c r="AJ296" s="73"/>
      <c r="AK296" s="73"/>
      <c r="AL296" s="73"/>
      <c r="AM296" s="73"/>
      <c r="AN296" s="73"/>
      <c r="AO296" s="73"/>
      <c r="AQ296" s="70"/>
    </row>
    <row r="297" spans="3:43" s="69" customFormat="1" x14ac:dyDescent="0.25">
      <c r="C297" s="79"/>
      <c r="E297" s="70"/>
      <c r="U297" s="71"/>
      <c r="V297" s="72"/>
      <c r="W297" s="72"/>
      <c r="X297" s="70"/>
      <c r="Y297" s="70"/>
      <c r="AA297" s="73"/>
      <c r="AB297" s="73"/>
      <c r="AC297" s="73"/>
      <c r="AD297" s="73"/>
      <c r="AE297" s="72"/>
      <c r="AF297" s="73"/>
      <c r="AH297" s="73"/>
      <c r="AI297" s="73"/>
      <c r="AJ297" s="73"/>
      <c r="AK297" s="73"/>
      <c r="AL297" s="73"/>
      <c r="AM297" s="73"/>
      <c r="AN297" s="73"/>
      <c r="AO297" s="73"/>
      <c r="AQ297" s="70"/>
    </row>
    <row r="298" spans="3:43" s="69" customFormat="1" x14ac:dyDescent="0.25">
      <c r="C298" s="79"/>
      <c r="E298" s="70"/>
      <c r="U298" s="71"/>
      <c r="V298" s="72"/>
      <c r="W298" s="72"/>
      <c r="X298" s="70"/>
      <c r="Y298" s="70"/>
      <c r="AA298" s="73"/>
      <c r="AB298" s="73"/>
      <c r="AC298" s="73"/>
      <c r="AD298" s="73"/>
      <c r="AE298" s="72"/>
      <c r="AF298" s="73"/>
      <c r="AH298" s="73"/>
      <c r="AI298" s="73"/>
      <c r="AJ298" s="73"/>
      <c r="AK298" s="73"/>
      <c r="AL298" s="73"/>
      <c r="AM298" s="73"/>
      <c r="AN298" s="73"/>
      <c r="AO298" s="73"/>
      <c r="AQ298" s="70"/>
    </row>
    <row r="299" spans="3:43" s="69" customFormat="1" x14ac:dyDescent="0.25">
      <c r="C299" s="79"/>
      <c r="E299" s="70"/>
      <c r="U299" s="71"/>
      <c r="V299" s="72"/>
      <c r="W299" s="72"/>
      <c r="X299" s="70"/>
      <c r="Y299" s="70"/>
      <c r="AA299" s="73"/>
      <c r="AB299" s="73"/>
      <c r="AC299" s="73"/>
      <c r="AD299" s="73"/>
      <c r="AE299" s="72"/>
      <c r="AF299" s="73"/>
      <c r="AH299" s="73"/>
      <c r="AI299" s="73"/>
      <c r="AJ299" s="73"/>
      <c r="AK299" s="73"/>
      <c r="AL299" s="73"/>
      <c r="AM299" s="73"/>
      <c r="AN299" s="73"/>
      <c r="AO299" s="73"/>
      <c r="AQ299" s="70"/>
    </row>
    <row r="300" spans="3:43" s="69" customFormat="1" x14ac:dyDescent="0.25">
      <c r="C300" s="79"/>
      <c r="E300" s="70"/>
      <c r="U300" s="71"/>
      <c r="V300" s="72"/>
      <c r="W300" s="72"/>
      <c r="X300" s="70"/>
      <c r="Y300" s="70"/>
      <c r="AA300" s="73"/>
      <c r="AB300" s="73"/>
      <c r="AC300" s="73"/>
      <c r="AD300" s="73"/>
      <c r="AE300" s="72"/>
      <c r="AF300" s="73"/>
      <c r="AH300" s="73"/>
      <c r="AI300" s="73"/>
      <c r="AJ300" s="73"/>
      <c r="AK300" s="73"/>
      <c r="AL300" s="73"/>
      <c r="AM300" s="73"/>
      <c r="AN300" s="73"/>
      <c r="AO300" s="73"/>
      <c r="AQ300" s="70"/>
    </row>
    <row r="301" spans="3:43" s="69" customFormat="1" x14ac:dyDescent="0.25">
      <c r="C301" s="79"/>
      <c r="E301" s="70"/>
      <c r="U301" s="71"/>
      <c r="V301" s="72"/>
      <c r="W301" s="72"/>
      <c r="X301" s="70"/>
      <c r="Y301" s="70"/>
      <c r="AA301" s="73"/>
      <c r="AB301" s="73"/>
      <c r="AC301" s="73"/>
      <c r="AD301" s="73"/>
      <c r="AE301" s="72"/>
      <c r="AF301" s="73"/>
      <c r="AH301" s="73"/>
      <c r="AI301" s="73"/>
      <c r="AJ301" s="73"/>
      <c r="AK301" s="73"/>
      <c r="AL301" s="73"/>
      <c r="AM301" s="73"/>
      <c r="AN301" s="73"/>
      <c r="AO301" s="73"/>
      <c r="AQ301" s="70"/>
    </row>
    <row r="302" spans="3:43" s="69" customFormat="1" x14ac:dyDescent="0.25">
      <c r="C302" s="79"/>
      <c r="E302" s="70"/>
      <c r="U302" s="71"/>
      <c r="V302" s="72"/>
      <c r="W302" s="72"/>
      <c r="X302" s="70"/>
      <c r="Y302" s="70"/>
      <c r="AA302" s="73"/>
      <c r="AB302" s="73"/>
      <c r="AC302" s="73"/>
      <c r="AD302" s="73"/>
      <c r="AE302" s="72"/>
      <c r="AF302" s="73"/>
      <c r="AH302" s="73"/>
      <c r="AI302" s="73"/>
      <c r="AJ302" s="73"/>
      <c r="AK302" s="73"/>
      <c r="AL302" s="73"/>
      <c r="AM302" s="73"/>
      <c r="AN302" s="73"/>
      <c r="AO302" s="73"/>
      <c r="AQ302" s="70"/>
    </row>
    <row r="303" spans="3:43" s="69" customFormat="1" x14ac:dyDescent="0.25">
      <c r="C303" s="79"/>
      <c r="E303" s="70"/>
      <c r="U303" s="71"/>
      <c r="V303" s="72"/>
      <c r="W303" s="72"/>
      <c r="X303" s="70"/>
      <c r="Y303" s="70"/>
      <c r="AA303" s="73"/>
      <c r="AB303" s="73"/>
      <c r="AC303" s="73"/>
      <c r="AD303" s="73"/>
      <c r="AE303" s="72"/>
      <c r="AF303" s="73"/>
      <c r="AH303" s="73"/>
      <c r="AI303" s="73"/>
      <c r="AJ303" s="73"/>
      <c r="AK303" s="73"/>
      <c r="AL303" s="73"/>
      <c r="AM303" s="73"/>
      <c r="AN303" s="73"/>
      <c r="AO303" s="73"/>
      <c r="AQ303" s="70"/>
    </row>
    <row r="304" spans="3:43" s="69" customFormat="1" x14ac:dyDescent="0.25">
      <c r="C304" s="79"/>
      <c r="E304" s="70"/>
      <c r="U304" s="71"/>
      <c r="V304" s="72"/>
      <c r="W304" s="72"/>
      <c r="X304" s="70"/>
      <c r="Y304" s="70"/>
      <c r="AA304" s="73"/>
      <c r="AB304" s="73"/>
      <c r="AC304" s="73"/>
      <c r="AD304" s="73"/>
      <c r="AE304" s="72"/>
      <c r="AF304" s="73"/>
      <c r="AH304" s="73"/>
      <c r="AI304" s="73"/>
      <c r="AJ304" s="73"/>
      <c r="AK304" s="73"/>
      <c r="AL304" s="73"/>
      <c r="AM304" s="73"/>
      <c r="AN304" s="73"/>
      <c r="AO304" s="73"/>
      <c r="AQ304" s="70"/>
    </row>
    <row r="305" spans="3:43" s="69" customFormat="1" x14ac:dyDescent="0.25">
      <c r="C305" s="79"/>
      <c r="E305" s="70"/>
      <c r="U305" s="71"/>
      <c r="V305" s="72"/>
      <c r="W305" s="72"/>
      <c r="X305" s="70"/>
      <c r="Y305" s="70"/>
      <c r="AA305" s="73"/>
      <c r="AB305" s="73"/>
      <c r="AC305" s="73"/>
      <c r="AD305" s="73"/>
      <c r="AE305" s="72"/>
      <c r="AF305" s="73"/>
      <c r="AH305" s="73"/>
      <c r="AI305" s="73"/>
      <c r="AJ305" s="73"/>
      <c r="AK305" s="73"/>
      <c r="AL305" s="73"/>
      <c r="AM305" s="73"/>
      <c r="AN305" s="73"/>
      <c r="AO305" s="73"/>
      <c r="AQ305" s="70"/>
    </row>
    <row r="306" spans="3:43" s="69" customFormat="1" x14ac:dyDescent="0.25">
      <c r="C306" s="79"/>
      <c r="E306" s="70"/>
      <c r="U306" s="71"/>
      <c r="V306" s="72"/>
      <c r="W306" s="72"/>
      <c r="X306" s="70"/>
      <c r="Y306" s="70"/>
      <c r="AA306" s="73"/>
      <c r="AB306" s="73"/>
      <c r="AC306" s="73"/>
      <c r="AD306" s="73"/>
      <c r="AE306" s="72"/>
      <c r="AF306" s="73"/>
      <c r="AH306" s="73"/>
      <c r="AI306" s="73"/>
      <c r="AJ306" s="73"/>
      <c r="AK306" s="73"/>
      <c r="AL306" s="73"/>
      <c r="AM306" s="73"/>
      <c r="AN306" s="73"/>
      <c r="AO306" s="73"/>
      <c r="AQ306" s="70"/>
    </row>
    <row r="307" spans="3:43" s="69" customFormat="1" x14ac:dyDescent="0.25">
      <c r="C307" s="79"/>
      <c r="E307" s="70"/>
      <c r="U307" s="71"/>
      <c r="V307" s="72"/>
      <c r="W307" s="72"/>
      <c r="X307" s="70"/>
      <c r="Y307" s="70"/>
      <c r="AA307" s="73"/>
      <c r="AB307" s="73"/>
      <c r="AC307" s="73"/>
      <c r="AD307" s="73"/>
      <c r="AE307" s="72"/>
      <c r="AF307" s="73"/>
      <c r="AH307" s="73"/>
      <c r="AI307" s="73"/>
      <c r="AJ307" s="73"/>
      <c r="AK307" s="73"/>
      <c r="AL307" s="73"/>
      <c r="AM307" s="73"/>
      <c r="AN307" s="73"/>
      <c r="AO307" s="73"/>
      <c r="AQ307" s="70"/>
    </row>
    <row r="308" spans="3:43" s="69" customFormat="1" x14ac:dyDescent="0.25">
      <c r="C308" s="79"/>
      <c r="E308" s="70"/>
      <c r="U308" s="71"/>
      <c r="V308" s="72"/>
      <c r="W308" s="72"/>
      <c r="X308" s="70"/>
      <c r="Y308" s="70"/>
      <c r="AA308" s="73"/>
      <c r="AB308" s="73"/>
      <c r="AC308" s="73"/>
      <c r="AD308" s="73"/>
      <c r="AE308" s="72"/>
      <c r="AF308" s="73"/>
      <c r="AH308" s="73"/>
      <c r="AI308" s="73"/>
      <c r="AJ308" s="73"/>
      <c r="AK308" s="73"/>
      <c r="AL308" s="73"/>
      <c r="AM308" s="73"/>
      <c r="AN308" s="73"/>
      <c r="AO308" s="73"/>
      <c r="AQ308" s="70"/>
    </row>
    <row r="309" spans="3:43" s="69" customFormat="1" x14ac:dyDescent="0.25">
      <c r="C309" s="79"/>
      <c r="E309" s="70"/>
      <c r="U309" s="71"/>
      <c r="V309" s="72"/>
      <c r="W309" s="72"/>
      <c r="X309" s="70"/>
      <c r="Y309" s="70"/>
      <c r="AA309" s="73"/>
      <c r="AB309" s="73"/>
      <c r="AC309" s="73"/>
      <c r="AD309" s="73"/>
      <c r="AE309" s="72"/>
      <c r="AF309" s="73"/>
      <c r="AH309" s="73"/>
      <c r="AI309" s="73"/>
      <c r="AJ309" s="73"/>
      <c r="AK309" s="73"/>
      <c r="AL309" s="73"/>
      <c r="AM309" s="73"/>
      <c r="AN309" s="73"/>
      <c r="AO309" s="73"/>
      <c r="AQ309" s="70"/>
    </row>
    <row r="310" spans="3:43" s="69" customFormat="1" x14ac:dyDescent="0.25">
      <c r="C310" s="79"/>
      <c r="E310" s="70"/>
      <c r="U310" s="71"/>
      <c r="V310" s="72"/>
      <c r="W310" s="72"/>
      <c r="X310" s="70"/>
      <c r="Y310" s="70"/>
      <c r="AA310" s="73"/>
      <c r="AB310" s="73"/>
      <c r="AC310" s="73"/>
      <c r="AD310" s="73"/>
      <c r="AE310" s="72"/>
      <c r="AF310" s="73"/>
      <c r="AH310" s="73"/>
      <c r="AI310" s="73"/>
      <c r="AJ310" s="73"/>
      <c r="AK310" s="73"/>
      <c r="AL310" s="73"/>
      <c r="AM310" s="73"/>
      <c r="AN310" s="73"/>
      <c r="AO310" s="73"/>
      <c r="AQ310" s="70"/>
    </row>
    <row r="311" spans="3:43" s="69" customFormat="1" x14ac:dyDescent="0.25">
      <c r="C311" s="79"/>
      <c r="E311" s="70"/>
      <c r="U311" s="71"/>
      <c r="V311" s="72"/>
      <c r="W311" s="72"/>
      <c r="X311" s="70"/>
      <c r="Y311" s="70"/>
      <c r="AA311" s="73"/>
      <c r="AB311" s="73"/>
      <c r="AC311" s="73"/>
      <c r="AD311" s="73"/>
      <c r="AE311" s="72"/>
      <c r="AF311" s="73"/>
      <c r="AH311" s="73"/>
      <c r="AI311" s="73"/>
      <c r="AJ311" s="73"/>
      <c r="AK311" s="73"/>
      <c r="AL311" s="73"/>
      <c r="AM311" s="73"/>
      <c r="AN311" s="73"/>
      <c r="AO311" s="73"/>
      <c r="AQ311" s="70"/>
    </row>
    <row r="312" spans="3:43" s="69" customFormat="1" x14ac:dyDescent="0.25">
      <c r="C312" s="79"/>
      <c r="E312" s="70"/>
      <c r="U312" s="71"/>
      <c r="V312" s="72"/>
      <c r="W312" s="72"/>
      <c r="X312" s="70"/>
      <c r="Y312" s="70"/>
      <c r="AA312" s="73"/>
      <c r="AB312" s="73"/>
      <c r="AC312" s="73"/>
      <c r="AD312" s="73"/>
      <c r="AE312" s="72"/>
      <c r="AF312" s="73"/>
      <c r="AH312" s="73"/>
      <c r="AI312" s="73"/>
      <c r="AJ312" s="73"/>
      <c r="AK312" s="73"/>
      <c r="AL312" s="73"/>
      <c r="AM312" s="73"/>
      <c r="AN312" s="73"/>
      <c r="AO312" s="73"/>
      <c r="AQ312" s="70"/>
    </row>
    <row r="313" spans="3:43" s="69" customFormat="1" x14ac:dyDescent="0.25">
      <c r="C313" s="79"/>
      <c r="E313" s="70"/>
      <c r="U313" s="71"/>
      <c r="V313" s="72"/>
      <c r="W313" s="72"/>
      <c r="X313" s="70"/>
      <c r="Y313" s="70"/>
      <c r="AA313" s="73"/>
      <c r="AB313" s="73"/>
      <c r="AC313" s="73"/>
      <c r="AD313" s="73"/>
      <c r="AE313" s="72"/>
      <c r="AF313" s="73"/>
      <c r="AH313" s="73"/>
      <c r="AI313" s="73"/>
      <c r="AJ313" s="73"/>
      <c r="AK313" s="73"/>
      <c r="AL313" s="73"/>
      <c r="AM313" s="73"/>
      <c r="AN313" s="73"/>
      <c r="AO313" s="73"/>
      <c r="AQ313" s="70"/>
    </row>
    <row r="314" spans="3:43" s="69" customFormat="1" x14ac:dyDescent="0.25">
      <c r="C314" s="79"/>
      <c r="E314" s="70"/>
      <c r="U314" s="71"/>
      <c r="V314" s="72"/>
      <c r="W314" s="72"/>
      <c r="X314" s="70"/>
      <c r="Y314" s="70"/>
      <c r="AA314" s="73"/>
      <c r="AB314" s="73"/>
      <c r="AC314" s="73"/>
      <c r="AD314" s="73"/>
      <c r="AE314" s="72"/>
      <c r="AF314" s="73"/>
      <c r="AH314" s="73"/>
      <c r="AI314" s="73"/>
      <c r="AJ314" s="73"/>
      <c r="AK314" s="73"/>
      <c r="AL314" s="73"/>
      <c r="AM314" s="73"/>
      <c r="AN314" s="73"/>
      <c r="AO314" s="73"/>
      <c r="AQ314" s="70"/>
    </row>
    <row r="315" spans="3:43" s="69" customFormat="1" x14ac:dyDescent="0.25">
      <c r="C315" s="79"/>
      <c r="E315" s="70"/>
      <c r="U315" s="71"/>
      <c r="V315" s="72"/>
      <c r="W315" s="72"/>
      <c r="X315" s="70"/>
      <c r="Y315" s="70"/>
      <c r="AA315" s="73"/>
      <c r="AB315" s="73"/>
      <c r="AC315" s="73"/>
      <c r="AD315" s="73"/>
      <c r="AE315" s="72"/>
      <c r="AF315" s="73"/>
      <c r="AH315" s="73"/>
      <c r="AI315" s="73"/>
      <c r="AJ315" s="73"/>
      <c r="AK315" s="73"/>
      <c r="AL315" s="73"/>
      <c r="AM315" s="73"/>
      <c r="AN315" s="73"/>
      <c r="AO315" s="73"/>
      <c r="AQ315" s="70"/>
    </row>
    <row r="316" spans="3:43" s="69" customFormat="1" x14ac:dyDescent="0.25">
      <c r="C316" s="79"/>
      <c r="E316" s="70"/>
      <c r="U316" s="71"/>
      <c r="V316" s="72"/>
      <c r="W316" s="72"/>
      <c r="X316" s="70"/>
      <c r="Y316" s="70"/>
      <c r="AA316" s="73"/>
      <c r="AB316" s="73"/>
      <c r="AC316" s="73"/>
      <c r="AD316" s="73"/>
      <c r="AE316" s="72"/>
      <c r="AF316" s="73"/>
      <c r="AH316" s="73"/>
      <c r="AI316" s="73"/>
      <c r="AJ316" s="73"/>
      <c r="AK316" s="73"/>
      <c r="AL316" s="73"/>
      <c r="AM316" s="73"/>
      <c r="AN316" s="73"/>
      <c r="AO316" s="73"/>
      <c r="AQ316" s="70"/>
    </row>
    <row r="317" spans="3:43" s="69" customFormat="1" x14ac:dyDescent="0.25">
      <c r="C317" s="79"/>
      <c r="E317" s="70"/>
      <c r="U317" s="71"/>
      <c r="V317" s="72"/>
      <c r="W317" s="72"/>
      <c r="X317" s="70"/>
      <c r="Y317" s="70"/>
      <c r="AA317" s="73"/>
      <c r="AB317" s="73"/>
      <c r="AC317" s="73"/>
      <c r="AD317" s="73"/>
      <c r="AE317" s="72"/>
      <c r="AF317" s="73"/>
      <c r="AH317" s="73"/>
      <c r="AI317" s="73"/>
      <c r="AJ317" s="73"/>
      <c r="AK317" s="73"/>
      <c r="AL317" s="73"/>
      <c r="AM317" s="73"/>
      <c r="AN317" s="73"/>
      <c r="AO317" s="73"/>
      <c r="AQ317" s="70"/>
    </row>
    <row r="318" spans="3:43" s="69" customFormat="1" x14ac:dyDescent="0.25">
      <c r="C318" s="79"/>
      <c r="E318" s="70"/>
      <c r="U318" s="71"/>
      <c r="V318" s="72"/>
      <c r="W318" s="72"/>
      <c r="X318" s="70"/>
      <c r="Y318" s="70"/>
      <c r="AA318" s="73"/>
      <c r="AB318" s="73"/>
      <c r="AC318" s="73"/>
      <c r="AD318" s="73"/>
      <c r="AE318" s="72"/>
      <c r="AF318" s="73"/>
      <c r="AH318" s="73"/>
      <c r="AI318" s="73"/>
      <c r="AJ318" s="73"/>
      <c r="AK318" s="73"/>
      <c r="AL318" s="73"/>
      <c r="AM318" s="73"/>
      <c r="AN318" s="73"/>
      <c r="AO318" s="73"/>
      <c r="AQ318" s="70"/>
    </row>
    <row r="319" spans="3:43" s="69" customFormat="1" x14ac:dyDescent="0.25">
      <c r="C319" s="79"/>
      <c r="E319" s="70"/>
      <c r="U319" s="71"/>
      <c r="V319" s="72"/>
      <c r="W319" s="72"/>
      <c r="X319" s="70"/>
      <c r="Y319" s="70"/>
      <c r="AA319" s="73"/>
      <c r="AB319" s="73"/>
      <c r="AC319" s="73"/>
      <c r="AD319" s="73"/>
      <c r="AE319" s="72"/>
      <c r="AF319" s="73"/>
      <c r="AH319" s="73"/>
      <c r="AI319" s="73"/>
      <c r="AJ319" s="73"/>
      <c r="AK319" s="73"/>
      <c r="AL319" s="73"/>
      <c r="AM319" s="73"/>
      <c r="AN319" s="73"/>
      <c r="AO319" s="73"/>
      <c r="AQ319" s="70"/>
    </row>
    <row r="320" spans="3:43" s="69" customFormat="1" x14ac:dyDescent="0.25">
      <c r="C320" s="79"/>
      <c r="E320" s="70"/>
      <c r="U320" s="71"/>
      <c r="V320" s="72"/>
      <c r="W320" s="72"/>
      <c r="X320" s="70"/>
      <c r="Y320" s="70"/>
      <c r="AA320" s="73"/>
      <c r="AB320" s="73"/>
      <c r="AC320" s="73"/>
      <c r="AD320" s="73"/>
      <c r="AE320" s="72"/>
      <c r="AF320" s="73"/>
      <c r="AH320" s="73"/>
      <c r="AI320" s="73"/>
      <c r="AJ320" s="73"/>
      <c r="AK320" s="73"/>
      <c r="AL320" s="73"/>
      <c r="AM320" s="73"/>
      <c r="AN320" s="73"/>
      <c r="AO320" s="73"/>
      <c r="AQ320" s="70"/>
    </row>
    <row r="321" spans="3:43" s="69" customFormat="1" x14ac:dyDescent="0.25">
      <c r="C321" s="79"/>
      <c r="E321" s="70"/>
      <c r="U321" s="71"/>
      <c r="V321" s="72"/>
      <c r="W321" s="72"/>
      <c r="X321" s="70"/>
      <c r="Y321" s="70"/>
      <c r="AA321" s="73"/>
      <c r="AB321" s="73"/>
      <c r="AC321" s="73"/>
      <c r="AD321" s="73"/>
      <c r="AE321" s="72"/>
      <c r="AF321" s="73"/>
      <c r="AH321" s="73"/>
      <c r="AI321" s="73"/>
      <c r="AJ321" s="73"/>
      <c r="AK321" s="73"/>
      <c r="AL321" s="73"/>
      <c r="AM321" s="73"/>
      <c r="AN321" s="73"/>
      <c r="AO321" s="73"/>
      <c r="AQ321" s="70"/>
    </row>
    <row r="322" spans="3:43" s="69" customFormat="1" x14ac:dyDescent="0.25">
      <c r="C322" s="79"/>
      <c r="E322" s="70"/>
      <c r="U322" s="71"/>
      <c r="V322" s="72"/>
      <c r="W322" s="72"/>
      <c r="X322" s="70"/>
      <c r="Y322" s="70"/>
      <c r="AA322" s="73"/>
      <c r="AB322" s="73"/>
      <c r="AC322" s="73"/>
      <c r="AD322" s="73"/>
      <c r="AE322" s="72"/>
      <c r="AF322" s="73"/>
      <c r="AH322" s="73"/>
      <c r="AI322" s="73"/>
      <c r="AJ322" s="73"/>
      <c r="AK322" s="73"/>
      <c r="AL322" s="73"/>
      <c r="AM322" s="73"/>
      <c r="AN322" s="73"/>
      <c r="AO322" s="73"/>
      <c r="AQ322" s="70"/>
    </row>
    <row r="323" spans="3:43" s="69" customFormat="1" x14ac:dyDescent="0.25">
      <c r="C323" s="79"/>
      <c r="E323" s="70"/>
      <c r="U323" s="71"/>
      <c r="V323" s="72"/>
      <c r="W323" s="72"/>
      <c r="X323" s="70"/>
      <c r="Y323" s="70"/>
      <c r="AA323" s="73"/>
      <c r="AB323" s="73"/>
      <c r="AC323" s="73"/>
      <c r="AD323" s="73"/>
      <c r="AE323" s="72"/>
      <c r="AF323" s="73"/>
      <c r="AH323" s="73"/>
      <c r="AI323" s="73"/>
      <c r="AJ323" s="73"/>
      <c r="AK323" s="73"/>
      <c r="AL323" s="73"/>
      <c r="AM323" s="73"/>
      <c r="AN323" s="73"/>
      <c r="AO323" s="73"/>
      <c r="AQ323" s="70"/>
    </row>
    <row r="324" spans="3:43" s="69" customFormat="1" x14ac:dyDescent="0.25">
      <c r="C324" s="79"/>
      <c r="E324" s="70"/>
      <c r="U324" s="71"/>
      <c r="V324" s="72"/>
      <c r="W324" s="72"/>
      <c r="X324" s="70"/>
      <c r="Y324" s="70"/>
      <c r="AA324" s="73"/>
      <c r="AB324" s="73"/>
      <c r="AC324" s="73"/>
      <c r="AD324" s="73"/>
      <c r="AE324" s="72"/>
      <c r="AF324" s="73"/>
      <c r="AH324" s="73"/>
      <c r="AI324" s="73"/>
      <c r="AJ324" s="73"/>
      <c r="AK324" s="73"/>
      <c r="AL324" s="73"/>
      <c r="AM324" s="73"/>
      <c r="AN324" s="73"/>
      <c r="AO324" s="73"/>
      <c r="AQ324" s="70"/>
    </row>
    <row r="325" spans="3:43" s="69" customFormat="1" x14ac:dyDescent="0.25">
      <c r="C325" s="79"/>
      <c r="E325" s="70"/>
      <c r="U325" s="71"/>
      <c r="V325" s="72"/>
      <c r="W325" s="72"/>
      <c r="X325" s="70"/>
      <c r="Y325" s="70"/>
      <c r="AA325" s="73"/>
      <c r="AB325" s="73"/>
      <c r="AC325" s="73"/>
      <c r="AD325" s="73"/>
      <c r="AE325" s="72"/>
      <c r="AF325" s="73"/>
      <c r="AH325" s="73"/>
      <c r="AI325" s="73"/>
      <c r="AJ325" s="73"/>
      <c r="AK325" s="73"/>
      <c r="AL325" s="73"/>
      <c r="AM325" s="73"/>
      <c r="AN325" s="73"/>
      <c r="AO325" s="73"/>
      <c r="AQ325" s="70"/>
    </row>
    <row r="326" spans="3:43" s="69" customFormat="1" x14ac:dyDescent="0.25">
      <c r="C326" s="79"/>
      <c r="E326" s="70"/>
      <c r="U326" s="71"/>
      <c r="V326" s="72"/>
      <c r="W326" s="72"/>
      <c r="X326" s="70"/>
      <c r="Y326" s="70"/>
      <c r="AA326" s="73"/>
      <c r="AB326" s="73"/>
      <c r="AC326" s="73"/>
      <c r="AD326" s="73"/>
      <c r="AE326" s="72"/>
      <c r="AF326" s="73"/>
      <c r="AH326" s="73"/>
      <c r="AI326" s="73"/>
      <c r="AJ326" s="73"/>
      <c r="AK326" s="73"/>
      <c r="AL326" s="73"/>
      <c r="AM326" s="73"/>
      <c r="AN326" s="73"/>
      <c r="AO326" s="73"/>
      <c r="AQ326" s="70"/>
    </row>
    <row r="327" spans="3:43" s="69" customFormat="1" x14ac:dyDescent="0.25">
      <c r="C327" s="79"/>
      <c r="E327" s="70"/>
      <c r="U327" s="71"/>
      <c r="V327" s="72"/>
      <c r="W327" s="72"/>
      <c r="X327" s="70"/>
      <c r="Y327" s="70"/>
      <c r="AA327" s="73"/>
      <c r="AB327" s="73"/>
      <c r="AC327" s="73"/>
      <c r="AD327" s="73"/>
      <c r="AE327" s="72"/>
      <c r="AF327" s="73"/>
      <c r="AH327" s="73"/>
      <c r="AI327" s="73"/>
      <c r="AJ327" s="73"/>
      <c r="AK327" s="73"/>
      <c r="AL327" s="73"/>
      <c r="AM327" s="73"/>
      <c r="AN327" s="73"/>
      <c r="AO327" s="73"/>
      <c r="AQ327" s="70"/>
    </row>
    <row r="328" spans="3:43" s="69" customFormat="1" x14ac:dyDescent="0.25">
      <c r="C328" s="79"/>
      <c r="E328" s="70"/>
      <c r="U328" s="71"/>
      <c r="V328" s="72"/>
      <c r="W328" s="72"/>
      <c r="X328" s="70"/>
      <c r="Y328" s="70"/>
      <c r="AA328" s="73"/>
      <c r="AB328" s="73"/>
      <c r="AC328" s="73"/>
      <c r="AD328" s="73"/>
      <c r="AE328" s="72"/>
      <c r="AF328" s="73"/>
      <c r="AH328" s="73"/>
      <c r="AI328" s="73"/>
      <c r="AJ328" s="73"/>
      <c r="AK328" s="73"/>
      <c r="AL328" s="73"/>
      <c r="AM328" s="73"/>
      <c r="AN328" s="73"/>
      <c r="AO328" s="73"/>
      <c r="AQ328" s="70"/>
    </row>
    <row r="329" spans="3:43" s="69" customFormat="1" x14ac:dyDescent="0.25">
      <c r="C329" s="79"/>
      <c r="E329" s="70"/>
      <c r="U329" s="71"/>
      <c r="V329" s="72"/>
      <c r="W329" s="72"/>
      <c r="X329" s="70"/>
      <c r="Y329" s="70"/>
      <c r="AA329" s="73"/>
      <c r="AB329" s="73"/>
      <c r="AC329" s="73"/>
      <c r="AD329" s="73"/>
      <c r="AE329" s="72"/>
      <c r="AF329" s="73"/>
      <c r="AH329" s="73"/>
      <c r="AI329" s="73"/>
      <c r="AJ329" s="73"/>
      <c r="AK329" s="73"/>
      <c r="AL329" s="73"/>
      <c r="AM329" s="73"/>
      <c r="AN329" s="73"/>
      <c r="AO329" s="73"/>
      <c r="AQ329" s="70"/>
    </row>
    <row r="330" spans="3:43" s="69" customFormat="1" x14ac:dyDescent="0.25">
      <c r="C330" s="79"/>
      <c r="E330" s="70"/>
      <c r="U330" s="71"/>
      <c r="V330" s="72"/>
      <c r="W330" s="72"/>
      <c r="X330" s="70"/>
      <c r="Y330" s="70"/>
      <c r="AA330" s="73"/>
      <c r="AB330" s="73"/>
      <c r="AC330" s="73"/>
      <c r="AD330" s="73"/>
      <c r="AE330" s="72"/>
      <c r="AF330" s="73"/>
      <c r="AH330" s="73"/>
      <c r="AI330" s="73"/>
      <c r="AJ330" s="73"/>
      <c r="AK330" s="73"/>
      <c r="AL330" s="73"/>
      <c r="AM330" s="73"/>
      <c r="AN330" s="73"/>
      <c r="AO330" s="73"/>
      <c r="AQ330" s="70"/>
    </row>
    <row r="331" spans="3:43" s="69" customFormat="1" x14ac:dyDescent="0.25">
      <c r="C331" s="79"/>
      <c r="E331" s="70"/>
      <c r="U331" s="71"/>
      <c r="V331" s="72"/>
      <c r="W331" s="72"/>
      <c r="X331" s="70"/>
      <c r="Y331" s="70"/>
      <c r="AA331" s="73"/>
      <c r="AB331" s="73"/>
      <c r="AC331" s="73"/>
      <c r="AD331" s="73"/>
      <c r="AE331" s="72"/>
      <c r="AF331" s="73"/>
      <c r="AH331" s="73"/>
      <c r="AI331" s="73"/>
      <c r="AJ331" s="73"/>
      <c r="AK331" s="73"/>
      <c r="AL331" s="73"/>
      <c r="AM331" s="73"/>
      <c r="AN331" s="73"/>
      <c r="AO331" s="73"/>
      <c r="AQ331" s="70"/>
    </row>
    <row r="332" spans="3:43" s="69" customFormat="1" x14ac:dyDescent="0.25">
      <c r="C332" s="79"/>
      <c r="E332" s="70"/>
      <c r="U332" s="71"/>
      <c r="V332" s="72"/>
      <c r="W332" s="72"/>
      <c r="X332" s="70"/>
      <c r="Y332" s="70"/>
      <c r="AA332" s="73"/>
      <c r="AB332" s="73"/>
      <c r="AC332" s="73"/>
      <c r="AD332" s="73"/>
      <c r="AE332" s="72"/>
      <c r="AF332" s="73"/>
      <c r="AH332" s="73"/>
      <c r="AI332" s="73"/>
      <c r="AJ332" s="73"/>
      <c r="AK332" s="73"/>
      <c r="AL332" s="73"/>
      <c r="AM332" s="73"/>
      <c r="AN332" s="73"/>
      <c r="AO332" s="73"/>
      <c r="AQ332" s="70"/>
    </row>
    <row r="333" spans="3:43" s="69" customFormat="1" x14ac:dyDescent="0.25">
      <c r="C333" s="79"/>
      <c r="E333" s="70"/>
      <c r="U333" s="71"/>
      <c r="V333" s="72"/>
      <c r="W333" s="72"/>
      <c r="X333" s="70"/>
      <c r="Y333" s="70"/>
      <c r="AA333" s="73"/>
      <c r="AB333" s="73"/>
      <c r="AC333" s="73"/>
      <c r="AD333" s="73"/>
      <c r="AE333" s="72"/>
      <c r="AF333" s="73"/>
      <c r="AH333" s="73"/>
      <c r="AI333" s="73"/>
      <c r="AJ333" s="73"/>
      <c r="AK333" s="73"/>
      <c r="AL333" s="73"/>
      <c r="AM333" s="73"/>
      <c r="AN333" s="73"/>
      <c r="AO333" s="73"/>
      <c r="AQ333" s="70"/>
    </row>
    <row r="334" spans="3:43" s="69" customFormat="1" x14ac:dyDescent="0.25">
      <c r="C334" s="79"/>
      <c r="E334" s="70"/>
      <c r="U334" s="71"/>
      <c r="V334" s="72"/>
      <c r="W334" s="72"/>
      <c r="X334" s="70"/>
      <c r="Y334" s="70"/>
      <c r="AA334" s="73"/>
      <c r="AB334" s="73"/>
      <c r="AC334" s="73"/>
      <c r="AD334" s="73"/>
      <c r="AE334" s="72"/>
      <c r="AF334" s="73"/>
      <c r="AH334" s="73"/>
      <c r="AI334" s="73"/>
      <c r="AJ334" s="73"/>
      <c r="AK334" s="73"/>
      <c r="AL334" s="73"/>
      <c r="AM334" s="73"/>
      <c r="AN334" s="73"/>
      <c r="AO334" s="73"/>
      <c r="AQ334" s="70"/>
    </row>
    <row r="335" spans="3:43" s="69" customFormat="1" x14ac:dyDescent="0.25">
      <c r="C335" s="79"/>
      <c r="E335" s="70"/>
      <c r="U335" s="71"/>
      <c r="V335" s="72"/>
      <c r="W335" s="72"/>
      <c r="X335" s="70"/>
      <c r="Y335" s="70"/>
      <c r="AA335" s="73"/>
      <c r="AB335" s="73"/>
      <c r="AC335" s="73"/>
      <c r="AD335" s="73"/>
      <c r="AE335" s="72"/>
      <c r="AF335" s="73"/>
      <c r="AH335" s="73"/>
      <c r="AI335" s="73"/>
      <c r="AJ335" s="73"/>
      <c r="AK335" s="73"/>
      <c r="AL335" s="73"/>
      <c r="AM335" s="73"/>
      <c r="AN335" s="73"/>
      <c r="AO335" s="73"/>
      <c r="AQ335" s="70"/>
    </row>
    <row r="336" spans="3:43" s="69" customFormat="1" x14ac:dyDescent="0.25">
      <c r="C336" s="79"/>
      <c r="E336" s="70"/>
      <c r="U336" s="71"/>
      <c r="V336" s="72"/>
      <c r="W336" s="72"/>
      <c r="X336" s="70"/>
      <c r="Y336" s="70"/>
      <c r="AA336" s="73"/>
      <c r="AB336" s="73"/>
      <c r="AC336" s="73"/>
      <c r="AD336" s="73"/>
      <c r="AE336" s="72"/>
      <c r="AF336" s="73"/>
      <c r="AH336" s="73"/>
      <c r="AI336" s="73"/>
      <c r="AJ336" s="73"/>
      <c r="AK336" s="73"/>
      <c r="AL336" s="73"/>
      <c r="AM336" s="73"/>
      <c r="AN336" s="73"/>
      <c r="AO336" s="73"/>
      <c r="AQ336" s="70"/>
    </row>
    <row r="337" spans="3:43" s="69" customFormat="1" x14ac:dyDescent="0.25">
      <c r="C337" s="79"/>
      <c r="E337" s="70"/>
      <c r="U337" s="71"/>
      <c r="V337" s="72"/>
      <c r="W337" s="72"/>
      <c r="X337" s="70"/>
      <c r="Y337" s="70"/>
      <c r="AA337" s="73"/>
      <c r="AB337" s="73"/>
      <c r="AC337" s="73"/>
      <c r="AD337" s="73"/>
      <c r="AE337" s="72"/>
      <c r="AF337" s="73"/>
      <c r="AH337" s="73"/>
      <c r="AI337" s="73"/>
      <c r="AJ337" s="73"/>
      <c r="AK337" s="73"/>
      <c r="AL337" s="73"/>
      <c r="AM337" s="73"/>
      <c r="AN337" s="73"/>
      <c r="AO337" s="73"/>
      <c r="AQ337" s="70"/>
    </row>
    <row r="338" spans="3:43" s="69" customFormat="1" x14ac:dyDescent="0.25">
      <c r="C338" s="79"/>
      <c r="E338" s="70"/>
      <c r="U338" s="71"/>
      <c r="V338" s="72"/>
      <c r="W338" s="72"/>
      <c r="X338" s="70"/>
      <c r="Y338" s="70"/>
      <c r="AA338" s="73"/>
      <c r="AB338" s="73"/>
      <c r="AC338" s="73"/>
      <c r="AD338" s="73"/>
      <c r="AE338" s="72"/>
      <c r="AF338" s="73"/>
      <c r="AH338" s="73"/>
      <c r="AI338" s="73"/>
      <c r="AJ338" s="73"/>
      <c r="AK338" s="73"/>
      <c r="AL338" s="73"/>
      <c r="AM338" s="73"/>
      <c r="AN338" s="73"/>
      <c r="AO338" s="73"/>
      <c r="AQ338" s="70"/>
    </row>
    <row r="339" spans="3:43" s="69" customFormat="1" x14ac:dyDescent="0.25">
      <c r="C339" s="79"/>
      <c r="E339" s="70"/>
      <c r="U339" s="71"/>
      <c r="V339" s="72"/>
      <c r="W339" s="72"/>
      <c r="X339" s="70"/>
      <c r="Y339" s="70"/>
      <c r="AA339" s="73"/>
      <c r="AB339" s="73"/>
      <c r="AC339" s="73"/>
      <c r="AD339" s="73"/>
      <c r="AE339" s="72"/>
      <c r="AF339" s="73"/>
      <c r="AH339" s="73"/>
      <c r="AI339" s="73"/>
      <c r="AJ339" s="73"/>
      <c r="AK339" s="73"/>
      <c r="AL339" s="73"/>
      <c r="AM339" s="73"/>
      <c r="AN339" s="73"/>
      <c r="AO339" s="73"/>
      <c r="AQ339" s="70"/>
    </row>
    <row r="340" spans="3:43" s="69" customFormat="1" x14ac:dyDescent="0.25">
      <c r="C340" s="79"/>
      <c r="E340" s="70"/>
      <c r="U340" s="71"/>
      <c r="V340" s="72"/>
      <c r="W340" s="72"/>
      <c r="X340" s="70"/>
      <c r="Y340" s="70"/>
      <c r="AA340" s="73"/>
      <c r="AB340" s="73"/>
      <c r="AC340" s="73"/>
      <c r="AD340" s="73"/>
      <c r="AE340" s="72"/>
      <c r="AF340" s="73"/>
      <c r="AH340" s="73"/>
      <c r="AI340" s="73"/>
      <c r="AJ340" s="73"/>
      <c r="AK340" s="73"/>
      <c r="AL340" s="73"/>
      <c r="AM340" s="73"/>
      <c r="AN340" s="73"/>
      <c r="AO340" s="73"/>
      <c r="AQ340" s="70"/>
    </row>
    <row r="341" spans="3:43" s="69" customFormat="1" x14ac:dyDescent="0.25">
      <c r="C341" s="79"/>
      <c r="E341" s="70"/>
      <c r="U341" s="71"/>
      <c r="V341" s="72"/>
      <c r="W341" s="72"/>
      <c r="X341" s="70"/>
      <c r="Y341" s="70"/>
      <c r="AA341" s="73"/>
      <c r="AB341" s="73"/>
      <c r="AC341" s="73"/>
      <c r="AD341" s="73"/>
      <c r="AE341" s="72"/>
      <c r="AF341" s="73"/>
      <c r="AH341" s="73"/>
      <c r="AI341" s="73"/>
      <c r="AJ341" s="73"/>
      <c r="AK341" s="73"/>
      <c r="AL341" s="73"/>
      <c r="AM341" s="73"/>
      <c r="AN341" s="73"/>
      <c r="AO341" s="73"/>
      <c r="AQ341" s="70"/>
    </row>
    <row r="342" spans="3:43" s="69" customFormat="1" x14ac:dyDescent="0.25">
      <c r="C342" s="79"/>
      <c r="E342" s="70"/>
      <c r="U342" s="71"/>
      <c r="V342" s="72"/>
      <c r="W342" s="72"/>
      <c r="X342" s="70"/>
      <c r="Y342" s="70"/>
      <c r="AA342" s="73"/>
      <c r="AB342" s="73"/>
      <c r="AC342" s="73"/>
      <c r="AD342" s="73"/>
      <c r="AE342" s="72"/>
      <c r="AF342" s="73"/>
      <c r="AH342" s="73"/>
      <c r="AI342" s="73"/>
      <c r="AJ342" s="73"/>
      <c r="AK342" s="73"/>
      <c r="AL342" s="73"/>
      <c r="AM342" s="73"/>
      <c r="AN342" s="73"/>
      <c r="AO342" s="73"/>
      <c r="AQ342" s="70"/>
    </row>
    <row r="343" spans="3:43" s="69" customFormat="1" x14ac:dyDescent="0.25">
      <c r="C343" s="79"/>
      <c r="E343" s="70"/>
      <c r="U343" s="71"/>
      <c r="V343" s="72"/>
      <c r="W343" s="72"/>
      <c r="X343" s="70"/>
      <c r="Y343" s="70"/>
      <c r="AA343" s="73"/>
      <c r="AB343" s="73"/>
      <c r="AC343" s="73"/>
      <c r="AD343" s="73"/>
      <c r="AE343" s="72"/>
      <c r="AF343" s="73"/>
      <c r="AH343" s="73"/>
      <c r="AI343" s="73"/>
      <c r="AJ343" s="73"/>
      <c r="AK343" s="73"/>
      <c r="AL343" s="73"/>
      <c r="AM343" s="73"/>
      <c r="AN343" s="73"/>
      <c r="AO343" s="73"/>
      <c r="AQ343" s="70"/>
    </row>
    <row r="344" spans="3:43" s="69" customFormat="1" x14ac:dyDescent="0.25">
      <c r="C344" s="79"/>
      <c r="E344" s="70"/>
      <c r="U344" s="71"/>
      <c r="V344" s="72"/>
      <c r="W344" s="72"/>
      <c r="X344" s="70"/>
      <c r="Y344" s="70"/>
      <c r="AA344" s="73"/>
      <c r="AB344" s="73"/>
      <c r="AC344" s="73"/>
      <c r="AD344" s="73"/>
      <c r="AE344" s="72"/>
      <c r="AF344" s="73"/>
      <c r="AH344" s="73"/>
      <c r="AI344" s="73"/>
      <c r="AJ344" s="73"/>
      <c r="AK344" s="73"/>
      <c r="AL344" s="73"/>
      <c r="AM344" s="73"/>
      <c r="AN344" s="73"/>
      <c r="AO344" s="73"/>
      <c r="AQ344" s="70"/>
    </row>
    <row r="345" spans="3:43" s="69" customFormat="1" x14ac:dyDescent="0.25">
      <c r="C345" s="79"/>
      <c r="E345" s="70"/>
      <c r="U345" s="71"/>
      <c r="V345" s="72"/>
      <c r="W345" s="72"/>
      <c r="X345" s="70"/>
      <c r="Y345" s="70"/>
      <c r="AA345" s="73"/>
      <c r="AB345" s="73"/>
      <c r="AC345" s="73"/>
      <c r="AD345" s="73"/>
      <c r="AE345" s="72"/>
      <c r="AF345" s="73"/>
      <c r="AH345" s="73"/>
      <c r="AI345" s="73"/>
      <c r="AJ345" s="73"/>
      <c r="AK345" s="73"/>
      <c r="AL345" s="73"/>
      <c r="AM345" s="73"/>
      <c r="AN345" s="73"/>
      <c r="AO345" s="73"/>
      <c r="AQ345" s="70"/>
    </row>
    <row r="346" spans="3:43" s="69" customFormat="1" x14ac:dyDescent="0.25">
      <c r="C346" s="79"/>
      <c r="E346" s="70"/>
      <c r="U346" s="71"/>
      <c r="V346" s="72"/>
      <c r="W346" s="72"/>
      <c r="X346" s="70"/>
      <c r="Y346" s="70"/>
      <c r="AA346" s="73"/>
      <c r="AB346" s="73"/>
      <c r="AC346" s="73"/>
      <c r="AD346" s="73"/>
      <c r="AE346" s="72"/>
      <c r="AF346" s="73"/>
      <c r="AH346" s="73"/>
      <c r="AI346" s="73"/>
      <c r="AJ346" s="73"/>
      <c r="AK346" s="73"/>
      <c r="AL346" s="73"/>
      <c r="AM346" s="73"/>
      <c r="AN346" s="73"/>
      <c r="AO346" s="73"/>
      <c r="AQ346" s="70"/>
    </row>
    <row r="347" spans="3:43" s="69" customFormat="1" x14ac:dyDescent="0.25">
      <c r="C347" s="79"/>
      <c r="E347" s="70"/>
      <c r="U347" s="71"/>
      <c r="V347" s="72"/>
      <c r="W347" s="72"/>
      <c r="X347" s="70"/>
      <c r="Y347" s="70"/>
      <c r="AA347" s="73"/>
      <c r="AB347" s="73"/>
      <c r="AC347" s="73"/>
      <c r="AD347" s="73"/>
      <c r="AE347" s="72"/>
      <c r="AF347" s="73"/>
      <c r="AH347" s="73"/>
      <c r="AI347" s="73"/>
      <c r="AJ347" s="73"/>
      <c r="AK347" s="73"/>
      <c r="AL347" s="73"/>
      <c r="AM347" s="73"/>
      <c r="AN347" s="73"/>
      <c r="AO347" s="73"/>
      <c r="AQ347" s="70"/>
    </row>
    <row r="348" spans="3:43" s="69" customFormat="1" x14ac:dyDescent="0.25">
      <c r="C348" s="79"/>
      <c r="E348" s="70"/>
      <c r="U348" s="71"/>
      <c r="V348" s="72"/>
      <c r="W348" s="72"/>
      <c r="X348" s="70"/>
      <c r="Y348" s="70"/>
      <c r="AA348" s="73"/>
      <c r="AB348" s="73"/>
      <c r="AC348" s="73"/>
      <c r="AD348" s="73"/>
      <c r="AE348" s="72"/>
      <c r="AF348" s="73"/>
      <c r="AH348" s="73"/>
      <c r="AI348" s="73"/>
      <c r="AJ348" s="73"/>
      <c r="AK348" s="73"/>
      <c r="AL348" s="73"/>
      <c r="AM348" s="73"/>
      <c r="AN348" s="73"/>
      <c r="AO348" s="73"/>
      <c r="AQ348" s="70"/>
    </row>
    <row r="349" spans="3:43" s="69" customFormat="1" x14ac:dyDescent="0.25">
      <c r="C349" s="79"/>
      <c r="E349" s="70"/>
      <c r="U349" s="71"/>
      <c r="V349" s="72"/>
      <c r="W349" s="72"/>
      <c r="X349" s="70"/>
      <c r="Y349" s="70"/>
      <c r="AA349" s="73"/>
      <c r="AB349" s="73"/>
      <c r="AC349" s="73"/>
      <c r="AD349" s="73"/>
      <c r="AE349" s="72"/>
      <c r="AF349" s="73"/>
      <c r="AH349" s="73"/>
      <c r="AI349" s="73"/>
      <c r="AJ349" s="73"/>
      <c r="AK349" s="73"/>
      <c r="AL349" s="73"/>
      <c r="AM349" s="73"/>
      <c r="AN349" s="73"/>
      <c r="AO349" s="73"/>
      <c r="AQ349" s="70"/>
    </row>
    <row r="350" spans="3:43" s="69" customFormat="1" x14ac:dyDescent="0.25">
      <c r="C350" s="79"/>
      <c r="E350" s="70"/>
      <c r="U350" s="71"/>
      <c r="V350" s="72"/>
      <c r="W350" s="72"/>
      <c r="X350" s="70"/>
      <c r="Y350" s="70"/>
      <c r="AA350" s="73"/>
      <c r="AB350" s="73"/>
      <c r="AC350" s="73"/>
      <c r="AD350" s="73"/>
      <c r="AE350" s="72"/>
      <c r="AF350" s="73"/>
      <c r="AH350" s="73"/>
      <c r="AI350" s="73"/>
      <c r="AJ350" s="73"/>
      <c r="AK350" s="73"/>
      <c r="AL350" s="73"/>
      <c r="AM350" s="73"/>
      <c r="AN350" s="73"/>
      <c r="AO350" s="73"/>
      <c r="AQ350" s="70"/>
    </row>
    <row r="351" spans="3:43" s="69" customFormat="1" x14ac:dyDescent="0.25">
      <c r="C351" s="79"/>
      <c r="E351" s="70"/>
      <c r="U351" s="71"/>
      <c r="V351" s="72"/>
      <c r="W351" s="72"/>
      <c r="X351" s="70"/>
      <c r="Y351" s="70"/>
      <c r="AA351" s="73"/>
      <c r="AB351" s="73"/>
      <c r="AC351" s="73"/>
      <c r="AD351" s="73"/>
      <c r="AE351" s="72"/>
      <c r="AF351" s="73"/>
      <c r="AH351" s="73"/>
      <c r="AI351" s="73"/>
      <c r="AJ351" s="73"/>
      <c r="AK351" s="73"/>
      <c r="AL351" s="73"/>
      <c r="AM351" s="73"/>
      <c r="AN351" s="73"/>
      <c r="AO351" s="73"/>
      <c r="AQ351" s="70"/>
    </row>
    <row r="352" spans="3:43" s="69" customFormat="1" x14ac:dyDescent="0.25">
      <c r="C352" s="79"/>
      <c r="E352" s="70"/>
      <c r="U352" s="71"/>
      <c r="V352" s="72"/>
      <c r="W352" s="72"/>
      <c r="X352" s="70"/>
      <c r="Y352" s="70"/>
      <c r="AA352" s="73"/>
      <c r="AB352" s="73"/>
      <c r="AC352" s="73"/>
      <c r="AD352" s="73"/>
      <c r="AE352" s="72"/>
      <c r="AF352" s="73"/>
      <c r="AH352" s="73"/>
      <c r="AI352" s="73"/>
      <c r="AJ352" s="73"/>
      <c r="AK352" s="73"/>
      <c r="AL352" s="73"/>
      <c r="AM352" s="73"/>
      <c r="AN352" s="73"/>
      <c r="AO352" s="73"/>
      <c r="AQ352" s="70"/>
    </row>
    <row r="353" spans="3:43" s="69" customFormat="1" x14ac:dyDescent="0.25">
      <c r="C353" s="79"/>
      <c r="E353" s="70"/>
      <c r="U353" s="71"/>
      <c r="V353" s="72"/>
      <c r="W353" s="72"/>
      <c r="X353" s="70"/>
      <c r="Y353" s="70"/>
      <c r="AA353" s="73"/>
      <c r="AB353" s="73"/>
      <c r="AC353" s="73"/>
      <c r="AD353" s="73"/>
      <c r="AE353" s="72"/>
      <c r="AF353" s="73"/>
      <c r="AH353" s="73"/>
      <c r="AI353" s="73"/>
      <c r="AJ353" s="73"/>
      <c r="AK353" s="73"/>
      <c r="AL353" s="73"/>
      <c r="AM353" s="73"/>
      <c r="AN353" s="73"/>
      <c r="AO353" s="73"/>
      <c r="AQ353" s="70"/>
    </row>
    <row r="354" spans="3:43" s="69" customFormat="1" x14ac:dyDescent="0.25">
      <c r="C354" s="79"/>
      <c r="E354" s="70"/>
      <c r="U354" s="71"/>
      <c r="V354" s="72"/>
      <c r="W354" s="72"/>
      <c r="X354" s="70"/>
      <c r="Y354" s="70"/>
      <c r="AA354" s="73"/>
      <c r="AB354" s="73"/>
      <c r="AC354" s="73"/>
      <c r="AD354" s="73"/>
      <c r="AE354" s="72"/>
      <c r="AF354" s="73"/>
      <c r="AH354" s="73"/>
      <c r="AI354" s="73"/>
      <c r="AJ354" s="73"/>
      <c r="AK354" s="73"/>
      <c r="AL354" s="73"/>
      <c r="AM354" s="73"/>
      <c r="AN354" s="73"/>
      <c r="AO354" s="73"/>
      <c r="AQ354" s="70"/>
    </row>
    <row r="355" spans="3:43" s="69" customFormat="1" x14ac:dyDescent="0.25">
      <c r="C355" s="79"/>
      <c r="E355" s="70"/>
      <c r="U355" s="71"/>
      <c r="V355" s="72"/>
      <c r="W355" s="72"/>
      <c r="X355" s="70"/>
      <c r="Y355" s="70"/>
      <c r="AA355" s="73"/>
      <c r="AB355" s="73"/>
      <c r="AC355" s="73"/>
      <c r="AD355" s="73"/>
      <c r="AE355" s="72"/>
      <c r="AF355" s="73"/>
      <c r="AH355" s="73"/>
      <c r="AI355" s="73"/>
      <c r="AJ355" s="73"/>
      <c r="AK355" s="73"/>
      <c r="AL355" s="73"/>
      <c r="AM355" s="73"/>
      <c r="AN355" s="73"/>
      <c r="AO355" s="73"/>
      <c r="AQ355" s="70"/>
    </row>
    <row r="356" spans="3:43" s="69" customFormat="1" x14ac:dyDescent="0.25">
      <c r="C356" s="79"/>
      <c r="E356" s="70"/>
      <c r="U356" s="71"/>
      <c r="V356" s="72"/>
      <c r="W356" s="72"/>
      <c r="X356" s="70"/>
      <c r="Y356" s="70"/>
      <c r="AA356" s="73"/>
      <c r="AB356" s="73"/>
      <c r="AC356" s="73"/>
      <c r="AD356" s="73"/>
      <c r="AE356" s="72"/>
      <c r="AF356" s="73"/>
      <c r="AH356" s="73"/>
      <c r="AI356" s="73"/>
      <c r="AJ356" s="73"/>
      <c r="AK356" s="73"/>
      <c r="AL356" s="73"/>
      <c r="AM356" s="73"/>
      <c r="AN356" s="73"/>
      <c r="AO356" s="73"/>
      <c r="AQ356" s="70"/>
    </row>
    <row r="357" spans="3:43" s="69" customFormat="1" x14ac:dyDescent="0.25">
      <c r="C357" s="79"/>
      <c r="E357" s="70"/>
      <c r="U357" s="71"/>
      <c r="V357" s="72"/>
      <c r="W357" s="72"/>
      <c r="X357" s="70"/>
      <c r="Y357" s="70"/>
      <c r="AA357" s="73"/>
      <c r="AB357" s="73"/>
      <c r="AC357" s="73"/>
      <c r="AD357" s="73"/>
      <c r="AE357" s="72"/>
      <c r="AF357" s="73"/>
      <c r="AH357" s="73"/>
      <c r="AI357" s="73"/>
      <c r="AJ357" s="73"/>
      <c r="AK357" s="73"/>
      <c r="AL357" s="73"/>
      <c r="AM357" s="73"/>
      <c r="AN357" s="73"/>
      <c r="AO357" s="73"/>
      <c r="AQ357" s="70"/>
    </row>
    <row r="358" spans="3:43" s="69" customFormat="1" x14ac:dyDescent="0.25">
      <c r="C358" s="79"/>
      <c r="E358" s="70"/>
      <c r="U358" s="71"/>
      <c r="V358" s="72"/>
      <c r="W358" s="72"/>
      <c r="X358" s="70"/>
      <c r="Y358" s="70"/>
      <c r="AA358" s="73"/>
      <c r="AB358" s="73"/>
      <c r="AC358" s="73"/>
      <c r="AD358" s="73"/>
      <c r="AE358" s="72"/>
      <c r="AF358" s="73"/>
      <c r="AH358" s="73"/>
      <c r="AI358" s="73"/>
      <c r="AJ358" s="73"/>
      <c r="AK358" s="73"/>
      <c r="AL358" s="73"/>
      <c r="AM358" s="73"/>
      <c r="AN358" s="73"/>
      <c r="AO358" s="73"/>
      <c r="AQ358" s="70"/>
    </row>
    <row r="359" spans="3:43" s="69" customFormat="1" x14ac:dyDescent="0.25">
      <c r="C359" s="79"/>
      <c r="E359" s="70"/>
      <c r="U359" s="71"/>
      <c r="V359" s="72"/>
      <c r="W359" s="72"/>
      <c r="X359" s="70"/>
      <c r="Y359" s="70"/>
      <c r="AA359" s="73"/>
      <c r="AB359" s="73"/>
      <c r="AC359" s="73"/>
      <c r="AD359" s="73"/>
      <c r="AE359" s="72"/>
      <c r="AF359" s="73"/>
      <c r="AH359" s="73"/>
      <c r="AI359" s="73"/>
      <c r="AJ359" s="73"/>
      <c r="AK359" s="73"/>
      <c r="AL359" s="73"/>
      <c r="AM359" s="73"/>
      <c r="AN359" s="73"/>
      <c r="AO359" s="73"/>
      <c r="AQ359" s="70"/>
    </row>
    <row r="360" spans="3:43" s="69" customFormat="1" x14ac:dyDescent="0.25">
      <c r="C360" s="79"/>
      <c r="E360" s="70"/>
      <c r="U360" s="71"/>
      <c r="V360" s="72"/>
      <c r="W360" s="72"/>
      <c r="X360" s="70"/>
      <c r="Y360" s="70"/>
      <c r="AA360" s="73"/>
      <c r="AB360" s="73"/>
      <c r="AC360" s="73"/>
      <c r="AD360" s="73"/>
      <c r="AE360" s="72"/>
      <c r="AF360" s="73"/>
      <c r="AH360" s="73"/>
      <c r="AI360" s="73"/>
      <c r="AJ360" s="73"/>
      <c r="AK360" s="73"/>
      <c r="AL360" s="73"/>
      <c r="AM360" s="73"/>
      <c r="AN360" s="73"/>
      <c r="AO360" s="73"/>
      <c r="AQ360" s="70"/>
    </row>
    <row r="361" spans="3:43" s="69" customFormat="1" x14ac:dyDescent="0.25">
      <c r="C361" s="79"/>
      <c r="E361" s="70"/>
      <c r="U361" s="71"/>
      <c r="V361" s="72"/>
      <c r="W361" s="72"/>
      <c r="X361" s="70"/>
      <c r="Y361" s="70"/>
      <c r="AA361" s="73"/>
      <c r="AB361" s="73"/>
      <c r="AC361" s="73"/>
      <c r="AD361" s="73"/>
      <c r="AE361" s="72"/>
      <c r="AF361" s="73"/>
      <c r="AH361" s="73"/>
      <c r="AI361" s="73"/>
      <c r="AJ361" s="73"/>
      <c r="AK361" s="73"/>
      <c r="AL361" s="73"/>
      <c r="AM361" s="73"/>
      <c r="AN361" s="73"/>
      <c r="AO361" s="73"/>
      <c r="AQ361" s="70"/>
    </row>
    <row r="362" spans="3:43" s="69" customFormat="1" x14ac:dyDescent="0.25">
      <c r="C362" s="79"/>
      <c r="E362" s="70"/>
      <c r="U362" s="71"/>
      <c r="V362" s="72"/>
      <c r="W362" s="72"/>
      <c r="X362" s="70"/>
      <c r="Y362" s="70"/>
      <c r="AA362" s="73"/>
      <c r="AB362" s="73"/>
      <c r="AC362" s="73"/>
      <c r="AD362" s="73"/>
      <c r="AE362" s="72"/>
      <c r="AF362" s="73"/>
      <c r="AH362" s="73"/>
      <c r="AI362" s="73"/>
      <c r="AJ362" s="73"/>
      <c r="AK362" s="73"/>
      <c r="AL362" s="73"/>
      <c r="AM362" s="73"/>
      <c r="AN362" s="73"/>
      <c r="AO362" s="73"/>
      <c r="AQ362" s="70"/>
    </row>
    <row r="363" spans="3:43" s="69" customFormat="1" x14ac:dyDescent="0.25">
      <c r="C363" s="79"/>
      <c r="E363" s="70"/>
      <c r="U363" s="71"/>
      <c r="V363" s="72"/>
      <c r="W363" s="72"/>
      <c r="X363" s="70"/>
      <c r="Y363" s="70"/>
      <c r="AA363" s="73"/>
      <c r="AB363" s="73"/>
      <c r="AC363" s="73"/>
      <c r="AD363" s="73"/>
      <c r="AE363" s="72"/>
      <c r="AF363" s="73"/>
      <c r="AH363" s="73"/>
      <c r="AI363" s="73"/>
      <c r="AJ363" s="73"/>
      <c r="AK363" s="73"/>
      <c r="AL363" s="73"/>
      <c r="AM363" s="73"/>
      <c r="AN363" s="73"/>
      <c r="AO363" s="73"/>
      <c r="AQ363" s="70"/>
    </row>
    <row r="364" spans="3:43" s="69" customFormat="1" x14ac:dyDescent="0.25">
      <c r="C364" s="79"/>
      <c r="E364" s="70"/>
      <c r="U364" s="71"/>
      <c r="V364" s="72"/>
      <c r="W364" s="72"/>
      <c r="X364" s="70"/>
      <c r="Y364" s="70"/>
      <c r="AA364" s="73"/>
      <c r="AB364" s="73"/>
      <c r="AC364" s="73"/>
      <c r="AD364" s="73"/>
      <c r="AE364" s="72"/>
      <c r="AF364" s="73"/>
      <c r="AH364" s="73"/>
      <c r="AI364" s="73"/>
      <c r="AJ364" s="73"/>
      <c r="AK364" s="73"/>
      <c r="AL364" s="73"/>
      <c r="AM364" s="73"/>
      <c r="AN364" s="73"/>
      <c r="AO364" s="73"/>
      <c r="AQ364" s="70"/>
    </row>
    <row r="365" spans="3:43" s="69" customFormat="1" x14ac:dyDescent="0.25">
      <c r="C365" s="79"/>
      <c r="E365" s="70"/>
      <c r="U365" s="71"/>
      <c r="V365" s="72"/>
      <c r="W365" s="72"/>
      <c r="X365" s="70"/>
      <c r="Y365" s="70"/>
      <c r="AA365" s="73"/>
      <c r="AB365" s="73"/>
      <c r="AC365" s="73"/>
      <c r="AD365" s="73"/>
      <c r="AE365" s="72"/>
      <c r="AF365" s="73"/>
      <c r="AH365" s="73"/>
      <c r="AI365" s="73"/>
      <c r="AJ365" s="73"/>
      <c r="AK365" s="73"/>
      <c r="AL365" s="73"/>
      <c r="AM365" s="73"/>
      <c r="AN365" s="73"/>
      <c r="AO365" s="73"/>
      <c r="AQ365" s="70"/>
    </row>
    <row r="366" spans="3:43" s="69" customFormat="1" x14ac:dyDescent="0.25">
      <c r="C366" s="79"/>
      <c r="E366" s="70"/>
      <c r="U366" s="71"/>
      <c r="V366" s="72"/>
      <c r="W366" s="72"/>
      <c r="X366" s="70"/>
      <c r="Y366" s="70"/>
      <c r="AA366" s="73"/>
      <c r="AB366" s="73"/>
      <c r="AC366" s="73"/>
      <c r="AD366" s="73"/>
      <c r="AE366" s="72"/>
      <c r="AF366" s="73"/>
      <c r="AH366" s="73"/>
      <c r="AI366" s="73"/>
      <c r="AJ366" s="73"/>
      <c r="AK366" s="73"/>
      <c r="AL366" s="73"/>
      <c r="AM366" s="73"/>
      <c r="AN366" s="73"/>
      <c r="AO366" s="73"/>
      <c r="AQ366" s="70"/>
    </row>
    <row r="367" spans="3:43" s="69" customFormat="1" x14ac:dyDescent="0.25">
      <c r="C367" s="79"/>
      <c r="E367" s="70"/>
      <c r="U367" s="71"/>
      <c r="V367" s="72"/>
      <c r="W367" s="72"/>
      <c r="X367" s="70"/>
      <c r="Y367" s="70"/>
      <c r="AA367" s="73"/>
      <c r="AB367" s="73"/>
      <c r="AC367" s="73"/>
      <c r="AD367" s="73"/>
      <c r="AE367" s="72"/>
      <c r="AF367" s="73"/>
      <c r="AH367" s="73"/>
      <c r="AI367" s="73"/>
      <c r="AJ367" s="73"/>
      <c r="AK367" s="73"/>
      <c r="AL367" s="73"/>
      <c r="AM367" s="73"/>
      <c r="AN367" s="73"/>
      <c r="AO367" s="73"/>
      <c r="AQ367" s="70"/>
    </row>
    <row r="368" spans="3:43" s="69" customFormat="1" x14ac:dyDescent="0.25">
      <c r="C368" s="79"/>
      <c r="E368" s="70"/>
      <c r="U368" s="71"/>
      <c r="V368" s="72"/>
      <c r="W368" s="72"/>
      <c r="X368" s="70"/>
      <c r="Y368" s="70"/>
      <c r="AA368" s="73"/>
      <c r="AB368" s="73"/>
      <c r="AC368" s="73"/>
      <c r="AD368" s="73"/>
      <c r="AE368" s="72"/>
      <c r="AF368" s="73"/>
      <c r="AH368" s="73"/>
      <c r="AI368" s="73"/>
      <c r="AJ368" s="73"/>
      <c r="AK368" s="73"/>
      <c r="AL368" s="73"/>
      <c r="AM368" s="73"/>
      <c r="AN368" s="73"/>
      <c r="AO368" s="73"/>
      <c r="AQ368" s="70"/>
    </row>
    <row r="369" spans="3:43" s="69" customFormat="1" x14ac:dyDescent="0.25">
      <c r="C369" s="79"/>
      <c r="E369" s="70"/>
      <c r="U369" s="71"/>
      <c r="V369" s="72"/>
      <c r="W369" s="72"/>
      <c r="X369" s="70"/>
      <c r="Y369" s="70"/>
      <c r="AA369" s="73"/>
      <c r="AB369" s="73"/>
      <c r="AC369" s="73"/>
      <c r="AD369" s="73"/>
      <c r="AE369" s="72"/>
      <c r="AF369" s="73"/>
      <c r="AH369" s="73"/>
      <c r="AI369" s="73"/>
      <c r="AJ369" s="73"/>
      <c r="AK369" s="73"/>
      <c r="AL369" s="73"/>
      <c r="AM369" s="73"/>
      <c r="AN369" s="73"/>
      <c r="AO369" s="73"/>
      <c r="AQ369" s="70"/>
    </row>
    <row r="370" spans="3:43" s="69" customFormat="1" x14ac:dyDescent="0.25">
      <c r="C370" s="79"/>
      <c r="E370" s="70"/>
      <c r="U370" s="71"/>
      <c r="V370" s="72"/>
      <c r="W370" s="72"/>
      <c r="X370" s="70"/>
      <c r="Y370" s="70"/>
      <c r="AA370" s="73"/>
      <c r="AB370" s="73"/>
      <c r="AC370" s="73"/>
      <c r="AD370" s="73"/>
      <c r="AE370" s="72"/>
      <c r="AF370" s="73"/>
      <c r="AH370" s="73"/>
      <c r="AI370" s="73"/>
      <c r="AJ370" s="73"/>
      <c r="AK370" s="73"/>
      <c r="AL370" s="73"/>
      <c r="AM370" s="73"/>
      <c r="AN370" s="73"/>
      <c r="AO370" s="73"/>
      <c r="AQ370" s="70"/>
    </row>
    <row r="371" spans="3:43" s="69" customFormat="1" x14ac:dyDescent="0.25">
      <c r="C371" s="79"/>
      <c r="E371" s="70"/>
      <c r="U371" s="71"/>
      <c r="V371" s="72"/>
      <c r="W371" s="72"/>
      <c r="X371" s="70"/>
      <c r="Y371" s="70"/>
      <c r="AA371" s="73"/>
      <c r="AB371" s="73"/>
      <c r="AC371" s="73"/>
      <c r="AD371" s="73"/>
      <c r="AE371" s="72"/>
      <c r="AF371" s="73"/>
      <c r="AH371" s="73"/>
      <c r="AI371" s="73"/>
      <c r="AJ371" s="73"/>
      <c r="AK371" s="73"/>
      <c r="AL371" s="73"/>
      <c r="AM371" s="73"/>
      <c r="AN371" s="73"/>
      <c r="AO371" s="73"/>
      <c r="AQ371" s="70"/>
    </row>
    <row r="372" spans="3:43" s="69" customFormat="1" x14ac:dyDescent="0.25">
      <c r="C372" s="79"/>
      <c r="E372" s="70"/>
      <c r="U372" s="71"/>
      <c r="V372" s="72"/>
      <c r="W372" s="72"/>
      <c r="X372" s="70"/>
      <c r="Y372" s="70"/>
      <c r="AA372" s="73"/>
      <c r="AB372" s="73"/>
      <c r="AC372" s="73"/>
      <c r="AD372" s="73"/>
      <c r="AE372" s="72"/>
      <c r="AF372" s="73"/>
      <c r="AH372" s="73"/>
      <c r="AI372" s="73"/>
      <c r="AJ372" s="73"/>
      <c r="AK372" s="73"/>
      <c r="AL372" s="73"/>
      <c r="AM372" s="73"/>
      <c r="AN372" s="73"/>
      <c r="AO372" s="73"/>
      <c r="AQ372" s="70"/>
    </row>
    <row r="373" spans="3:43" s="69" customFormat="1" x14ac:dyDescent="0.25">
      <c r="C373" s="79"/>
      <c r="E373" s="70"/>
      <c r="U373" s="71"/>
      <c r="V373" s="72"/>
      <c r="W373" s="72"/>
      <c r="X373" s="70"/>
      <c r="Y373" s="70"/>
      <c r="AA373" s="73"/>
      <c r="AB373" s="73"/>
      <c r="AC373" s="73"/>
      <c r="AD373" s="73"/>
      <c r="AE373" s="72"/>
      <c r="AF373" s="73"/>
      <c r="AH373" s="73"/>
      <c r="AI373" s="73"/>
      <c r="AJ373" s="73"/>
      <c r="AK373" s="73"/>
      <c r="AL373" s="73"/>
      <c r="AM373" s="73"/>
      <c r="AN373" s="73"/>
      <c r="AO373" s="73"/>
      <c r="AQ373" s="70"/>
    </row>
    <row r="374" spans="3:43" s="69" customFormat="1" x14ac:dyDescent="0.25">
      <c r="C374" s="79"/>
      <c r="E374" s="70"/>
      <c r="U374" s="71"/>
      <c r="V374" s="72"/>
      <c r="W374" s="72"/>
      <c r="X374" s="70"/>
      <c r="Y374" s="70"/>
      <c r="AA374" s="73"/>
      <c r="AB374" s="73"/>
      <c r="AC374" s="73"/>
      <c r="AD374" s="73"/>
      <c r="AE374" s="72"/>
      <c r="AF374" s="73"/>
      <c r="AH374" s="73"/>
      <c r="AI374" s="73"/>
      <c r="AJ374" s="73"/>
      <c r="AK374" s="73"/>
      <c r="AL374" s="73"/>
      <c r="AM374" s="73"/>
      <c r="AN374" s="73"/>
      <c r="AO374" s="73"/>
      <c r="AQ374" s="70"/>
    </row>
    <row r="375" spans="3:43" s="69" customFormat="1" x14ac:dyDescent="0.25">
      <c r="C375" s="79"/>
      <c r="E375" s="70"/>
      <c r="U375" s="71"/>
      <c r="V375" s="72"/>
      <c r="W375" s="72"/>
      <c r="X375" s="70"/>
      <c r="Y375" s="70"/>
      <c r="AA375" s="73"/>
      <c r="AB375" s="73"/>
      <c r="AC375" s="73"/>
      <c r="AD375" s="73"/>
      <c r="AE375" s="72"/>
      <c r="AF375" s="73"/>
      <c r="AH375" s="73"/>
      <c r="AI375" s="73"/>
      <c r="AJ375" s="73"/>
      <c r="AK375" s="73"/>
      <c r="AL375" s="73"/>
      <c r="AM375" s="73"/>
      <c r="AN375" s="73"/>
      <c r="AO375" s="73"/>
      <c r="AQ375" s="70"/>
    </row>
    <row r="376" spans="3:43" s="69" customFormat="1" x14ac:dyDescent="0.25">
      <c r="C376" s="79"/>
      <c r="E376" s="70"/>
      <c r="U376" s="71"/>
      <c r="V376" s="72"/>
      <c r="W376" s="72"/>
      <c r="X376" s="70"/>
      <c r="Y376" s="70"/>
      <c r="AA376" s="73"/>
      <c r="AB376" s="73"/>
      <c r="AC376" s="73"/>
      <c r="AD376" s="73"/>
      <c r="AE376" s="72"/>
      <c r="AF376" s="73"/>
      <c r="AH376" s="73"/>
      <c r="AI376" s="73"/>
      <c r="AJ376" s="73"/>
      <c r="AK376" s="73"/>
      <c r="AL376" s="73"/>
      <c r="AM376" s="73"/>
      <c r="AN376" s="73"/>
      <c r="AO376" s="73"/>
      <c r="AQ376" s="70"/>
    </row>
    <row r="377" spans="3:43" s="69" customFormat="1" x14ac:dyDescent="0.25">
      <c r="C377" s="79"/>
      <c r="E377" s="70"/>
      <c r="U377" s="71"/>
      <c r="V377" s="72"/>
      <c r="W377" s="72"/>
      <c r="X377" s="70"/>
      <c r="Y377" s="70"/>
      <c r="AA377" s="73"/>
      <c r="AB377" s="73"/>
      <c r="AC377" s="73"/>
      <c r="AD377" s="73"/>
      <c r="AE377" s="72"/>
      <c r="AF377" s="73"/>
      <c r="AH377" s="73"/>
      <c r="AI377" s="73"/>
      <c r="AJ377" s="73"/>
      <c r="AK377" s="73"/>
      <c r="AL377" s="73"/>
      <c r="AM377" s="73"/>
      <c r="AN377" s="73"/>
      <c r="AO377" s="73"/>
      <c r="AQ377" s="70"/>
    </row>
    <row r="378" spans="3:43" s="69" customFormat="1" x14ac:dyDescent="0.25">
      <c r="C378" s="79"/>
      <c r="E378" s="70"/>
      <c r="U378" s="71"/>
      <c r="V378" s="72"/>
      <c r="W378" s="72"/>
      <c r="X378" s="70"/>
      <c r="Y378" s="70"/>
      <c r="AA378" s="73"/>
      <c r="AB378" s="73"/>
      <c r="AC378" s="73"/>
      <c r="AD378" s="73"/>
      <c r="AE378" s="72"/>
      <c r="AF378" s="73"/>
      <c r="AH378" s="73"/>
      <c r="AI378" s="73"/>
      <c r="AJ378" s="73"/>
      <c r="AK378" s="73"/>
      <c r="AL378" s="73"/>
      <c r="AM378" s="73"/>
      <c r="AN378" s="73"/>
      <c r="AO378" s="73"/>
      <c r="AQ378" s="70"/>
    </row>
    <row r="379" spans="3:43" s="69" customFormat="1" x14ac:dyDescent="0.25">
      <c r="C379" s="79"/>
      <c r="E379" s="70"/>
      <c r="U379" s="71"/>
      <c r="V379" s="72"/>
      <c r="W379" s="72"/>
      <c r="X379" s="70"/>
      <c r="Y379" s="70"/>
      <c r="AA379" s="73"/>
      <c r="AB379" s="73"/>
      <c r="AC379" s="73"/>
      <c r="AD379" s="73"/>
      <c r="AE379" s="72"/>
      <c r="AF379" s="73"/>
      <c r="AH379" s="73"/>
      <c r="AI379" s="73"/>
      <c r="AJ379" s="73"/>
      <c r="AK379" s="73"/>
      <c r="AL379" s="73"/>
      <c r="AM379" s="73"/>
      <c r="AN379" s="73"/>
      <c r="AO379" s="73"/>
      <c r="AQ379" s="70"/>
    </row>
    <row r="380" spans="3:43" s="69" customFormat="1" x14ac:dyDescent="0.25">
      <c r="C380" s="79"/>
      <c r="E380" s="70"/>
      <c r="U380" s="71"/>
      <c r="V380" s="72"/>
      <c r="W380" s="72"/>
      <c r="X380" s="70"/>
      <c r="Y380" s="70"/>
      <c r="AA380" s="73"/>
      <c r="AB380" s="73"/>
      <c r="AC380" s="73"/>
      <c r="AD380" s="73"/>
      <c r="AE380" s="72"/>
      <c r="AF380" s="73"/>
      <c r="AH380" s="73"/>
      <c r="AI380" s="73"/>
      <c r="AJ380" s="73"/>
      <c r="AK380" s="73"/>
      <c r="AL380" s="73"/>
      <c r="AM380" s="73"/>
      <c r="AN380" s="73"/>
      <c r="AO380" s="73"/>
      <c r="AQ380" s="70"/>
    </row>
    <row r="381" spans="3:43" s="69" customFormat="1" x14ac:dyDescent="0.25">
      <c r="C381" s="79"/>
      <c r="E381" s="70"/>
      <c r="U381" s="71"/>
      <c r="V381" s="72"/>
      <c r="W381" s="72"/>
      <c r="X381" s="70"/>
      <c r="Y381" s="70"/>
      <c r="AA381" s="73"/>
      <c r="AB381" s="73"/>
      <c r="AC381" s="73"/>
      <c r="AD381" s="73"/>
      <c r="AE381" s="72"/>
      <c r="AF381" s="73"/>
      <c r="AH381" s="73"/>
      <c r="AI381" s="73"/>
      <c r="AJ381" s="73"/>
      <c r="AK381" s="73"/>
      <c r="AL381" s="73"/>
      <c r="AM381" s="73"/>
      <c r="AN381" s="73"/>
      <c r="AO381" s="73"/>
      <c r="AQ381" s="70"/>
    </row>
    <row r="382" spans="3:43" s="69" customFormat="1" x14ac:dyDescent="0.25">
      <c r="C382" s="79"/>
      <c r="E382" s="70"/>
      <c r="U382" s="71"/>
      <c r="V382" s="72"/>
      <c r="W382" s="72"/>
      <c r="X382" s="70"/>
      <c r="Y382" s="70"/>
      <c r="AA382" s="73"/>
      <c r="AB382" s="73"/>
      <c r="AC382" s="73"/>
      <c r="AD382" s="73"/>
      <c r="AE382" s="72"/>
      <c r="AF382" s="73"/>
      <c r="AH382" s="73"/>
      <c r="AI382" s="73"/>
      <c r="AJ382" s="73"/>
      <c r="AK382" s="73"/>
      <c r="AL382" s="73"/>
      <c r="AM382" s="73"/>
      <c r="AN382" s="73"/>
      <c r="AO382" s="73"/>
      <c r="AQ382" s="70"/>
    </row>
    <row r="383" spans="3:43" s="69" customFormat="1" x14ac:dyDescent="0.25">
      <c r="C383" s="79"/>
      <c r="E383" s="70"/>
      <c r="U383" s="71"/>
      <c r="V383" s="72"/>
      <c r="W383" s="72"/>
      <c r="X383" s="70"/>
      <c r="Y383" s="70"/>
      <c r="AA383" s="73"/>
      <c r="AB383" s="73"/>
      <c r="AC383" s="73"/>
      <c r="AD383" s="73"/>
      <c r="AE383" s="72"/>
      <c r="AF383" s="73"/>
      <c r="AH383" s="73"/>
      <c r="AI383" s="73"/>
      <c r="AJ383" s="73"/>
      <c r="AK383" s="73"/>
      <c r="AL383" s="73"/>
      <c r="AM383" s="73"/>
      <c r="AN383" s="73"/>
      <c r="AO383" s="73"/>
      <c r="AQ383" s="70"/>
    </row>
    <row r="384" spans="3:43" s="69" customFormat="1" x14ac:dyDescent="0.25">
      <c r="C384" s="79"/>
      <c r="E384" s="70"/>
      <c r="U384" s="71"/>
      <c r="V384" s="72"/>
      <c r="W384" s="72"/>
      <c r="X384" s="70"/>
      <c r="Y384" s="70"/>
      <c r="AA384" s="73"/>
      <c r="AB384" s="73"/>
      <c r="AC384" s="73"/>
      <c r="AD384" s="73"/>
      <c r="AE384" s="72"/>
      <c r="AF384" s="73"/>
      <c r="AH384" s="73"/>
      <c r="AI384" s="73"/>
      <c r="AJ384" s="73"/>
      <c r="AK384" s="73"/>
      <c r="AL384" s="73"/>
      <c r="AM384" s="73"/>
      <c r="AN384" s="73"/>
      <c r="AO384" s="73"/>
      <c r="AQ384" s="70"/>
    </row>
    <row r="385" spans="3:43" s="69" customFormat="1" x14ac:dyDescent="0.25">
      <c r="C385" s="79"/>
      <c r="E385" s="70"/>
      <c r="U385" s="71"/>
      <c r="V385" s="72"/>
      <c r="W385" s="72"/>
      <c r="X385" s="70"/>
      <c r="Y385" s="70"/>
      <c r="AA385" s="73"/>
      <c r="AB385" s="73"/>
      <c r="AC385" s="73"/>
      <c r="AD385" s="73"/>
      <c r="AE385" s="72"/>
      <c r="AF385" s="73"/>
      <c r="AH385" s="73"/>
      <c r="AI385" s="73"/>
      <c r="AJ385" s="73"/>
      <c r="AK385" s="73"/>
      <c r="AL385" s="73"/>
      <c r="AM385" s="73"/>
      <c r="AN385" s="73"/>
      <c r="AO385" s="73"/>
      <c r="AQ385" s="70"/>
    </row>
    <row r="386" spans="3:43" s="69" customFormat="1" x14ac:dyDescent="0.25">
      <c r="C386" s="79"/>
      <c r="E386" s="70"/>
      <c r="U386" s="71"/>
      <c r="V386" s="72"/>
      <c r="W386" s="72"/>
      <c r="X386" s="70"/>
      <c r="Y386" s="70"/>
      <c r="AA386" s="73"/>
      <c r="AB386" s="73"/>
      <c r="AC386" s="73"/>
      <c r="AD386" s="73"/>
      <c r="AE386" s="72"/>
      <c r="AF386" s="73"/>
      <c r="AH386" s="73"/>
      <c r="AI386" s="73"/>
      <c r="AJ386" s="73"/>
      <c r="AK386" s="73"/>
      <c r="AL386" s="73"/>
      <c r="AM386" s="73"/>
      <c r="AN386" s="73"/>
      <c r="AO386" s="73"/>
      <c r="AQ386" s="70"/>
    </row>
    <row r="387" spans="3:43" s="69" customFormat="1" x14ac:dyDescent="0.25">
      <c r="C387" s="79"/>
      <c r="E387" s="70"/>
      <c r="U387" s="71"/>
      <c r="V387" s="72"/>
      <c r="W387" s="72"/>
      <c r="X387" s="70"/>
      <c r="Y387" s="70"/>
      <c r="AA387" s="73"/>
      <c r="AB387" s="73"/>
      <c r="AC387" s="73"/>
      <c r="AD387" s="73"/>
      <c r="AE387" s="72"/>
      <c r="AF387" s="73"/>
      <c r="AH387" s="73"/>
      <c r="AI387" s="73"/>
      <c r="AJ387" s="73"/>
      <c r="AK387" s="73"/>
      <c r="AL387" s="73"/>
      <c r="AM387" s="73"/>
      <c r="AN387" s="73"/>
      <c r="AO387" s="73"/>
      <c r="AQ387" s="70"/>
    </row>
    <row r="388" spans="3:43" s="69" customFormat="1" x14ac:dyDescent="0.25">
      <c r="C388" s="79"/>
      <c r="E388" s="70"/>
      <c r="U388" s="71"/>
      <c r="V388" s="72"/>
      <c r="W388" s="72"/>
      <c r="X388" s="70"/>
      <c r="Y388" s="70"/>
      <c r="AA388" s="73"/>
      <c r="AB388" s="73"/>
      <c r="AC388" s="73"/>
      <c r="AD388" s="73"/>
      <c r="AE388" s="72"/>
      <c r="AF388" s="73"/>
      <c r="AH388" s="73"/>
      <c r="AI388" s="73"/>
      <c r="AJ388" s="73"/>
      <c r="AK388" s="73"/>
      <c r="AL388" s="73"/>
      <c r="AM388" s="73"/>
      <c r="AN388" s="73"/>
      <c r="AO388" s="73"/>
      <c r="AQ388" s="70"/>
    </row>
    <row r="389" spans="3:43" s="69" customFormat="1" x14ac:dyDescent="0.25">
      <c r="C389" s="79"/>
      <c r="E389" s="70"/>
      <c r="U389" s="71"/>
      <c r="V389" s="72"/>
      <c r="W389" s="72"/>
      <c r="X389" s="70"/>
      <c r="Y389" s="70"/>
      <c r="AA389" s="73"/>
      <c r="AB389" s="73"/>
      <c r="AC389" s="73"/>
      <c r="AD389" s="73"/>
      <c r="AE389" s="72"/>
      <c r="AF389" s="73"/>
      <c r="AH389" s="73"/>
      <c r="AI389" s="73"/>
      <c r="AJ389" s="73"/>
      <c r="AK389" s="73"/>
      <c r="AL389" s="73"/>
      <c r="AM389" s="73"/>
      <c r="AN389" s="73"/>
      <c r="AO389" s="73"/>
      <c r="AQ389" s="70"/>
    </row>
    <row r="390" spans="3:43" s="69" customFormat="1" x14ac:dyDescent="0.25">
      <c r="C390" s="79"/>
      <c r="E390" s="70"/>
      <c r="U390" s="71"/>
      <c r="V390" s="72"/>
      <c r="W390" s="72"/>
      <c r="X390" s="70"/>
      <c r="Y390" s="70"/>
      <c r="AA390" s="73"/>
      <c r="AB390" s="73"/>
      <c r="AC390" s="73"/>
      <c r="AD390" s="73"/>
      <c r="AE390" s="72"/>
      <c r="AF390" s="73"/>
      <c r="AH390" s="73"/>
      <c r="AI390" s="73"/>
      <c r="AJ390" s="73"/>
      <c r="AK390" s="73"/>
      <c r="AL390" s="73"/>
      <c r="AM390" s="73"/>
      <c r="AN390" s="73"/>
      <c r="AO390" s="73"/>
      <c r="AQ390" s="70"/>
    </row>
    <row r="391" spans="3:43" s="69" customFormat="1" x14ac:dyDescent="0.25">
      <c r="C391" s="79"/>
      <c r="E391" s="70"/>
      <c r="U391" s="71"/>
      <c r="V391" s="72"/>
      <c r="W391" s="72"/>
      <c r="X391" s="70"/>
      <c r="Y391" s="70"/>
      <c r="AA391" s="73"/>
      <c r="AB391" s="73"/>
      <c r="AC391" s="73"/>
      <c r="AD391" s="73"/>
      <c r="AE391" s="72"/>
      <c r="AF391" s="73"/>
      <c r="AH391" s="73"/>
      <c r="AI391" s="73"/>
      <c r="AJ391" s="73"/>
      <c r="AK391" s="73"/>
      <c r="AL391" s="73"/>
      <c r="AM391" s="73"/>
      <c r="AN391" s="73"/>
      <c r="AO391" s="73"/>
      <c r="AQ391" s="70"/>
    </row>
    <row r="392" spans="3:43" s="69" customFormat="1" x14ac:dyDescent="0.25">
      <c r="C392" s="79"/>
      <c r="E392" s="70"/>
      <c r="U392" s="71"/>
      <c r="V392" s="72"/>
      <c r="W392" s="72"/>
      <c r="X392" s="70"/>
      <c r="Y392" s="70"/>
      <c r="AA392" s="73"/>
      <c r="AB392" s="73"/>
      <c r="AC392" s="73"/>
      <c r="AD392" s="73"/>
      <c r="AE392" s="72"/>
      <c r="AF392" s="73"/>
      <c r="AH392" s="73"/>
      <c r="AI392" s="73"/>
      <c r="AJ392" s="73"/>
      <c r="AK392" s="73"/>
      <c r="AL392" s="73"/>
      <c r="AM392" s="73"/>
      <c r="AN392" s="73"/>
      <c r="AO392" s="73"/>
      <c r="AQ392" s="70"/>
    </row>
    <row r="393" spans="3:43" s="69" customFormat="1" x14ac:dyDescent="0.25">
      <c r="C393" s="79"/>
      <c r="E393" s="70"/>
      <c r="U393" s="71"/>
      <c r="V393" s="72"/>
      <c r="W393" s="72"/>
      <c r="X393" s="70"/>
      <c r="Y393" s="70"/>
      <c r="AA393" s="73"/>
      <c r="AB393" s="73"/>
      <c r="AC393" s="73"/>
      <c r="AD393" s="73"/>
      <c r="AE393" s="72"/>
      <c r="AF393" s="73"/>
      <c r="AH393" s="73"/>
      <c r="AI393" s="73"/>
      <c r="AJ393" s="73"/>
      <c r="AK393" s="73"/>
      <c r="AL393" s="73"/>
      <c r="AM393" s="73"/>
      <c r="AN393" s="73"/>
      <c r="AO393" s="73"/>
      <c r="AQ393" s="70"/>
    </row>
    <row r="394" spans="3:43" s="69" customFormat="1" x14ac:dyDescent="0.25">
      <c r="C394" s="79"/>
      <c r="E394" s="70"/>
      <c r="U394" s="71"/>
      <c r="V394" s="72"/>
      <c r="W394" s="72"/>
      <c r="X394" s="70"/>
      <c r="Y394" s="70"/>
      <c r="AA394" s="73"/>
      <c r="AB394" s="73"/>
      <c r="AC394" s="73"/>
      <c r="AD394" s="73"/>
      <c r="AE394" s="72"/>
      <c r="AF394" s="73"/>
      <c r="AH394" s="73"/>
      <c r="AI394" s="73"/>
      <c r="AJ394" s="73"/>
      <c r="AK394" s="73"/>
      <c r="AL394" s="73"/>
      <c r="AM394" s="73"/>
      <c r="AN394" s="73"/>
      <c r="AO394" s="73"/>
      <c r="AQ394" s="70"/>
    </row>
    <row r="395" spans="3:43" s="69" customFormat="1" x14ac:dyDescent="0.25">
      <c r="C395" s="79"/>
      <c r="E395" s="70"/>
      <c r="U395" s="71"/>
      <c r="V395" s="72"/>
      <c r="W395" s="72"/>
      <c r="X395" s="70"/>
      <c r="Y395" s="70"/>
      <c r="AA395" s="73"/>
      <c r="AB395" s="73"/>
      <c r="AC395" s="73"/>
      <c r="AD395" s="73"/>
      <c r="AE395" s="72"/>
      <c r="AF395" s="73"/>
      <c r="AH395" s="73"/>
      <c r="AI395" s="73"/>
      <c r="AJ395" s="73"/>
      <c r="AK395" s="73"/>
      <c r="AL395" s="73"/>
      <c r="AM395" s="73"/>
      <c r="AN395" s="73"/>
      <c r="AO395" s="73"/>
      <c r="AQ395" s="70"/>
    </row>
    <row r="396" spans="3:43" s="69" customFormat="1" x14ac:dyDescent="0.25">
      <c r="C396" s="79"/>
      <c r="E396" s="70"/>
      <c r="U396" s="71"/>
      <c r="V396" s="72"/>
      <c r="W396" s="72"/>
      <c r="X396" s="70"/>
      <c r="Y396" s="70"/>
      <c r="AA396" s="73"/>
      <c r="AB396" s="73"/>
      <c r="AC396" s="73"/>
      <c r="AD396" s="73"/>
      <c r="AE396" s="72"/>
      <c r="AF396" s="73"/>
      <c r="AH396" s="73"/>
      <c r="AI396" s="73"/>
      <c r="AJ396" s="73"/>
      <c r="AK396" s="73"/>
      <c r="AL396" s="73"/>
      <c r="AM396" s="73"/>
      <c r="AN396" s="73"/>
      <c r="AO396" s="73"/>
      <c r="AQ396" s="70"/>
    </row>
    <row r="397" spans="3:43" s="69" customFormat="1" x14ac:dyDescent="0.25">
      <c r="C397" s="79"/>
      <c r="E397" s="70"/>
      <c r="U397" s="71"/>
      <c r="V397" s="72"/>
      <c r="W397" s="72"/>
      <c r="X397" s="70"/>
      <c r="Y397" s="70"/>
      <c r="AA397" s="73"/>
      <c r="AB397" s="73"/>
      <c r="AC397" s="73"/>
      <c r="AD397" s="73"/>
      <c r="AE397" s="72"/>
      <c r="AF397" s="73"/>
      <c r="AH397" s="73"/>
      <c r="AI397" s="73"/>
      <c r="AJ397" s="73"/>
      <c r="AK397" s="73"/>
      <c r="AL397" s="73"/>
      <c r="AM397" s="73"/>
      <c r="AN397" s="73"/>
      <c r="AO397" s="73"/>
      <c r="AQ397" s="70"/>
    </row>
    <row r="398" spans="3:43" s="69" customFormat="1" x14ac:dyDescent="0.25">
      <c r="C398" s="79"/>
      <c r="E398" s="70"/>
      <c r="U398" s="71"/>
      <c r="V398" s="72"/>
      <c r="W398" s="72"/>
      <c r="X398" s="70"/>
      <c r="Y398" s="70"/>
      <c r="AA398" s="73"/>
      <c r="AB398" s="73"/>
      <c r="AC398" s="73"/>
      <c r="AD398" s="73"/>
      <c r="AE398" s="72"/>
      <c r="AF398" s="73"/>
      <c r="AH398" s="73"/>
      <c r="AI398" s="73"/>
      <c r="AJ398" s="73"/>
      <c r="AK398" s="73"/>
      <c r="AL398" s="73"/>
      <c r="AM398" s="73"/>
      <c r="AN398" s="73"/>
      <c r="AO398" s="73"/>
      <c r="AQ398" s="70"/>
    </row>
    <row r="399" spans="3:43" s="69" customFormat="1" x14ac:dyDescent="0.25">
      <c r="C399" s="79"/>
      <c r="E399" s="70"/>
      <c r="U399" s="71"/>
      <c r="V399" s="72"/>
      <c r="W399" s="72"/>
      <c r="X399" s="70"/>
      <c r="Y399" s="70"/>
      <c r="AA399" s="73"/>
      <c r="AB399" s="73"/>
      <c r="AC399" s="73"/>
      <c r="AD399" s="73"/>
      <c r="AE399" s="72"/>
      <c r="AF399" s="73"/>
      <c r="AH399" s="73"/>
      <c r="AI399" s="73"/>
      <c r="AJ399" s="73"/>
      <c r="AK399" s="73"/>
      <c r="AL399" s="73"/>
      <c r="AM399" s="73"/>
      <c r="AN399" s="73"/>
      <c r="AO399" s="73"/>
      <c r="AQ399" s="70"/>
    </row>
    <row r="400" spans="3:43" s="69" customFormat="1" x14ac:dyDescent="0.25">
      <c r="C400" s="79"/>
      <c r="E400" s="70"/>
      <c r="U400" s="71"/>
      <c r="V400" s="72"/>
      <c r="W400" s="72"/>
      <c r="X400" s="70"/>
      <c r="Y400" s="70"/>
      <c r="AA400" s="73"/>
      <c r="AB400" s="73"/>
      <c r="AC400" s="73"/>
      <c r="AD400" s="73"/>
      <c r="AE400" s="72"/>
      <c r="AF400" s="73"/>
      <c r="AH400" s="73"/>
      <c r="AI400" s="73"/>
      <c r="AJ400" s="73"/>
      <c r="AK400" s="73"/>
      <c r="AL400" s="73"/>
      <c r="AM400" s="73"/>
      <c r="AN400" s="73"/>
      <c r="AO400" s="73"/>
      <c r="AQ400" s="70"/>
    </row>
    <row r="401" spans="3:43" s="69" customFormat="1" x14ac:dyDescent="0.25">
      <c r="C401" s="79"/>
      <c r="E401" s="70"/>
      <c r="U401" s="71"/>
      <c r="V401" s="72"/>
      <c r="W401" s="72"/>
      <c r="X401" s="70"/>
      <c r="Y401" s="70"/>
      <c r="AA401" s="73"/>
      <c r="AB401" s="73"/>
      <c r="AC401" s="73"/>
      <c r="AD401" s="73"/>
      <c r="AE401" s="72"/>
      <c r="AF401" s="73"/>
      <c r="AH401" s="73"/>
      <c r="AI401" s="73"/>
      <c r="AJ401" s="73"/>
      <c r="AK401" s="73"/>
      <c r="AL401" s="73"/>
      <c r="AM401" s="73"/>
      <c r="AN401" s="73"/>
      <c r="AO401" s="73"/>
      <c r="AQ401" s="70"/>
    </row>
    <row r="402" spans="3:43" s="69" customFormat="1" x14ac:dyDescent="0.25">
      <c r="C402" s="79"/>
      <c r="E402" s="70"/>
      <c r="U402" s="71"/>
      <c r="V402" s="72"/>
      <c r="W402" s="72"/>
      <c r="X402" s="70"/>
      <c r="Y402" s="70"/>
      <c r="AA402" s="73"/>
      <c r="AB402" s="73"/>
      <c r="AC402" s="73"/>
      <c r="AD402" s="73"/>
      <c r="AE402" s="72"/>
      <c r="AF402" s="73"/>
      <c r="AH402" s="73"/>
      <c r="AI402" s="73"/>
      <c r="AJ402" s="73"/>
      <c r="AK402" s="73"/>
      <c r="AL402" s="73"/>
      <c r="AM402" s="73"/>
      <c r="AN402" s="73"/>
      <c r="AO402" s="73"/>
      <c r="AQ402" s="70"/>
    </row>
    <row r="403" spans="3:43" s="69" customFormat="1" x14ac:dyDescent="0.25">
      <c r="C403" s="79"/>
      <c r="E403" s="70"/>
      <c r="U403" s="71"/>
      <c r="V403" s="72"/>
      <c r="W403" s="72"/>
      <c r="X403" s="70"/>
      <c r="Y403" s="70"/>
      <c r="AA403" s="73"/>
      <c r="AB403" s="73"/>
      <c r="AC403" s="73"/>
      <c r="AD403" s="73"/>
      <c r="AE403" s="72"/>
      <c r="AF403" s="73"/>
      <c r="AH403" s="73"/>
      <c r="AI403" s="73"/>
      <c r="AJ403" s="73"/>
      <c r="AK403" s="73"/>
      <c r="AL403" s="73"/>
      <c r="AM403" s="73"/>
      <c r="AN403" s="73"/>
      <c r="AO403" s="73"/>
      <c r="AQ403" s="70"/>
    </row>
    <row r="404" spans="3:43" s="69" customFormat="1" x14ac:dyDescent="0.25">
      <c r="C404" s="79"/>
      <c r="E404" s="70"/>
      <c r="U404" s="71"/>
      <c r="V404" s="72"/>
      <c r="W404" s="72"/>
      <c r="X404" s="70"/>
      <c r="Y404" s="70"/>
      <c r="AA404" s="73"/>
      <c r="AB404" s="73"/>
      <c r="AC404" s="73"/>
      <c r="AD404" s="73"/>
      <c r="AE404" s="72"/>
      <c r="AF404" s="73"/>
      <c r="AH404" s="73"/>
      <c r="AI404" s="73"/>
      <c r="AJ404" s="73"/>
      <c r="AK404" s="73"/>
      <c r="AL404" s="73"/>
      <c r="AM404" s="73"/>
      <c r="AN404" s="73"/>
      <c r="AO404" s="73"/>
      <c r="AQ404" s="70"/>
    </row>
    <row r="405" spans="3:43" s="69" customFormat="1" x14ac:dyDescent="0.25">
      <c r="C405" s="79"/>
      <c r="E405" s="70"/>
      <c r="U405" s="71"/>
      <c r="V405" s="72"/>
      <c r="W405" s="72"/>
      <c r="X405" s="70"/>
      <c r="Y405" s="70"/>
      <c r="AA405" s="73"/>
      <c r="AB405" s="73"/>
      <c r="AC405" s="73"/>
      <c r="AD405" s="73"/>
      <c r="AE405" s="72"/>
      <c r="AF405" s="73"/>
      <c r="AH405" s="73"/>
      <c r="AI405" s="73"/>
      <c r="AJ405" s="73"/>
      <c r="AK405" s="73"/>
      <c r="AL405" s="73"/>
      <c r="AM405" s="73"/>
      <c r="AN405" s="73"/>
      <c r="AO405" s="73"/>
      <c r="AQ405" s="70"/>
    </row>
    <row r="406" spans="3:43" s="69" customFormat="1" x14ac:dyDescent="0.25">
      <c r="C406" s="79"/>
      <c r="E406" s="70"/>
      <c r="U406" s="71"/>
      <c r="V406" s="72"/>
      <c r="W406" s="72"/>
      <c r="X406" s="70"/>
      <c r="Y406" s="70"/>
      <c r="AA406" s="73"/>
      <c r="AB406" s="73"/>
      <c r="AC406" s="73"/>
      <c r="AD406" s="73"/>
      <c r="AE406" s="72"/>
      <c r="AF406" s="73"/>
      <c r="AH406" s="73"/>
      <c r="AI406" s="73"/>
      <c r="AJ406" s="73"/>
      <c r="AK406" s="73"/>
      <c r="AL406" s="73"/>
      <c r="AM406" s="73"/>
      <c r="AN406" s="73"/>
      <c r="AO406" s="73"/>
      <c r="AQ406" s="70"/>
    </row>
    <row r="407" spans="3:43" s="69" customFormat="1" x14ac:dyDescent="0.25">
      <c r="C407" s="79"/>
      <c r="E407" s="70"/>
      <c r="U407" s="71"/>
      <c r="V407" s="72"/>
      <c r="W407" s="72"/>
      <c r="X407" s="70"/>
      <c r="Y407" s="70"/>
      <c r="AA407" s="73"/>
      <c r="AB407" s="73"/>
      <c r="AC407" s="73"/>
      <c r="AD407" s="73"/>
      <c r="AE407" s="72"/>
      <c r="AF407" s="73"/>
      <c r="AH407" s="73"/>
      <c r="AI407" s="73"/>
      <c r="AJ407" s="73"/>
      <c r="AK407" s="73"/>
      <c r="AL407" s="73"/>
      <c r="AM407" s="73"/>
      <c r="AN407" s="73"/>
      <c r="AO407" s="73"/>
      <c r="AQ407" s="70"/>
    </row>
    <row r="408" spans="3:43" s="69" customFormat="1" x14ac:dyDescent="0.25">
      <c r="C408" s="79"/>
      <c r="E408" s="70"/>
      <c r="U408" s="71"/>
      <c r="V408" s="72"/>
      <c r="W408" s="72"/>
      <c r="X408" s="70"/>
      <c r="Y408" s="70"/>
      <c r="AA408" s="73"/>
      <c r="AB408" s="73"/>
      <c r="AC408" s="73"/>
      <c r="AD408" s="73"/>
      <c r="AE408" s="72"/>
      <c r="AF408" s="73"/>
      <c r="AH408" s="73"/>
      <c r="AI408" s="73"/>
      <c r="AJ408" s="73"/>
      <c r="AK408" s="73"/>
      <c r="AL408" s="73"/>
      <c r="AM408" s="73"/>
      <c r="AN408" s="73"/>
      <c r="AO408" s="73"/>
      <c r="AQ408" s="70"/>
    </row>
    <row r="409" spans="3:43" s="69" customFormat="1" x14ac:dyDescent="0.25">
      <c r="C409" s="79"/>
      <c r="E409" s="70"/>
      <c r="U409" s="71"/>
      <c r="V409" s="72"/>
      <c r="W409" s="72"/>
      <c r="X409" s="70"/>
      <c r="Y409" s="70"/>
      <c r="AA409" s="73"/>
      <c r="AB409" s="73"/>
      <c r="AC409" s="73"/>
      <c r="AD409" s="73"/>
      <c r="AE409" s="72"/>
      <c r="AF409" s="73"/>
      <c r="AH409" s="73"/>
      <c r="AI409" s="73"/>
      <c r="AJ409" s="73"/>
      <c r="AK409" s="73"/>
      <c r="AL409" s="73"/>
      <c r="AM409" s="73"/>
      <c r="AN409" s="73"/>
      <c r="AO409" s="73"/>
      <c r="AQ409" s="70"/>
    </row>
    <row r="410" spans="3:43" s="69" customFormat="1" x14ac:dyDescent="0.25">
      <c r="C410" s="79"/>
      <c r="E410" s="70"/>
      <c r="U410" s="71"/>
      <c r="V410" s="72"/>
      <c r="W410" s="72"/>
      <c r="X410" s="70"/>
      <c r="Y410" s="70"/>
      <c r="AA410" s="73"/>
      <c r="AB410" s="73"/>
      <c r="AC410" s="73"/>
      <c r="AD410" s="73"/>
      <c r="AE410" s="72"/>
      <c r="AF410" s="73"/>
      <c r="AH410" s="73"/>
      <c r="AI410" s="73"/>
      <c r="AJ410" s="73"/>
      <c r="AK410" s="73"/>
      <c r="AL410" s="73"/>
      <c r="AM410" s="73"/>
      <c r="AN410" s="73"/>
      <c r="AO410" s="73"/>
      <c r="AQ410" s="70"/>
    </row>
    <row r="411" spans="3:43" s="69" customFormat="1" x14ac:dyDescent="0.25">
      <c r="C411" s="79"/>
      <c r="E411" s="70"/>
      <c r="U411" s="71"/>
      <c r="V411" s="72"/>
      <c r="W411" s="72"/>
      <c r="X411" s="70"/>
      <c r="Y411" s="70"/>
      <c r="AA411" s="73"/>
      <c r="AB411" s="73"/>
      <c r="AC411" s="73"/>
      <c r="AD411" s="73"/>
      <c r="AE411" s="72"/>
      <c r="AF411" s="73"/>
      <c r="AH411" s="73"/>
      <c r="AI411" s="73"/>
      <c r="AJ411" s="73"/>
      <c r="AK411" s="73"/>
      <c r="AL411" s="73"/>
      <c r="AM411" s="73"/>
      <c r="AN411" s="73"/>
      <c r="AO411" s="73"/>
      <c r="AQ411" s="70"/>
    </row>
    <row r="412" spans="3:43" s="69" customFormat="1" x14ac:dyDescent="0.25">
      <c r="C412" s="79"/>
      <c r="E412" s="70"/>
      <c r="U412" s="71"/>
      <c r="V412" s="72"/>
      <c r="W412" s="72"/>
      <c r="X412" s="70"/>
      <c r="Y412" s="70"/>
      <c r="AA412" s="73"/>
      <c r="AB412" s="73"/>
      <c r="AC412" s="73"/>
      <c r="AD412" s="73"/>
      <c r="AE412" s="72"/>
      <c r="AF412" s="73"/>
      <c r="AH412" s="73"/>
      <c r="AI412" s="73"/>
      <c r="AJ412" s="73"/>
      <c r="AK412" s="73"/>
      <c r="AL412" s="73"/>
      <c r="AM412" s="73"/>
      <c r="AN412" s="73"/>
      <c r="AO412" s="73"/>
      <c r="AQ412" s="70"/>
    </row>
    <row r="413" spans="3:43" s="69" customFormat="1" x14ac:dyDescent="0.25">
      <c r="C413" s="79"/>
      <c r="E413" s="70"/>
      <c r="U413" s="71"/>
      <c r="V413" s="72"/>
      <c r="W413" s="72"/>
      <c r="X413" s="70"/>
      <c r="Y413" s="70"/>
      <c r="AA413" s="73"/>
      <c r="AB413" s="73"/>
      <c r="AC413" s="73"/>
      <c r="AD413" s="73"/>
      <c r="AE413" s="72"/>
      <c r="AF413" s="73"/>
      <c r="AH413" s="73"/>
      <c r="AI413" s="73"/>
      <c r="AJ413" s="73"/>
      <c r="AK413" s="73"/>
      <c r="AL413" s="73"/>
      <c r="AM413" s="73"/>
      <c r="AN413" s="73"/>
      <c r="AO413" s="73"/>
      <c r="AQ413" s="70"/>
    </row>
    <row r="414" spans="3:43" s="69" customFormat="1" x14ac:dyDescent="0.25">
      <c r="C414" s="79"/>
      <c r="E414" s="70"/>
      <c r="U414" s="71"/>
      <c r="V414" s="72"/>
      <c r="W414" s="72"/>
      <c r="X414" s="70"/>
      <c r="Y414" s="70"/>
      <c r="AA414" s="73"/>
      <c r="AB414" s="73"/>
      <c r="AC414" s="73"/>
      <c r="AD414" s="73"/>
      <c r="AE414" s="72"/>
      <c r="AF414" s="73"/>
      <c r="AH414" s="73"/>
      <c r="AI414" s="73"/>
      <c r="AJ414" s="73"/>
      <c r="AK414" s="73"/>
      <c r="AL414" s="73"/>
      <c r="AM414" s="73"/>
      <c r="AN414" s="73"/>
      <c r="AO414" s="73"/>
      <c r="AQ414" s="70"/>
    </row>
    <row r="415" spans="3:43" s="69" customFormat="1" x14ac:dyDescent="0.25">
      <c r="C415" s="79"/>
      <c r="E415" s="70"/>
      <c r="U415" s="71"/>
      <c r="V415" s="72"/>
      <c r="W415" s="72"/>
      <c r="X415" s="70"/>
      <c r="Y415" s="70"/>
      <c r="AA415" s="73"/>
      <c r="AB415" s="73"/>
      <c r="AC415" s="73"/>
      <c r="AD415" s="73"/>
      <c r="AE415" s="72"/>
      <c r="AF415" s="73"/>
      <c r="AH415" s="73"/>
      <c r="AI415" s="73"/>
      <c r="AJ415" s="73"/>
      <c r="AK415" s="73"/>
      <c r="AL415" s="73"/>
      <c r="AM415" s="73"/>
      <c r="AN415" s="73"/>
      <c r="AO415" s="73"/>
      <c r="AQ415" s="70"/>
    </row>
    <row r="416" spans="3:43" s="69" customFormat="1" x14ac:dyDescent="0.25">
      <c r="C416" s="79"/>
      <c r="E416" s="70"/>
      <c r="U416" s="71"/>
      <c r="V416" s="72"/>
      <c r="W416" s="72"/>
      <c r="X416" s="70"/>
      <c r="Y416" s="70"/>
      <c r="AA416" s="73"/>
      <c r="AB416" s="73"/>
      <c r="AC416" s="73"/>
      <c r="AD416" s="73"/>
      <c r="AE416" s="72"/>
      <c r="AF416" s="73"/>
      <c r="AH416" s="73"/>
      <c r="AI416" s="73"/>
      <c r="AJ416" s="73"/>
      <c r="AK416" s="73"/>
      <c r="AL416" s="73"/>
      <c r="AM416" s="73"/>
      <c r="AN416" s="73"/>
      <c r="AO416" s="73"/>
      <c r="AQ416" s="70"/>
    </row>
    <row r="417" spans="3:43" s="69" customFormat="1" x14ac:dyDescent="0.25">
      <c r="C417" s="79"/>
      <c r="E417" s="70"/>
      <c r="U417" s="71"/>
      <c r="V417" s="72"/>
      <c r="W417" s="72"/>
      <c r="X417" s="70"/>
      <c r="Y417" s="70"/>
      <c r="AA417" s="73"/>
      <c r="AB417" s="73"/>
      <c r="AC417" s="73"/>
      <c r="AD417" s="73"/>
      <c r="AE417" s="72"/>
      <c r="AF417" s="73"/>
      <c r="AH417" s="73"/>
      <c r="AI417" s="73"/>
      <c r="AJ417" s="73"/>
      <c r="AK417" s="73"/>
      <c r="AL417" s="73"/>
      <c r="AM417" s="73"/>
      <c r="AN417" s="73"/>
      <c r="AO417" s="73"/>
      <c r="AQ417" s="70"/>
    </row>
    <row r="418" spans="3:43" s="69" customFormat="1" x14ac:dyDescent="0.25">
      <c r="C418" s="79"/>
      <c r="E418" s="70"/>
      <c r="U418" s="71"/>
      <c r="V418" s="72"/>
      <c r="W418" s="72"/>
      <c r="X418" s="70"/>
      <c r="Y418" s="70"/>
      <c r="AA418" s="73"/>
      <c r="AB418" s="73"/>
      <c r="AC418" s="73"/>
      <c r="AD418" s="73"/>
      <c r="AE418" s="72"/>
      <c r="AF418" s="73"/>
      <c r="AH418" s="73"/>
      <c r="AI418" s="73"/>
      <c r="AJ418" s="73"/>
      <c r="AK418" s="73"/>
      <c r="AL418" s="73"/>
      <c r="AM418" s="73"/>
      <c r="AN418" s="73"/>
      <c r="AO418" s="73"/>
      <c r="AQ418" s="70"/>
    </row>
    <row r="419" spans="3:43" s="69" customFormat="1" x14ac:dyDescent="0.25">
      <c r="C419" s="79"/>
      <c r="E419" s="70"/>
      <c r="U419" s="71"/>
      <c r="V419" s="72"/>
      <c r="W419" s="72"/>
      <c r="X419" s="70"/>
      <c r="Y419" s="70"/>
      <c r="AA419" s="73"/>
      <c r="AB419" s="73"/>
      <c r="AC419" s="73"/>
      <c r="AD419" s="73"/>
      <c r="AE419" s="72"/>
      <c r="AF419" s="73"/>
      <c r="AH419" s="73"/>
      <c r="AI419" s="73"/>
      <c r="AJ419" s="73"/>
      <c r="AK419" s="73"/>
      <c r="AL419" s="73"/>
      <c r="AM419" s="73"/>
      <c r="AN419" s="73"/>
      <c r="AO419" s="73"/>
      <c r="AQ419" s="70"/>
    </row>
    <row r="420" spans="3:43" s="69" customFormat="1" x14ac:dyDescent="0.25">
      <c r="C420" s="79"/>
      <c r="E420" s="70"/>
      <c r="U420" s="71"/>
      <c r="V420" s="72"/>
      <c r="W420" s="72"/>
      <c r="X420" s="70"/>
      <c r="Y420" s="70"/>
      <c r="AA420" s="73"/>
      <c r="AB420" s="73"/>
      <c r="AC420" s="73"/>
      <c r="AD420" s="73"/>
      <c r="AE420" s="72"/>
      <c r="AF420" s="73"/>
      <c r="AH420" s="73"/>
      <c r="AI420" s="73"/>
      <c r="AJ420" s="73"/>
      <c r="AK420" s="73"/>
      <c r="AL420" s="73"/>
      <c r="AM420" s="73"/>
      <c r="AN420" s="73"/>
      <c r="AO420" s="73"/>
      <c r="AQ420" s="70"/>
    </row>
    <row r="421" spans="3:43" s="69" customFormat="1" x14ac:dyDescent="0.25">
      <c r="C421" s="79"/>
      <c r="E421" s="70"/>
      <c r="U421" s="71"/>
      <c r="V421" s="72"/>
      <c r="W421" s="72"/>
      <c r="X421" s="70"/>
      <c r="Y421" s="70"/>
      <c r="AA421" s="73"/>
      <c r="AB421" s="73"/>
      <c r="AC421" s="73"/>
      <c r="AD421" s="73"/>
      <c r="AE421" s="72"/>
      <c r="AF421" s="73"/>
      <c r="AH421" s="73"/>
      <c r="AI421" s="73"/>
      <c r="AJ421" s="73"/>
      <c r="AK421" s="73"/>
      <c r="AL421" s="73"/>
      <c r="AM421" s="73"/>
      <c r="AN421" s="73"/>
      <c r="AO421" s="73"/>
      <c r="AQ421" s="70"/>
    </row>
    <row r="422" spans="3:43" s="69" customFormat="1" x14ac:dyDescent="0.25">
      <c r="C422" s="79"/>
      <c r="E422" s="70"/>
      <c r="U422" s="71"/>
      <c r="V422" s="72"/>
      <c r="W422" s="72"/>
      <c r="X422" s="70"/>
      <c r="Y422" s="70"/>
      <c r="AA422" s="73"/>
      <c r="AB422" s="73"/>
      <c r="AC422" s="73"/>
      <c r="AD422" s="73"/>
      <c r="AE422" s="72"/>
      <c r="AF422" s="73"/>
      <c r="AH422" s="73"/>
      <c r="AI422" s="73"/>
      <c r="AJ422" s="73"/>
      <c r="AK422" s="73"/>
      <c r="AL422" s="73"/>
      <c r="AM422" s="73"/>
      <c r="AN422" s="73"/>
      <c r="AO422" s="73"/>
      <c r="AQ422" s="70"/>
    </row>
    <row r="423" spans="3:43" s="69" customFormat="1" x14ac:dyDescent="0.25">
      <c r="C423" s="79"/>
      <c r="E423" s="70"/>
      <c r="U423" s="71"/>
      <c r="V423" s="72"/>
      <c r="W423" s="72"/>
      <c r="X423" s="70"/>
      <c r="Y423" s="70"/>
      <c r="AA423" s="73"/>
      <c r="AB423" s="73"/>
      <c r="AC423" s="73"/>
      <c r="AD423" s="73"/>
      <c r="AE423" s="72"/>
      <c r="AF423" s="73"/>
      <c r="AH423" s="73"/>
      <c r="AI423" s="73"/>
      <c r="AJ423" s="73"/>
      <c r="AK423" s="73"/>
      <c r="AL423" s="73"/>
      <c r="AM423" s="73"/>
      <c r="AN423" s="73"/>
      <c r="AO423" s="73"/>
      <c r="AQ423" s="70"/>
    </row>
    <row r="424" spans="3:43" s="69" customFormat="1" x14ac:dyDescent="0.25">
      <c r="C424" s="79"/>
      <c r="E424" s="70"/>
      <c r="U424" s="71"/>
      <c r="V424" s="72"/>
      <c r="W424" s="72"/>
      <c r="X424" s="70"/>
      <c r="Y424" s="70"/>
      <c r="AA424" s="73"/>
      <c r="AB424" s="73"/>
      <c r="AC424" s="73"/>
      <c r="AD424" s="73"/>
      <c r="AE424" s="72"/>
      <c r="AF424" s="73"/>
      <c r="AH424" s="73"/>
      <c r="AI424" s="73"/>
      <c r="AJ424" s="73"/>
      <c r="AK424" s="73"/>
      <c r="AL424" s="73"/>
      <c r="AM424" s="73"/>
      <c r="AN424" s="73"/>
      <c r="AO424" s="73"/>
      <c r="AQ424" s="70"/>
    </row>
    <row r="425" spans="3:43" s="69" customFormat="1" x14ac:dyDescent="0.25">
      <c r="C425" s="79"/>
      <c r="E425" s="70"/>
      <c r="U425" s="71"/>
      <c r="V425" s="72"/>
      <c r="W425" s="72"/>
      <c r="X425" s="70"/>
      <c r="Y425" s="70"/>
      <c r="AA425" s="73"/>
      <c r="AB425" s="73"/>
      <c r="AC425" s="73"/>
      <c r="AD425" s="73"/>
      <c r="AE425" s="72"/>
      <c r="AF425" s="73"/>
      <c r="AH425" s="73"/>
      <c r="AI425" s="73"/>
      <c r="AJ425" s="73"/>
      <c r="AK425" s="73"/>
      <c r="AL425" s="73"/>
      <c r="AM425" s="73"/>
      <c r="AN425" s="73"/>
      <c r="AO425" s="73"/>
      <c r="AQ425" s="70"/>
    </row>
    <row r="426" spans="3:43" s="69" customFormat="1" x14ac:dyDescent="0.25">
      <c r="C426" s="79"/>
      <c r="E426" s="70"/>
      <c r="U426" s="71"/>
      <c r="V426" s="72"/>
      <c r="W426" s="72"/>
      <c r="X426" s="70"/>
      <c r="Y426" s="70"/>
      <c r="AA426" s="73"/>
      <c r="AB426" s="73"/>
      <c r="AC426" s="73"/>
      <c r="AD426" s="73"/>
      <c r="AE426" s="72"/>
      <c r="AF426" s="73"/>
      <c r="AH426" s="73"/>
      <c r="AI426" s="73"/>
      <c r="AJ426" s="73"/>
      <c r="AK426" s="73"/>
      <c r="AL426" s="73"/>
      <c r="AM426" s="73"/>
      <c r="AN426" s="73"/>
      <c r="AO426" s="73"/>
      <c r="AQ426" s="70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2026-09-22T16:03:42Z</dcterms:modified>
</cp:coreProperties>
</file>