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EB0434A5-FDA6-4646-A713-2E02B5F624A4}" xr6:coauthVersionLast="47" xr6:coauthVersionMax="47" xr10:uidLastSave="{00000000-0000-0000-0000-000000000000}"/>
  <bookViews>
    <workbookView xWindow="29190" yWindow="150" windowWidth="28620" windowHeight="15330" tabRatio="189" activeTab="1" xr2:uid="{00000000-000D-0000-FFFF-FFFF00000000}"/>
  </bookViews>
  <sheets>
    <sheet name="Summary" sheetId="1" r:id="rId1"/>
    <sheet name="Datase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7" i="2" l="1"/>
  <c r="AC86" i="2"/>
  <c r="Y86" i="2" s="1"/>
  <c r="AC85" i="2"/>
  <c r="Y85" i="2" s="1"/>
  <c r="AC84" i="2"/>
  <c r="Y84" i="2" s="1"/>
  <c r="AC83" i="2"/>
  <c r="AL83" i="2" s="1"/>
  <c r="AC82" i="2"/>
  <c r="AC81" i="2"/>
  <c r="AC80" i="2"/>
  <c r="Y80" i="2" s="1"/>
  <c r="AC79" i="2"/>
  <c r="AC78" i="2"/>
  <c r="AC77" i="2"/>
  <c r="AC76" i="2"/>
  <c r="AJ76" i="2" s="1"/>
  <c r="AC75" i="2"/>
  <c r="AC74" i="2"/>
  <c r="AC73" i="2"/>
  <c r="AC72" i="2"/>
  <c r="Y72" i="2" s="1"/>
  <c r="AC71" i="2"/>
  <c r="AL70" i="2"/>
  <c r="AJ68" i="2"/>
  <c r="AJ66" i="2"/>
  <c r="AJ65" i="2"/>
  <c r="Y63" i="2"/>
  <c r="AJ59" i="2"/>
  <c r="Y55" i="2"/>
  <c r="AL54" i="2"/>
  <c r="AJ52" i="2"/>
  <c r="AJ50" i="2"/>
  <c r="AJ49" i="2"/>
  <c r="Y47" i="2"/>
  <c r="AJ43" i="2"/>
  <c r="Y39" i="2"/>
  <c r="AL38" i="2"/>
  <c r="AJ36" i="2"/>
  <c r="AJ34" i="2"/>
  <c r="AJ33" i="2"/>
  <c r="Y31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Y29" i="2"/>
  <c r="Y30" i="2"/>
  <c r="Y32" i="2"/>
  <c r="Y34" i="2"/>
  <c r="Y35" i="2"/>
  <c r="Y37" i="2"/>
  <c r="Y38" i="2"/>
  <c r="Y40" i="2"/>
  <c r="Y41" i="2"/>
  <c r="Y42" i="2"/>
  <c r="Y43" i="2"/>
  <c r="Y44" i="2"/>
  <c r="Y45" i="2"/>
  <c r="Y46" i="2"/>
  <c r="Y48" i="2"/>
  <c r="Y50" i="2"/>
  <c r="Y51" i="2"/>
  <c r="Y53" i="2"/>
  <c r="Y54" i="2"/>
  <c r="Y56" i="2"/>
  <c r="Y57" i="2"/>
  <c r="Y58" i="2"/>
  <c r="Y59" i="2"/>
  <c r="Y60" i="2"/>
  <c r="Y61" i="2"/>
  <c r="Y62" i="2"/>
  <c r="Y64" i="2"/>
  <c r="Y66" i="2"/>
  <c r="Y67" i="2"/>
  <c r="Y69" i="2"/>
  <c r="Y70" i="2"/>
  <c r="Y71" i="2"/>
  <c r="Y73" i="2"/>
  <c r="Y74" i="2"/>
  <c r="Y75" i="2"/>
  <c r="Y76" i="2"/>
  <c r="Y77" i="2"/>
  <c r="Y78" i="2"/>
  <c r="Y79" i="2"/>
  <c r="Y81" i="2"/>
  <c r="Y82" i="2"/>
  <c r="Y83" i="2"/>
  <c r="Y87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J29" i="2"/>
  <c r="AJ30" i="2"/>
  <c r="AJ31" i="2"/>
  <c r="AJ32" i="2"/>
  <c r="AJ35" i="2"/>
  <c r="AJ37" i="2"/>
  <c r="AJ38" i="2"/>
  <c r="AJ40" i="2"/>
  <c r="AJ41" i="2"/>
  <c r="AJ42" i="2"/>
  <c r="AJ44" i="2"/>
  <c r="AJ45" i="2"/>
  <c r="AJ46" i="2"/>
  <c r="AJ47" i="2"/>
  <c r="AJ48" i="2"/>
  <c r="AJ51" i="2"/>
  <c r="AJ53" i="2"/>
  <c r="AJ54" i="2"/>
  <c r="AJ56" i="2"/>
  <c r="AJ57" i="2"/>
  <c r="AJ58" i="2"/>
  <c r="AJ60" i="2"/>
  <c r="AJ61" i="2"/>
  <c r="AJ62" i="2"/>
  <c r="AJ63" i="2"/>
  <c r="AJ64" i="2"/>
  <c r="AJ67" i="2"/>
  <c r="AJ69" i="2"/>
  <c r="AJ70" i="2"/>
  <c r="AJ71" i="2"/>
  <c r="AJ72" i="2"/>
  <c r="AJ73" i="2"/>
  <c r="AJ74" i="2"/>
  <c r="AJ75" i="2"/>
  <c r="AJ77" i="2"/>
  <c r="AJ78" i="2"/>
  <c r="AJ79" i="2"/>
  <c r="AJ80" i="2"/>
  <c r="AJ81" i="2"/>
  <c r="AJ82" i="2"/>
  <c r="AJ84" i="2"/>
  <c r="AJ85" i="2"/>
  <c r="AJ86" i="2"/>
  <c r="AJ87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L29" i="2"/>
  <c r="AL30" i="2"/>
  <c r="AL32" i="2"/>
  <c r="AL35" i="2"/>
  <c r="AL36" i="2"/>
  <c r="AL37" i="2"/>
  <c r="AL40" i="2"/>
  <c r="AL41" i="2"/>
  <c r="AL42" i="2"/>
  <c r="AL44" i="2"/>
  <c r="AL45" i="2"/>
  <c r="AL46" i="2"/>
  <c r="AL48" i="2"/>
  <c r="AL51" i="2"/>
  <c r="AL52" i="2"/>
  <c r="AL53" i="2"/>
  <c r="AL56" i="2"/>
  <c r="AL57" i="2"/>
  <c r="AL58" i="2"/>
  <c r="AL60" i="2"/>
  <c r="AL61" i="2"/>
  <c r="AL62" i="2"/>
  <c r="AL64" i="2"/>
  <c r="AL67" i="2"/>
  <c r="AL68" i="2"/>
  <c r="AL69" i="2"/>
  <c r="AL71" i="2"/>
  <c r="AL73" i="2"/>
  <c r="AL74" i="2"/>
  <c r="AL75" i="2"/>
  <c r="AL77" i="2"/>
  <c r="AL78" i="2"/>
  <c r="AL79" i="2"/>
  <c r="AL80" i="2"/>
  <c r="AL81" i="2"/>
  <c r="AL82" i="2"/>
  <c r="AL84" i="2"/>
  <c r="AL85" i="2"/>
  <c r="AL86" i="2"/>
  <c r="AL87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J83" i="2" l="1"/>
  <c r="AL76" i="2"/>
  <c r="AL72" i="2"/>
  <c r="AL66" i="2"/>
  <c r="AL50" i="2"/>
  <c r="AL34" i="2"/>
  <c r="Y68" i="2"/>
  <c r="Y52" i="2"/>
  <c r="Y36" i="2"/>
  <c r="AL65" i="2"/>
  <c r="AL49" i="2"/>
  <c r="AL33" i="2"/>
  <c r="AJ55" i="2"/>
  <c r="AJ39" i="2"/>
  <c r="AL63" i="2"/>
  <c r="AL47" i="2"/>
  <c r="AL31" i="2"/>
  <c r="Y65" i="2"/>
  <c r="Y49" i="2"/>
  <c r="Y33" i="2"/>
  <c r="AL59" i="2"/>
  <c r="AL43" i="2"/>
  <c r="AL39" i="2"/>
  <c r="AL55" i="2"/>
  <c r="AH2" i="2" l="1"/>
  <c r="AI2" i="2"/>
  <c r="AJ2" i="2"/>
  <c r="AK2" i="2"/>
  <c r="AO2" i="2"/>
  <c r="AP2" i="2"/>
  <c r="AQ2" i="2"/>
  <c r="AH3" i="2"/>
  <c r="AI3" i="2"/>
  <c r="AJ3" i="2"/>
  <c r="AK3" i="2"/>
  <c r="AP3" i="2"/>
  <c r="AQ3" i="2"/>
  <c r="Z27" i="2"/>
  <c r="Z26" i="2"/>
  <c r="Z25" i="2"/>
  <c r="Z24" i="2"/>
  <c r="Z23" i="2"/>
  <c r="Z21" i="2"/>
  <c r="Z20" i="2"/>
  <c r="Z19" i="2"/>
  <c r="Z10" i="2"/>
  <c r="Z9" i="2"/>
  <c r="Z8" i="2"/>
  <c r="Z7" i="2"/>
  <c r="Z4" i="2"/>
  <c r="Z3" i="2"/>
  <c r="AP7" i="2"/>
  <c r="AK5" i="2"/>
  <c r="AK8" i="2"/>
  <c r="AK9" i="2"/>
  <c r="AK10" i="2"/>
  <c r="AK21" i="2"/>
  <c r="AK24" i="2"/>
  <c r="AK25" i="2"/>
  <c r="AK26" i="2"/>
  <c r="AJ6" i="2"/>
  <c r="AJ7" i="2"/>
  <c r="AJ8" i="2"/>
  <c r="AJ9" i="2"/>
  <c r="AJ11" i="2"/>
  <c r="AJ12" i="2"/>
  <c r="AJ14" i="2"/>
  <c r="AJ15" i="2"/>
  <c r="AJ16" i="2"/>
  <c r="AJ17" i="2"/>
  <c r="AJ19" i="2"/>
  <c r="AJ22" i="2"/>
  <c r="AJ23" i="2"/>
  <c r="AJ24" i="2"/>
  <c r="AJ25" i="2"/>
  <c r="AJ27" i="2"/>
  <c r="AJ28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Z2" i="2"/>
  <c r="Z5" i="2"/>
  <c r="Z6" i="2"/>
  <c r="Z11" i="2"/>
  <c r="Z12" i="2"/>
  <c r="Z13" i="2"/>
  <c r="Z14" i="2"/>
  <c r="Z15" i="2"/>
  <c r="Z16" i="2"/>
  <c r="Z17" i="2"/>
  <c r="Z18" i="2"/>
  <c r="Z22" i="2"/>
  <c r="Z28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O3" i="2"/>
  <c r="O4" i="2"/>
  <c r="AJ4" i="2" s="1"/>
  <c r="O5" i="2"/>
  <c r="AJ5" i="2" s="1"/>
  <c r="O6" i="2"/>
  <c r="AK6" i="2" s="1"/>
  <c r="O7" i="2"/>
  <c r="AK7" i="2" s="1"/>
  <c r="O8" i="2"/>
  <c r="O9" i="2"/>
  <c r="O10" i="2"/>
  <c r="AJ10" i="2" s="1"/>
  <c r="O11" i="2"/>
  <c r="AK11" i="2" s="1"/>
  <c r="O12" i="2"/>
  <c r="AK12" i="2" s="1"/>
  <c r="O13" i="2"/>
  <c r="AK13" i="2" s="1"/>
  <c r="O14" i="2"/>
  <c r="AK14" i="2" s="1"/>
  <c r="O15" i="2"/>
  <c r="AK15" i="2" s="1"/>
  <c r="O16" i="2"/>
  <c r="AK16" i="2" s="1"/>
  <c r="O17" i="2"/>
  <c r="AK17" i="2" s="1"/>
  <c r="O18" i="2"/>
  <c r="AJ18" i="2" s="1"/>
  <c r="O19" i="2"/>
  <c r="AK19" i="2" s="1"/>
  <c r="O20" i="2"/>
  <c r="AJ20" i="2" s="1"/>
  <c r="O21" i="2"/>
  <c r="AJ21" i="2" s="1"/>
  <c r="O22" i="2"/>
  <c r="AK22" i="2" s="1"/>
  <c r="O23" i="2"/>
  <c r="AK23" i="2" s="1"/>
  <c r="O24" i="2"/>
  <c r="O25" i="2"/>
  <c r="O26" i="2"/>
  <c r="AJ26" i="2" s="1"/>
  <c r="O27" i="2"/>
  <c r="AK27" i="2" s="1"/>
  <c r="O28" i="2"/>
  <c r="AK28" i="2" s="1"/>
  <c r="O2" i="2"/>
  <c r="Q2" i="2"/>
  <c r="AN2" i="2" s="1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J13" i="2" l="1"/>
  <c r="AK20" i="2"/>
  <c r="AK4" i="2"/>
  <c r="AK18" i="2"/>
  <c r="AP4" i="2"/>
  <c r="AP5" i="2"/>
  <c r="AP6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Q4" i="2"/>
  <c r="Q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P2" i="2"/>
  <c r="P3" i="2"/>
  <c r="P4" i="2"/>
  <c r="AL4" i="2" s="1"/>
  <c r="P5" i="2"/>
  <c r="AL5" i="2" s="1"/>
  <c r="P6" i="2"/>
  <c r="AL6" i="2" s="1"/>
  <c r="P7" i="2"/>
  <c r="AL7" i="2" s="1"/>
  <c r="P8" i="2"/>
  <c r="AL8" i="2" s="1"/>
  <c r="P9" i="2"/>
  <c r="AL9" i="2" s="1"/>
  <c r="P10" i="2"/>
  <c r="AL10" i="2" s="1"/>
  <c r="P11" i="2"/>
  <c r="AL11" i="2" s="1"/>
  <c r="P12" i="2"/>
  <c r="AL12" i="2" s="1"/>
  <c r="P13" i="2"/>
  <c r="AL13" i="2" s="1"/>
  <c r="P14" i="2"/>
  <c r="AL14" i="2" s="1"/>
  <c r="P15" i="2"/>
  <c r="AL15" i="2" s="1"/>
  <c r="P16" i="2"/>
  <c r="AL16" i="2" s="1"/>
  <c r="P17" i="2"/>
  <c r="AL17" i="2" s="1"/>
  <c r="P18" i="2"/>
  <c r="AL18" i="2" s="1"/>
  <c r="P19" i="2"/>
  <c r="AL19" i="2" s="1"/>
  <c r="P20" i="2"/>
  <c r="AL20" i="2" s="1"/>
  <c r="P21" i="2"/>
  <c r="AL21" i="2" s="1"/>
  <c r="P22" i="2"/>
  <c r="AL22" i="2" s="1"/>
  <c r="P23" i="2"/>
  <c r="AL23" i="2" s="1"/>
  <c r="P24" i="2"/>
  <c r="AL24" i="2" s="1"/>
  <c r="P25" i="2"/>
  <c r="AL25" i="2" s="1"/>
  <c r="P26" i="2"/>
  <c r="AL26" i="2" s="1"/>
  <c r="P27" i="2"/>
  <c r="AL27" i="2" s="1"/>
  <c r="P28" i="2"/>
  <c r="AL28" i="2" s="1"/>
  <c r="M3" i="1"/>
  <c r="AN3" i="2" l="1"/>
  <c r="AO3" i="2"/>
  <c r="AL3" i="2"/>
  <c r="AM3" i="2"/>
  <c r="AM2" i="2"/>
  <c r="AL2" i="2"/>
  <c r="AO20" i="2"/>
  <c r="AN20" i="2"/>
  <c r="AN17" i="2"/>
  <c r="AO17" i="2"/>
  <c r="AN16" i="2"/>
  <c r="AO16" i="2"/>
  <c r="AO15" i="2"/>
  <c r="AN15" i="2"/>
  <c r="AO14" i="2"/>
  <c r="AN14" i="2"/>
  <c r="AO13" i="2"/>
  <c r="AN13" i="2"/>
  <c r="AO28" i="2"/>
  <c r="AN28" i="2"/>
  <c r="AO12" i="2"/>
  <c r="AN12" i="2"/>
  <c r="AO5" i="2"/>
  <c r="AN5" i="2"/>
  <c r="AO27" i="2"/>
  <c r="AN27" i="2"/>
  <c r="AO11" i="2"/>
  <c r="AN11" i="2"/>
  <c r="AO26" i="2"/>
  <c r="AN26" i="2"/>
  <c r="AO10" i="2"/>
  <c r="AN10" i="2"/>
  <c r="AO4" i="2"/>
  <c r="AN4" i="2"/>
  <c r="AO25" i="2"/>
  <c r="AN25" i="2"/>
  <c r="AO9" i="2"/>
  <c r="AN9" i="2"/>
  <c r="AO21" i="2"/>
  <c r="AN21" i="2"/>
  <c r="AO24" i="2"/>
  <c r="AN24" i="2"/>
  <c r="AO8" i="2"/>
  <c r="AN8" i="2"/>
  <c r="AN18" i="2"/>
  <c r="AO18" i="2"/>
  <c r="AO23" i="2"/>
  <c r="AN23" i="2"/>
  <c r="AO7" i="2"/>
  <c r="AN7" i="2"/>
  <c r="AN19" i="2"/>
  <c r="AO19" i="2"/>
  <c r="AO22" i="2"/>
  <c r="AN22" i="2"/>
  <c r="AO6" i="2"/>
  <c r="AN6" i="2"/>
  <c r="AM26" i="2"/>
  <c r="AM10" i="2"/>
  <c r="AM21" i="2"/>
  <c r="AM5" i="2"/>
  <c r="AM20" i="2"/>
  <c r="AM4" i="2"/>
  <c r="AM11" i="2"/>
  <c r="AM17" i="2"/>
  <c r="AM16" i="2"/>
  <c r="AM15" i="2"/>
  <c r="AM19" i="2"/>
  <c r="AM18" i="2"/>
  <c r="AM14" i="2"/>
  <c r="AM13" i="2"/>
  <c r="AM28" i="2"/>
  <c r="AM12" i="2"/>
  <c r="AM25" i="2"/>
  <c r="AM24" i="2"/>
  <c r="AM23" i="2"/>
  <c r="AM27" i="2"/>
  <c r="AM9" i="2"/>
  <c r="AM8" i="2"/>
  <c r="AM7" i="2"/>
  <c r="AM22" i="2"/>
  <c r="AM6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<sst xmlns="http://schemas.openxmlformats.org/spreadsheetml/2006/main" count="933" uniqueCount="161">
  <si>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</si>
  <si>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</si>
  <si>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</si>
  <si>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</si>
  <si>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</si>
  <si>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</si>
  <si>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</si>
  <si>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</si>
  <si>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</si>
  <si>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</si>
  <si>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</si>
  <si>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</si>
  <si>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</si>
  <si>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</si>
  <si>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</si>
  <si>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</si>
  <si>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</si>
  <si>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</si>
  <si>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</si>
  <si>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</si>
  <si>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</si>
  <si>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</si>
  <si>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</si>
  <si>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</si>
  <si>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</si>
  <si>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</si>
  <si>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</si>
  <si>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</si>
  <si>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</si>
  <si>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</si>
  <si>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</si>
  <si>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</si>
  <si>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</si>
  <si>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</si>
  <si>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</si>
  <si>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</si>
  <si>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</si>
  <si>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</si>
  <si>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</si>
  <si>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</si>
  <si>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</si>
  <si>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</si>
  <si>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</si>
  <si>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</si>
  <si>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</si>
  <si>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</si>
  <si>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</si>
  <si>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</si>
  <si>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</si>
  <si>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</si>
  <si>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</si>
  <si>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</si>
  <si>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</si>
  <si>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</si>
  <si>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</si>
  <si>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</si>
  <si>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</si>
  <si>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</si>
  <si>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</si>
  <si>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</si>
  <si>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</si>
  <si>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</si>
  <si>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</si>
  <si>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</si>
  <si>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Janssens</t>
  </si>
  <si>
    <t>10.1016/j.ijfatigue.2017.12.013</t>
  </si>
  <si>
    <t>Uniaxial_1</t>
  </si>
  <si>
    <t>stiffness decrease</t>
  </si>
  <si>
    <t>Uniaxial_2</t>
  </si>
  <si>
    <t>Uniaxial_3</t>
  </si>
  <si>
    <t>Uniaxial_4</t>
  </si>
  <si>
    <t>Uniaxial_5</t>
  </si>
  <si>
    <t>Uniaxial_6</t>
  </si>
  <si>
    <t>Uniaxial_7</t>
  </si>
  <si>
    <t>Uniaxial_8</t>
  </si>
  <si>
    <t>Uniaxial_9</t>
  </si>
  <si>
    <t>Torsional_1</t>
  </si>
  <si>
    <t>Torsional_2</t>
  </si>
  <si>
    <t>Torsional_3</t>
  </si>
  <si>
    <t>Torsional_4</t>
  </si>
  <si>
    <t>Torsional_5</t>
  </si>
  <si>
    <t>Torsional_6</t>
  </si>
  <si>
    <t>Torsional_7</t>
  </si>
  <si>
    <t>Non_prop_1</t>
  </si>
  <si>
    <t>Non_prop_2</t>
  </si>
  <si>
    <t>Non_prop_3</t>
  </si>
  <si>
    <t>Non_prop_4</t>
  </si>
  <si>
    <t>Non_prop_5</t>
  </si>
  <si>
    <t>Non_prop_6</t>
  </si>
  <si>
    <t>Non_prop_7</t>
  </si>
  <si>
    <t>Non_prop_8</t>
  </si>
  <si>
    <t>Non_prop_9</t>
  </si>
  <si>
    <t>Non_prop_10</t>
  </si>
  <si>
    <t>Non_prop_11</t>
  </si>
  <si>
    <t>hollow cylinder</t>
  </si>
  <si>
    <t>10.1016/j.matdes.2024.113122 
in high‐cycle multiaxial fatigue taking into account the
stress‐strain gradient. Int J Fatigue. 2006;28(5‐6):474‐484.</t>
  </si>
  <si>
    <t>Braun et al.</t>
  </si>
  <si>
    <t xml:space="preserve">10.1016/j.ijfatigue.2017.12.013 </t>
  </si>
  <si>
    <t>AISI 316L</t>
  </si>
  <si>
    <t xml:space="preserve">10.1016/j.matdes.2024.113122 </t>
  </si>
  <si>
    <t>V_notched_1</t>
  </si>
  <si>
    <t>complete rupture</t>
  </si>
  <si>
    <t>V_notched_2</t>
  </si>
  <si>
    <t>V_notched_3</t>
  </si>
  <si>
    <t>V_notched_4</t>
  </si>
  <si>
    <t>V_notched_5</t>
  </si>
  <si>
    <t>V_notched_6</t>
  </si>
  <si>
    <t>V_notched_7</t>
  </si>
  <si>
    <t>V_notched_8</t>
  </si>
  <si>
    <t>V_notched_9</t>
  </si>
  <si>
    <t>V_notched_10</t>
  </si>
  <si>
    <t>V_notched_11</t>
  </si>
  <si>
    <t>V_notched_12</t>
  </si>
  <si>
    <t>V_notched_13</t>
  </si>
  <si>
    <t>V_notched_14</t>
  </si>
  <si>
    <t>V_notched_15</t>
  </si>
  <si>
    <t>V_notched_16</t>
  </si>
  <si>
    <t>V_notched_17</t>
  </si>
  <si>
    <t>V_notched_18</t>
  </si>
  <si>
    <t>V_notched_19</t>
  </si>
  <si>
    <t>V_notched_20</t>
  </si>
  <si>
    <t>V_notched_21</t>
  </si>
  <si>
    <t>V_notched_22</t>
  </si>
  <si>
    <t>U_notched_1</t>
  </si>
  <si>
    <t>U_notched_2</t>
  </si>
  <si>
    <t>U_notched_3</t>
  </si>
  <si>
    <t>U_notched_4</t>
  </si>
  <si>
    <t>U_notched_5</t>
  </si>
  <si>
    <t>U_notched_6</t>
  </si>
  <si>
    <t>U_notched_7</t>
  </si>
  <si>
    <t>U_notched_8</t>
  </si>
  <si>
    <t>U_notched_9</t>
  </si>
  <si>
    <t>U_notched_10</t>
  </si>
  <si>
    <t>U_notched_11</t>
  </si>
  <si>
    <t>U_notched_12</t>
  </si>
  <si>
    <t>U_notched_13</t>
  </si>
  <si>
    <t>U_notched_14</t>
  </si>
  <si>
    <t>U_notched_15</t>
  </si>
  <si>
    <t>U_notched_16</t>
  </si>
  <si>
    <t>U_notched_17</t>
  </si>
  <si>
    <t>U_notched_18</t>
  </si>
  <si>
    <t>U_notched_19</t>
  </si>
  <si>
    <t>U_notched_20</t>
  </si>
  <si>
    <t>Plain_axial_1</t>
  </si>
  <si>
    <t>Plain_axial_2</t>
  </si>
  <si>
    <t>Plain_axial_3</t>
  </si>
  <si>
    <t>Plain_axial_4</t>
  </si>
  <si>
    <t>Plain_axial_5</t>
  </si>
  <si>
    <t>Plain_axial_6</t>
  </si>
  <si>
    <t>Plain_axial_7</t>
  </si>
  <si>
    <t>Plain_axial_8</t>
  </si>
  <si>
    <t>Plain_axial_9</t>
  </si>
  <si>
    <t>Plain_axial_10</t>
  </si>
  <si>
    <t>Plain_axial_11</t>
  </si>
  <si>
    <t>Plain_axial_12</t>
  </si>
  <si>
    <t>Plain_axial_13</t>
  </si>
  <si>
    <t>Plain_axial_14</t>
  </si>
  <si>
    <t>Plain_axial_15</t>
  </si>
  <si>
    <t>Plain_axial_16</t>
  </si>
  <si>
    <t>Plain_axial_17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</si>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</sst>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164" fontId="7" fillId="7" borderId="14" xfId="0" applyNumberFormat="1" applyFon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" fontId="0" fillId="0" borderId="13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 wrapText="1"/>
    </xf>
  </cellXfs>
  <cellStyles count="1">
    <cellStyle name="Normale" xfId="0" builtinId="0"/>
  </cellStyles>
  <dxfs count="60"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outline="0">
        <left style="thin">
          <color indexed="64"/>
        </left>
        <right/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Dataset!$E$2:$E$87</c:f>
              <c:numCache>
                <c:formatCode>0</c:formatCode>
                <c:ptCount val="86"/>
                <c:pt idx="0">
                  <c:v>11000000</c:v>
                </c:pt>
                <c:pt idx="1">
                  <c:v>2474000</c:v>
                </c:pt>
                <c:pt idx="2">
                  <c:v>206000</c:v>
                </c:pt>
                <c:pt idx="3">
                  <c:v>11000000</c:v>
                </c:pt>
                <c:pt idx="4">
                  <c:v>116000</c:v>
                </c:pt>
                <c:pt idx="5">
                  <c:v>158000</c:v>
                </c:pt>
                <c:pt idx="6">
                  <c:v>11000000</c:v>
                </c:pt>
                <c:pt idx="7">
                  <c:v>638000</c:v>
                </c:pt>
                <c:pt idx="8">
                  <c:v>509000</c:v>
                </c:pt>
                <c:pt idx="9">
                  <c:v>11000000</c:v>
                </c:pt>
                <c:pt idx="10">
                  <c:v>11000000</c:v>
                </c:pt>
                <c:pt idx="11">
                  <c:v>445000</c:v>
                </c:pt>
                <c:pt idx="12">
                  <c:v>2165000</c:v>
                </c:pt>
                <c:pt idx="13">
                  <c:v>849000</c:v>
                </c:pt>
                <c:pt idx="14">
                  <c:v>474000</c:v>
                </c:pt>
                <c:pt idx="15">
                  <c:v>198000</c:v>
                </c:pt>
                <c:pt idx="16">
                  <c:v>11000000</c:v>
                </c:pt>
                <c:pt idx="17">
                  <c:v>11000000</c:v>
                </c:pt>
                <c:pt idx="18">
                  <c:v>11000000</c:v>
                </c:pt>
                <c:pt idx="19">
                  <c:v>194000</c:v>
                </c:pt>
                <c:pt idx="20">
                  <c:v>11000000</c:v>
                </c:pt>
                <c:pt idx="21">
                  <c:v>1458000</c:v>
                </c:pt>
                <c:pt idx="22">
                  <c:v>11000000</c:v>
                </c:pt>
                <c:pt idx="23">
                  <c:v>431000</c:v>
                </c:pt>
                <c:pt idx="24">
                  <c:v>246000</c:v>
                </c:pt>
                <c:pt idx="25">
                  <c:v>102000</c:v>
                </c:pt>
                <c:pt idx="26">
                  <c:v>116000</c:v>
                </c:pt>
                <c:pt idx="27">
                  <c:v>38505</c:v>
                </c:pt>
                <c:pt idx="28">
                  <c:v>89454</c:v>
                </c:pt>
                <c:pt idx="29">
                  <c:v>201484</c:v>
                </c:pt>
                <c:pt idx="30">
                  <c:v>247818</c:v>
                </c:pt>
                <c:pt idx="31">
                  <c:v>261733</c:v>
                </c:pt>
                <c:pt idx="32">
                  <c:v>347141</c:v>
                </c:pt>
                <c:pt idx="33">
                  <c:v>347221</c:v>
                </c:pt>
                <c:pt idx="34">
                  <c:v>369481</c:v>
                </c:pt>
                <c:pt idx="35">
                  <c:v>436200</c:v>
                </c:pt>
                <c:pt idx="36">
                  <c:v>515532</c:v>
                </c:pt>
                <c:pt idx="37">
                  <c:v>516299</c:v>
                </c:pt>
                <c:pt idx="38">
                  <c:v>603574</c:v>
                </c:pt>
                <c:pt idx="39">
                  <c:v>754651</c:v>
                </c:pt>
                <c:pt idx="40">
                  <c:v>1031849</c:v>
                </c:pt>
                <c:pt idx="41">
                  <c:v>2063734</c:v>
                </c:pt>
                <c:pt idx="42">
                  <c:v>2591273</c:v>
                </c:pt>
                <c:pt idx="43">
                  <c:v>2673283</c:v>
                </c:pt>
                <c:pt idx="44">
                  <c:v>2700129</c:v>
                </c:pt>
                <c:pt idx="45">
                  <c:v>2770129</c:v>
                </c:pt>
                <c:pt idx="46">
                  <c:v>10000000</c:v>
                </c:pt>
                <c:pt idx="47">
                  <c:v>10000000</c:v>
                </c:pt>
                <c:pt idx="48">
                  <c:v>10248220</c:v>
                </c:pt>
                <c:pt idx="49">
                  <c:v>91731</c:v>
                </c:pt>
                <c:pt idx="50">
                  <c:v>98171</c:v>
                </c:pt>
                <c:pt idx="51">
                  <c:v>111717</c:v>
                </c:pt>
                <c:pt idx="52">
                  <c:v>129814</c:v>
                </c:pt>
                <c:pt idx="53">
                  <c:v>220373</c:v>
                </c:pt>
                <c:pt idx="54">
                  <c:v>223607</c:v>
                </c:pt>
                <c:pt idx="55">
                  <c:v>249456</c:v>
                </c:pt>
                <c:pt idx="56">
                  <c:v>283473</c:v>
                </c:pt>
                <c:pt idx="57">
                  <c:v>337118</c:v>
                </c:pt>
                <c:pt idx="58">
                  <c:v>347909</c:v>
                </c:pt>
                <c:pt idx="59">
                  <c:v>415552</c:v>
                </c:pt>
                <c:pt idx="60">
                  <c:v>424117</c:v>
                </c:pt>
                <c:pt idx="61">
                  <c:v>660562</c:v>
                </c:pt>
                <c:pt idx="62">
                  <c:v>2134445</c:v>
                </c:pt>
                <c:pt idx="63">
                  <c:v>2366590</c:v>
                </c:pt>
                <c:pt idx="64">
                  <c:v>2400000</c:v>
                </c:pt>
                <c:pt idx="65">
                  <c:v>2596329</c:v>
                </c:pt>
                <c:pt idx="66">
                  <c:v>2676338</c:v>
                </c:pt>
                <c:pt idx="67">
                  <c:v>3456187</c:v>
                </c:pt>
                <c:pt idx="68">
                  <c:v>3955089</c:v>
                </c:pt>
                <c:pt idx="69">
                  <c:v>69975.614335337901</c:v>
                </c:pt>
                <c:pt idx="70">
                  <c:v>98291.938165044907</c:v>
                </c:pt>
                <c:pt idx="71">
                  <c:v>115022.54352295501</c:v>
                </c:pt>
                <c:pt idx="72">
                  <c:v>138119.68453642901</c:v>
                </c:pt>
                <c:pt idx="73">
                  <c:v>159528.700623432</c:v>
                </c:pt>
                <c:pt idx="74">
                  <c:v>184229.698075472</c:v>
                </c:pt>
                <c:pt idx="75">
                  <c:v>172522.795562466</c:v>
                </c:pt>
                <c:pt idx="76">
                  <c:v>221118.01442486999</c:v>
                </c:pt>
                <c:pt idx="77">
                  <c:v>262112.51782478701</c:v>
                </c:pt>
                <c:pt idx="78">
                  <c:v>242231.351892637</c:v>
                </c:pt>
                <c:pt idx="79">
                  <c:v>448190.98851836799</c:v>
                </c:pt>
                <c:pt idx="80">
                  <c:v>589889.81233492901</c:v>
                </c:pt>
                <c:pt idx="81">
                  <c:v>613487.81895109196</c:v>
                </c:pt>
                <c:pt idx="82">
                  <c:v>1513696.1672995901</c:v>
                </c:pt>
                <c:pt idx="83">
                  <c:v>10083492.331762001</c:v>
                </c:pt>
                <c:pt idx="84">
                  <c:v>10080834.9325461</c:v>
                </c:pt>
                <c:pt idx="85">
                  <c:v>9947900.5566510092</c:v>
                </c:pt>
              </c:numCache>
            </c:numRef>
          </c:xVal>
          <c:yVal>
            <c:numRef>
              <c:f>Dataset!$AQ$2:$AQ$87</c:f>
              <c:numCache>
                <c:formatCode>0.00</c:formatCode>
                <c:ptCount val="86"/>
                <c:pt idx="0">
                  <c:v>230</c:v>
                </c:pt>
                <c:pt idx="1">
                  <c:v>235</c:v>
                </c:pt>
                <c:pt idx="2">
                  <c:v>235</c:v>
                </c:pt>
                <c:pt idx="3">
                  <c:v>235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240.75506225207394</c:v>
                </c:pt>
                <c:pt idx="10">
                  <c:v>249.41531628991834</c:v>
                </c:pt>
                <c:pt idx="11">
                  <c:v>249.41531628991834</c:v>
                </c:pt>
                <c:pt idx="12">
                  <c:v>249.41531628991834</c:v>
                </c:pt>
                <c:pt idx="13">
                  <c:v>254.61146871262497</c:v>
                </c:pt>
                <c:pt idx="14">
                  <c:v>259.8076211353316</c:v>
                </c:pt>
                <c:pt idx="15">
                  <c:v>265.00377355803823</c:v>
                </c:pt>
                <c:pt idx="16">
                  <c:v>240.23322001754877</c:v>
                </c:pt>
                <c:pt idx="17">
                  <c:v>259.93076001119988</c:v>
                </c:pt>
                <c:pt idx="18">
                  <c:v>269.77953962448674</c:v>
                </c:pt>
                <c:pt idx="19">
                  <c:v>279.62832474554506</c:v>
                </c:pt>
                <c:pt idx="20">
                  <c:v>289.47711481220756</c:v>
                </c:pt>
                <c:pt idx="21">
                  <c:v>296.68670344321129</c:v>
                </c:pt>
                <c:pt idx="22">
                  <c:v>300.55116037041017</c:v>
                </c:pt>
                <c:pt idx="23">
                  <c:v>303.89636391375268</c:v>
                </c:pt>
                <c:pt idx="24">
                  <c:v>310.39974226793424</c:v>
                </c:pt>
                <c:pt idx="25">
                  <c:v>311.10609122934255</c:v>
                </c:pt>
                <c:pt idx="26">
                  <c:v>320.24834113543818</c:v>
                </c:pt>
                <c:pt idx="27">
                  <c:v>140</c:v>
                </c:pt>
                <c:pt idx="28">
                  <c:v>125</c:v>
                </c:pt>
                <c:pt idx="29">
                  <c:v>108.5</c:v>
                </c:pt>
                <c:pt idx="30">
                  <c:v>120</c:v>
                </c:pt>
                <c:pt idx="31">
                  <c:v>108.5</c:v>
                </c:pt>
                <c:pt idx="32">
                  <c:v>100</c:v>
                </c:pt>
                <c:pt idx="33">
                  <c:v>104</c:v>
                </c:pt>
                <c:pt idx="34">
                  <c:v>100</c:v>
                </c:pt>
                <c:pt idx="35">
                  <c:v>95</c:v>
                </c:pt>
                <c:pt idx="36">
                  <c:v>96</c:v>
                </c:pt>
                <c:pt idx="37">
                  <c:v>94</c:v>
                </c:pt>
                <c:pt idx="38">
                  <c:v>90</c:v>
                </c:pt>
                <c:pt idx="39">
                  <c:v>100</c:v>
                </c:pt>
                <c:pt idx="40">
                  <c:v>103</c:v>
                </c:pt>
                <c:pt idx="41">
                  <c:v>91.5</c:v>
                </c:pt>
                <c:pt idx="42">
                  <c:v>91.5</c:v>
                </c:pt>
                <c:pt idx="43">
                  <c:v>95</c:v>
                </c:pt>
                <c:pt idx="44">
                  <c:v>85</c:v>
                </c:pt>
                <c:pt idx="45">
                  <c:v>90</c:v>
                </c:pt>
                <c:pt idx="46">
                  <c:v>96</c:v>
                </c:pt>
                <c:pt idx="47">
                  <c:v>95</c:v>
                </c:pt>
                <c:pt idx="48">
                  <c:v>90</c:v>
                </c:pt>
                <c:pt idx="49">
                  <c:v>158.5</c:v>
                </c:pt>
                <c:pt idx="50">
                  <c:v>158.5</c:v>
                </c:pt>
                <c:pt idx="51">
                  <c:v>150</c:v>
                </c:pt>
                <c:pt idx="52">
                  <c:v>153</c:v>
                </c:pt>
                <c:pt idx="53">
                  <c:v>146</c:v>
                </c:pt>
                <c:pt idx="54">
                  <c:v>146.5</c:v>
                </c:pt>
                <c:pt idx="55">
                  <c:v>137.5</c:v>
                </c:pt>
                <c:pt idx="56">
                  <c:v>133.5</c:v>
                </c:pt>
                <c:pt idx="57">
                  <c:v>141.5</c:v>
                </c:pt>
                <c:pt idx="58">
                  <c:v>144</c:v>
                </c:pt>
                <c:pt idx="59">
                  <c:v>125</c:v>
                </c:pt>
                <c:pt idx="60">
                  <c:v>150</c:v>
                </c:pt>
                <c:pt idx="61">
                  <c:v>129</c:v>
                </c:pt>
                <c:pt idx="62">
                  <c:v>121</c:v>
                </c:pt>
                <c:pt idx="63">
                  <c:v>137.5</c:v>
                </c:pt>
                <c:pt idx="64">
                  <c:v>133.5</c:v>
                </c:pt>
                <c:pt idx="65">
                  <c:v>129</c:v>
                </c:pt>
                <c:pt idx="66">
                  <c:v>125</c:v>
                </c:pt>
                <c:pt idx="67">
                  <c:v>125</c:v>
                </c:pt>
                <c:pt idx="68">
                  <c:v>137.5</c:v>
                </c:pt>
                <c:pt idx="69">
                  <c:v>255.717949373556</c:v>
                </c:pt>
                <c:pt idx="70">
                  <c:v>240.04280092058249</c:v>
                </c:pt>
                <c:pt idx="71">
                  <c:v>248.279407501717</c:v>
                </c:pt>
                <c:pt idx="72">
                  <c:v>241.05724428188401</c:v>
                </c:pt>
                <c:pt idx="73">
                  <c:v>249.32865953394651</c:v>
                </c:pt>
                <c:pt idx="74">
                  <c:v>251.4404850500205</c:v>
                </c:pt>
                <c:pt idx="75">
                  <c:v>241.05724428188401</c:v>
                </c:pt>
                <c:pt idx="76">
                  <c:v>224.38026487041699</c:v>
                </c:pt>
                <c:pt idx="77">
                  <c:v>224.38026487041699</c:v>
                </c:pt>
                <c:pt idx="78">
                  <c:v>209.739692547478</c:v>
                </c:pt>
                <c:pt idx="79">
                  <c:v>226.28077630597551</c:v>
                </c:pt>
                <c:pt idx="80">
                  <c:v>225.32851688727351</c:v>
                </c:pt>
                <c:pt idx="81">
                  <c:v>224.38026487041699</c:v>
                </c:pt>
                <c:pt idx="82">
                  <c:v>242.07597477585199</c:v>
                </c:pt>
                <c:pt idx="83">
                  <c:v>215.11447653364851</c:v>
                </c:pt>
                <c:pt idx="84">
                  <c:v>205.363434036618</c:v>
                </c:pt>
                <c:pt idx="85">
                  <c:v>198.550554026415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mula\Desktop\DATA_SET\AISI316L.xlsx" TargetMode="External"/><Relationship Id="rId1" Type="http://schemas.openxmlformats.org/officeDocument/2006/relationships/externalLinkPath" Target="AISI316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ataset"/>
    </sheetNames>
    <sheetDataSet>
      <sheetData sheetId="0"/>
      <sheetData sheetId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59" dataDxfId="58">
  <autoFilter ref="A1:M5" xr:uid="{7EB9CA7B-F9F7-4B65-BAF9-0554C4DD3A3C}"/>
  <tableColumns count="13">
    <tableColumn id="1" xr3:uid="{8E3D1E9D-FBEE-441F-8710-5037CD4F23F4}" name="Article DOI / Reference" dataDxfId="57"/>
    <tableColumn id="11" xr3:uid="{DB748F3A-E0FD-40A7-AD76-C03A14000D6D}" name="Authors" dataDxfId="56"/>
    <tableColumn id="8" xr3:uid="{5AA73CAD-51B7-41DD-94EB-F60F774B9687}" name="Article year" dataDxfId="55"/>
    <tableColumn id="2" xr3:uid="{06FA6682-59D0-409F-9A0C-E6CD1808F355}" name="Material name" dataDxfId="54"/>
    <tableColumn id="3" xr3:uid="{576FC30A-97BD-425F-92F2-9A2823474F7C}" name="Young's modulus (MPa)" dataDxfId="53"/>
    <tableColumn id="4" xr3:uid="{63CF6BC0-ABE3-408E-84A9-EDA0B421D7E2}" name="Poisson's ratio (-)" dataDxfId="52"/>
    <tableColumn id="5" xr3:uid="{BF08D467-4D62-4CAB-A94F-0030F94E8A2E}" name="Tensile strength (MPa)" dataDxfId="51"/>
    <tableColumn id="6" xr3:uid="{CDCD2563-ECD7-4843-B859-5F7762FE830B}" name="Yield strength (MPa)" dataDxfId="50"/>
    <tableColumn id="7" xr3:uid="{7991DD6F-6040-4C6F-AEB4-2211698F999C}" name="Tensile fatigue limit (MPa)" dataDxfId="49"/>
    <tableColumn id="9" xr3:uid="{C339353B-B530-41A6-97D0-BD9E3EFB3E1B}" name="Torsional fatigue limit (MPa)" dataDxfId="48">
      <calculatedColumnFormula>845/2</calculatedColumnFormula>
    </tableColumn>
    <tableColumn id="13" xr3:uid="{61EEDB63-8EB1-4E68-8C73-6F3D35C9EEF7}" name="Number of Cycles (cycles)" dataDxfId="47"/>
    <tableColumn id="12" xr3:uid="{5EB3D6EA-60A8-471D-AB0E-73C0B9E22DD2}" name="Stress ratio R" dataDxfId="46"/>
    <tableColumn id="10" xr3:uid="{EC242BA9-DE01-42A2-8C6C-75459CDE529E}" name="K" dataDxfId="45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87" totalsRowShown="0" headerRowDxfId="44" dataDxfId="43">
  <autoFilter ref="A1:AQ87" xr:uid="{86243907-AA5D-4F4D-8699-490D77B21127}"/>
  <tableColumns count="43">
    <tableColumn id="31" xr3:uid="{05937513-BC98-44D1-A5DC-F19589B15DDF}" name="Authors" dataDxfId="42"/>
    <tableColumn id="32" xr3:uid="{DCBCBA66-A67E-429B-A752-67A81643133E}" name="Article year" dataDxfId="41"/>
    <tableColumn id="1" xr3:uid="{D75788C8-C867-4D50-A818-DADFA5044830}" name="Article DOI / Reference" dataDxfId="40"/>
    <tableColumn id="30" xr3:uid="{FA5CACDD-A594-4207-9BA7-C7F165153D5B}" name="Specimen name" dataDxfId="39"/>
    <tableColumn id="2" xr3:uid="{19DD8629-B305-4804-A689-1057FBADF71C}" name="Number of cycles to failure" dataDxfId="38"/>
    <tableColumn id="4" xr3:uid="{27575528-FAA3-4B4C-8860-7A7CFCB79DBE}" name="Run out (Yes/No)" dataDxfId="37"/>
    <tableColumn id="3" xr3:uid="{0CF78E1F-0EC3-474A-B3FD-519C01702157}" name="Failure type (complete rupture/stiffness decrease)" dataDxfId="2"/>
    <tableColumn id="26" xr3:uid="{05D9D755-9B11-40C9-8DCB-B9E39E20FA04}" name="Geometry picture" dataDxfId="36"/>
    <tableColumn id="33" xr3:uid="{936299CD-E030-4427-B1AB-D5CB204A04BE}" name="Geometry type (flat/cylindrical/hollow cylinder)" dataDxfId="35"/>
    <tableColumn id="34" xr3:uid="{09266E8F-9B14-40D4-88AB-80CC92F93BA2}" name="Notched" dataDxfId="34"/>
    <tableColumn id="39" xr3:uid="{108E1228-D670-44CE-87DA-2A1B0D22E417}" name="A (mm)" dataDxfId="33"/>
    <tableColumn id="38" xr3:uid="{D6414C63-3F42-4BCA-BB3F-506FCA7B7866}" name="B (mm)" dataDxfId="32"/>
    <tableColumn id="37" xr3:uid="{8138AA3A-CE2D-441D-907D-E35AD875EC90}" name="Hole diameter (mm)" dataDxfId="31"/>
    <tableColumn id="27" xr3:uid="{D5A8CCC0-542A-450B-8F88-B47472F29E40}" name="Diameter (mm)" dataDxfId="30"/>
    <tableColumn id="28" xr3:uid="{36725B61-E4CB-4B7E-AF40-7F3BC6BE6CB3}" name="Area (mm^2)" dataDxfId="29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28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5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27"/>
    <tableColumn id="40" xr3:uid="{FF54B50E-D6C4-4EF8-BED6-8558889E32B3}" name="Phase AXIAL load (°)" dataDxfId="26"/>
    <tableColumn id="22" xr3:uid="{9A8358C3-645B-4F7B-A800-BF2013564F31}" name="Phase TORSIONAL load (°)" dataDxfId="13"/>
    <tableColumn id="43" xr3:uid="{32E76D00-2B52-4D17-881F-6CB825346CD9}" name="Freq RADIAL load [Hz]" dataDxfId="12"/>
    <tableColumn id="42" xr3:uid="{A0DFAB77-F821-4A7F-A0A1-75075998D45D}" name="Freq AXIAL load[Hz]" dataDxfId="11"/>
    <tableColumn id="41" xr3:uid="{DEC77E42-D985-463A-B500-A8E16CF67856}" name="Freq TORSIONAL load [Hz]" dataDxfId="9"/>
    <tableColumn id="23" xr3:uid="{9724DA05-688A-43E5-9AAC-5035994CD3C7}" name="Load ratio (RADIAL)" dataDxfId="10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25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24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23"/>
    <tableColumn id="6" xr3:uid="{CFA41242-20EF-4D5D-9025-FC3F232CBE04}" name="Amplitute RADIAL stress  (MPa)" dataDxfId="8"/>
    <tableColumn id="16" xr3:uid="{F37D511D-F078-4171-84FD-3AE13D4078DC}" name="Mean AXIAL stress  (MPa)" dataDxfId="6"/>
    <tableColumn id="8" xr3:uid="{933ACC34-FA80-47BE-87CF-5D7D742564A2}" name="Amplitute AXIAL stress  (MPa)" dataDxfId="7"/>
    <tableColumn id="44" xr3:uid="{460C3648-EA91-4BC9-8C0D-58B3E19E1ED3}" name="derived from (AXIAL/BENDING) load" dataDxfId="22"/>
    <tableColumn id="19" xr3:uid="{06584471-CEAD-405D-A12E-5A2E79E8CA33}" name="Mean SHEAR stress  (MPa)" dataDxfId="14"/>
    <tableColumn id="10" xr3:uid="{2FCDB52E-3BD8-4D04-8689-303C003D64AE}" name="Amplitute SHEAR stress  (MPa)" dataDxfId="3"/>
    <tableColumn id="36" xr3:uid="{EF2440ED-01F8-493F-BD7F-BDBCFC67F43F}" name="Mean internal PRESSURE  (MPa)" dataDxfId="21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20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19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18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17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16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15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4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1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0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zoomScaleNormal="100" workbookViewId="0">
      <selection activeCell="L13" sqref="L13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9" width="38" customWidth="1"/>
    <col min="10" max="10" width="40.85546875" customWidth="1"/>
    <col min="11" max="11" width="41.140625" customWidth="1"/>
    <col min="12" max="12" width="30.7109375" customWidth="1"/>
    <col min="13" max="13" width="9.5703125" bestFit="1" customWidth="1"/>
  </cols>
  <sheetData>
    <row r="1" spans="1:13" ht="20.100000000000001" customHeight="1" x14ac:dyDescent="0.25">
      <c r="A1" s="2" t="s">
        <v>61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39</v>
      </c>
      <c r="J1" s="2" t="s">
        <v>40</v>
      </c>
      <c r="K1" s="2" t="s">
        <v>37</v>
      </c>
      <c r="L1" s="2" t="s">
        <v>38</v>
      </c>
      <c r="M1" s="1" t="s">
        <v>4</v>
      </c>
    </row>
    <row r="2" spans="1:13" ht="20.100000000000001" customHeight="1" x14ac:dyDescent="0.25">
      <c r="A2" s="1" t="s">
        <v>97</v>
      </c>
      <c r="B2" s="1" t="s">
        <v>64</v>
      </c>
      <c r="C2" s="1">
        <v>2018</v>
      </c>
      <c r="D2" s="1" t="s">
        <v>98</v>
      </c>
      <c r="E2" s="1" t="s">
        <v>21</v>
      </c>
      <c r="F2" s="1" t="s">
        <v>21</v>
      </c>
      <c r="G2" s="1">
        <v>585</v>
      </c>
      <c r="H2" s="1">
        <v>265</v>
      </c>
      <c r="I2" s="1">
        <v>241</v>
      </c>
      <c r="J2" s="1">
        <v>144</v>
      </c>
      <c r="K2" s="10">
        <v>2000000</v>
      </c>
      <c r="L2" s="1">
        <v>-1</v>
      </c>
      <c r="M2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1.6736111111111112</v>
      </c>
    </row>
    <row r="3" spans="1:13" ht="20.100000000000001" customHeight="1" x14ac:dyDescent="0.25">
      <c r="A3" s="13" t="s">
        <v>95</v>
      </c>
      <c r="B3" s="1" t="s">
        <v>96</v>
      </c>
      <c r="C3" s="1">
        <v>2024</v>
      </c>
      <c r="D3" s="1" t="s">
        <v>98</v>
      </c>
      <c r="E3" s="1">
        <v>219000</v>
      </c>
      <c r="F3" s="1">
        <v>0.28999999999999998</v>
      </c>
      <c r="G3" s="1" t="s">
        <v>21</v>
      </c>
      <c r="H3" s="1" t="s">
        <v>21</v>
      </c>
      <c r="I3" s="1">
        <v>387.8</v>
      </c>
      <c r="J3" s="1" t="s">
        <v>21</v>
      </c>
      <c r="K3" s="10">
        <v>1000000</v>
      </c>
      <c r="L3" s="1">
        <v>0</v>
      </c>
      <c r="M3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4" spans="1:13" ht="20.100000000000001" customHeight="1" x14ac:dyDescent="0.25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/>
    </row>
    <row r="5" spans="1:13" ht="20.10000000000000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.100000000000001" customHeight="1" x14ac:dyDescent="0.25">
      <c r="A6" s="54" t="s">
        <v>24</v>
      </c>
      <c r="B6" s="55"/>
      <c r="C6" s="55"/>
      <c r="D6" s="56"/>
      <c r="E6" s="3">
        <f>IF(COUNT(Tabella1[Young''s modulus (MPa)])=0, "Null", AVERAGE(Tabella1[Young''s modulus (MPa)]))</f>
        <v>219000</v>
      </c>
      <c r="F6" s="3">
        <f>IF(COUNT(Tabella1[Poisson''s ratio (-)])=0, "Null", AVERAGE(Tabella1[Poisson''s ratio (-)]))</f>
        <v>0.28999999999999998</v>
      </c>
      <c r="G6" s="3">
        <f>IF(COUNT(Tabella1[Tensile strength (MPa)])=0, "Null", AVERAGE(Tabella1[Tensile strength (MPa)]))</f>
        <v>585</v>
      </c>
      <c r="H6" s="3">
        <f>IF(COUNT(Tabella1[Yield strength (MPa)])=0, "Null", AVERAGE(Tabella1[Yield strength (MPa)]))</f>
        <v>265</v>
      </c>
      <c r="I6" s="3">
        <f>IF(COUNT(Tabella1[Tensile fatigue limit (MPa)])=0, "Null", AVERAGE(Tabella1[Tensile fatigue limit (MPa)]))</f>
        <v>314.39999999999998</v>
      </c>
      <c r="J6" s="3">
        <f>IF(COUNT(Tabella1[Torsional fatigue limit (MPa)])=0, "Null", AVERAGE(Tabella1[Torsional fatigue limit (MPa)]))</f>
        <v>144</v>
      </c>
      <c r="K6" s="11"/>
      <c r="L6" s="9"/>
      <c r="M6" s="15">
        <f>IF(COUNT(Tabella1[K])=0, "Null", AVERAGE(Tabella1[K]))</f>
        <v>1.6736111111111112</v>
      </c>
    </row>
    <row r="7" spans="1:13" ht="20.100000000000001" customHeight="1" thickBot="1" x14ac:dyDescent="0.3">
      <c r="A7" s="57" t="s">
        <v>23</v>
      </c>
      <c r="B7" s="58"/>
      <c r="C7" s="58"/>
      <c r="D7" s="59"/>
      <c r="E7" s="4">
        <f>IF(COUNT(Tabella1[Young''s modulus (MPa)])=0, "Null", _xlfn.STDEV.P(Tabella1[Young''s modulus (MPa)]))</f>
        <v>0</v>
      </c>
      <c r="F7" s="4">
        <f>IF(COUNT(Tabella1[Poisson''s ratio (-)])=0, "Null", _xlfn.STDEV.P(Tabella1[Poisson''s ratio (-)]))</f>
        <v>0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73.400000000000077</v>
      </c>
      <c r="J7" s="4">
        <f>IF(COUNT(Tabella1[Torsional fatigue limit (MPa)])=0, "Null", _xlfn.STDEV.P(Tabella1[Torsional fatigue limit (MPa)]))</f>
        <v>0</v>
      </c>
      <c r="K7" s="12"/>
      <c r="L7" s="4"/>
      <c r="M7" s="16">
        <f>IF(COUNT(Tabella1[K])=0, "Null", _xlfn.STDEV.P(Tabella1[K]))</f>
        <v>0</v>
      </c>
    </row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thickBot="1" x14ac:dyDescent="0.3"/>
    <row r="13" spans="1:13" ht="20.100000000000001" customHeight="1" x14ac:dyDescent="0.25">
      <c r="A13" s="60" t="s">
        <v>29</v>
      </c>
      <c r="B13" s="5" t="s">
        <v>30</v>
      </c>
    </row>
    <row r="14" spans="1:13" ht="20.100000000000001" customHeight="1" thickBot="1" x14ac:dyDescent="0.3">
      <c r="A14" s="61"/>
      <c r="B14" s="6" t="s">
        <v>31</v>
      </c>
    </row>
    <row r="27" spans="4:4" x14ac:dyDescent="0.25">
      <c r="D27" s="7" t="s">
        <v>34</v>
      </c>
    </row>
    <row r="28" spans="4:4" x14ac:dyDescent="0.25">
      <c r="D28" s="8">
        <f>COUNTA(Tabella2[Authors])</f>
        <v>86</v>
      </c>
    </row>
  </sheetData>
  <mergeCells count="3">
    <mergeCell ref="A6:D6"/>
    <mergeCell ref="A7:D7"/>
    <mergeCell ref="A13:A14"/>
  </mergeCells>
  <pageMargins left="0.7" right="0.7" top="0.75" bottom="0.75" header="0.3" footer="0.3"/>
  <ignoredErrors>
    <ignoredError sqref="J2:J3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257"/>
  <sheetViews>
    <sheetView tabSelected="1" zoomScale="55" zoomScaleNormal="55" workbookViewId="0">
      <pane ySplit="1" topLeftCell="A2" activePane="bottomLeft" state="frozen"/>
      <selection activeCell="B1" sqref="B1"/>
      <selection pane="bottomLeft" activeCell="E168" sqref="E168"/>
    </sheetView>
  </sheetViews>
  <sheetFormatPr defaultColWidth="52.7109375" defaultRowHeight="15" x14ac:dyDescent="0.25"/>
  <cols>
    <col min="1" max="1" width="29.42578125" style="1" customWidth="1"/>
    <col min="2" max="2" width="20.28515625" style="1" customWidth="1"/>
    <col min="3" max="3" width="37.140625" style="1" customWidth="1"/>
    <col min="4" max="4" width="30.140625" style="1" customWidth="1"/>
    <col min="5" max="5" width="32.85546875" style="14" customWidth="1"/>
    <col min="6" max="6" width="24.5703125" style="1" customWidth="1"/>
    <col min="7" max="7" width="49.140625" style="21" customWidth="1"/>
    <col min="8" max="8" width="28.7109375" style="1" customWidth="1"/>
    <col min="9" max="9" width="63.5703125" style="1" customWidth="1"/>
    <col min="10" max="10" width="31.28515625" style="1" customWidth="1"/>
    <col min="11" max="11" width="26.5703125" style="1" customWidth="1"/>
    <col min="12" max="12" width="28" style="1" customWidth="1"/>
    <col min="13" max="13" width="35" style="1" customWidth="1"/>
    <col min="14" max="14" width="31.85546875" style="1" customWidth="1"/>
    <col min="15" max="15" width="35" style="1" customWidth="1"/>
    <col min="16" max="16" width="49.42578125" style="1" customWidth="1"/>
    <col min="17" max="17" width="53.140625" style="21" customWidth="1"/>
    <col min="18" max="18" width="42.140625" style="1" customWidth="1"/>
    <col min="19" max="19" width="33.5703125" style="1" customWidth="1"/>
    <col min="20" max="20" width="38.42578125" style="1" customWidth="1"/>
    <col min="21" max="21" width="37.140625" style="28" customWidth="1"/>
    <col min="22" max="22" width="40.7109375" style="28" customWidth="1"/>
    <col min="23" max="23" width="40" style="28" customWidth="1"/>
    <col min="24" max="24" width="35.140625" style="1" customWidth="1"/>
    <col min="25" max="25" width="34.28515625" style="1" customWidth="1"/>
    <col min="26" max="26" width="41.42578125" style="1" customWidth="1"/>
    <col min="27" max="27" width="28.7109375" style="49" customWidth="1"/>
    <col min="28" max="28" width="29.5703125" style="29" customWidth="1"/>
    <col min="29" max="29" width="27.42578125" style="29" customWidth="1"/>
    <col min="30" max="30" width="30.140625" style="29" customWidth="1"/>
    <col min="31" max="31" width="30.85546875" style="33" customWidth="1"/>
    <col min="32" max="32" width="25" style="29" customWidth="1"/>
    <col min="33" max="33" width="30.28515625" style="21" customWidth="1"/>
    <col min="34" max="34" width="28.5703125" style="29" customWidth="1"/>
    <col min="35" max="35" width="29.28515625" style="29" customWidth="1"/>
    <col min="36" max="36" width="20.140625" style="29" customWidth="1"/>
    <col min="37" max="37" width="23.140625" style="29" customWidth="1"/>
    <col min="38" max="38" width="23.28515625" style="29" customWidth="1"/>
    <col min="39" max="39" width="25.85546875" style="29" customWidth="1"/>
    <col min="40" max="40" width="23.85546875" style="29" customWidth="1"/>
    <col min="41" max="41" width="24" style="23" customWidth="1"/>
    <col min="42" max="42" width="25.85546875" style="21" customWidth="1"/>
    <col min="43" max="43" width="27.7109375" style="41" customWidth="1"/>
    <col min="44" max="16384" width="52.7109375" style="1"/>
  </cols>
  <sheetData>
    <row r="1" spans="1:43" s="27" customFormat="1" ht="44.25" customHeight="1" x14ac:dyDescent="0.25">
      <c r="A1" s="26" t="s">
        <v>26</v>
      </c>
      <c r="B1" s="26" t="s">
        <v>25</v>
      </c>
      <c r="C1" s="26" t="s">
        <v>61</v>
      </c>
      <c r="D1" s="26" t="s">
        <v>19</v>
      </c>
      <c r="E1" s="44" t="s">
        <v>5</v>
      </c>
      <c r="F1" s="26" t="s">
        <v>6</v>
      </c>
      <c r="G1" s="25" t="s">
        <v>18</v>
      </c>
      <c r="H1" s="32" t="s">
        <v>16</v>
      </c>
      <c r="I1" s="32" t="s">
        <v>44</v>
      </c>
      <c r="J1" s="32" t="s">
        <v>28</v>
      </c>
      <c r="K1" s="37" t="s">
        <v>41</v>
      </c>
      <c r="L1" s="37" t="s">
        <v>42</v>
      </c>
      <c r="M1" s="37" t="s">
        <v>43</v>
      </c>
      <c r="N1" s="32" t="s">
        <v>17</v>
      </c>
      <c r="O1" s="38" t="s">
        <v>33</v>
      </c>
      <c r="P1" s="38" t="s">
        <v>58</v>
      </c>
      <c r="Q1" s="31" t="s">
        <v>57</v>
      </c>
      <c r="R1" s="30" t="s">
        <v>45</v>
      </c>
      <c r="S1" s="30" t="s">
        <v>46</v>
      </c>
      <c r="T1" s="30" t="s">
        <v>47</v>
      </c>
      <c r="U1" s="50" t="s">
        <v>48</v>
      </c>
      <c r="V1" s="50" t="s">
        <v>49</v>
      </c>
      <c r="W1" s="50" t="s">
        <v>50</v>
      </c>
      <c r="X1" s="35" t="s">
        <v>14</v>
      </c>
      <c r="Y1" s="35" t="s">
        <v>51</v>
      </c>
      <c r="Z1" s="35" t="s">
        <v>15</v>
      </c>
      <c r="AA1" s="53" t="s">
        <v>7</v>
      </c>
      <c r="AB1" s="43" t="s">
        <v>8</v>
      </c>
      <c r="AC1" s="43" t="s">
        <v>52</v>
      </c>
      <c r="AD1" s="43" t="s">
        <v>53</v>
      </c>
      <c r="AE1" s="46" t="s">
        <v>56</v>
      </c>
      <c r="AF1" s="45" t="s">
        <v>9</v>
      </c>
      <c r="AG1" s="39" t="s">
        <v>10</v>
      </c>
      <c r="AH1" s="47" t="s">
        <v>54</v>
      </c>
      <c r="AI1" s="48" t="s">
        <v>55</v>
      </c>
      <c r="AJ1" s="47" t="s">
        <v>59</v>
      </c>
      <c r="AK1" s="48" t="s">
        <v>63</v>
      </c>
      <c r="AL1" s="47" t="s">
        <v>35</v>
      </c>
      <c r="AM1" s="48" t="s">
        <v>36</v>
      </c>
      <c r="AN1" s="47" t="s">
        <v>12</v>
      </c>
      <c r="AO1" s="52" t="s">
        <v>11</v>
      </c>
      <c r="AP1" s="74" t="s">
        <v>13</v>
      </c>
      <c r="AQ1" s="77" t="s">
        <v>62</v>
      </c>
    </row>
    <row r="2" spans="1:43" ht="20.100000000000001" customHeight="1" x14ac:dyDescent="0.25">
      <c r="A2" s="1" t="s">
        <v>64</v>
      </c>
      <c r="B2" s="1">
        <v>2018</v>
      </c>
      <c r="C2" s="1" t="s">
        <v>65</v>
      </c>
      <c r="D2" s="1" t="s">
        <v>66</v>
      </c>
      <c r="E2" s="28">
        <v>11000000</v>
      </c>
      <c r="F2" s="1" t="s">
        <v>32</v>
      </c>
      <c r="G2" s="21" t="s">
        <v>67</v>
      </c>
      <c r="H2" s="1" t="e" vm="1">
        <v>#VALUE!</v>
      </c>
      <c r="I2" s="1" t="s">
        <v>94</v>
      </c>
      <c r="J2" s="1" t="s">
        <v>20</v>
      </c>
      <c r="K2" s="1" t="s">
        <v>21</v>
      </c>
      <c r="L2" s="1" t="s">
        <v>21</v>
      </c>
      <c r="M2" s="1">
        <v>9</v>
      </c>
      <c r="N2" s="1">
        <v>11</v>
      </c>
      <c r="O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" s="1">
        <v>0</v>
      </c>
      <c r="S2" s="1">
        <v>0</v>
      </c>
      <c r="T2" s="1">
        <v>0</v>
      </c>
      <c r="U2" s="64">
        <v>10</v>
      </c>
      <c r="V2" s="64">
        <v>10</v>
      </c>
      <c r="W2" s="64">
        <v>10</v>
      </c>
      <c r="X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49">
        <v>0</v>
      </c>
      <c r="AB2" s="29">
        <v>0</v>
      </c>
      <c r="AC2" s="14">
        <v>0</v>
      </c>
      <c r="AD2" s="29">
        <v>230</v>
      </c>
      <c r="AE2" s="33" t="s">
        <v>60</v>
      </c>
      <c r="AF2" s="29">
        <v>0</v>
      </c>
      <c r="AG2" s="23">
        <v>0</v>
      </c>
      <c r="AH2" s="29">
        <f>IF(ISNUMBER(Tabella2[[#This Row],[Mean RADIAL stress  (MPa)]]), Tabella2[[#This Row],[Mean RADIAL stress  (MPa)]],"")</f>
        <v>0</v>
      </c>
      <c r="AI2" s="29">
        <f>IF(ISNUMBER(Tabella2[[#This Row],[Amplitute RADIAL stress  (MPa)]]), Tabella2[[#This Row],[Amplitute RADIAL stress  (MPa)]],"")</f>
        <v>0</v>
      </c>
      <c r="AJ2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7225.6631032565238</v>
      </c>
      <c r="AL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</row>
    <row r="3" spans="1:43" ht="20.100000000000001" customHeight="1" x14ac:dyDescent="0.25">
      <c r="A3" s="1" t="s">
        <v>64</v>
      </c>
      <c r="B3" s="1">
        <v>2018</v>
      </c>
      <c r="C3" s="1" t="s">
        <v>65</v>
      </c>
      <c r="D3" s="1" t="s">
        <v>68</v>
      </c>
      <c r="E3" s="28">
        <v>2474000</v>
      </c>
      <c r="F3" s="1" t="s">
        <v>20</v>
      </c>
      <c r="G3" s="21" t="s">
        <v>67</v>
      </c>
      <c r="H3" s="1" t="e" vm="1">
        <v>#VALUE!</v>
      </c>
      <c r="I3" s="1" t="s">
        <v>94</v>
      </c>
      <c r="J3" s="1" t="s">
        <v>20</v>
      </c>
      <c r="K3" s="1" t="s">
        <v>21</v>
      </c>
      <c r="L3" s="1" t="s">
        <v>21</v>
      </c>
      <c r="M3" s="1">
        <v>9</v>
      </c>
      <c r="N3" s="1">
        <v>11</v>
      </c>
      <c r="O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3" s="1">
        <v>0</v>
      </c>
      <c r="S3" s="1">
        <v>0</v>
      </c>
      <c r="T3" s="1">
        <v>0</v>
      </c>
      <c r="U3" s="64">
        <v>10</v>
      </c>
      <c r="V3" s="64">
        <v>10</v>
      </c>
      <c r="W3" s="64">
        <v>10</v>
      </c>
      <c r="X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" s="49">
        <v>0</v>
      </c>
      <c r="AB3" s="29">
        <v>0</v>
      </c>
      <c r="AC3" s="14">
        <v>0</v>
      </c>
      <c r="AD3" s="29">
        <v>235</v>
      </c>
      <c r="AE3" s="33" t="s">
        <v>60</v>
      </c>
      <c r="AF3" s="29">
        <v>0</v>
      </c>
      <c r="AG3" s="23">
        <v>0</v>
      </c>
      <c r="AH3" s="29">
        <f>IF(ISNUMBER(Tabella2[[#This Row],[Mean RADIAL stress  (MPa)]]), Tabella2[[#This Row],[Mean RADIAL stress  (MPa)]],"")</f>
        <v>0</v>
      </c>
      <c r="AI3" s="29">
        <f>IF(ISNUMBER(Tabella2[[#This Row],[Amplitute RADIAL stress  (MPa)]]), Tabella2[[#This Row],[Amplitute RADIAL stress  (MPa)]],"")</f>
        <v>0</v>
      </c>
      <c r="AJ3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7382.7427359360136</v>
      </c>
      <c r="AL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235</v>
      </c>
    </row>
    <row r="4" spans="1:43" ht="20.100000000000001" customHeight="1" x14ac:dyDescent="0.25">
      <c r="A4" s="1" t="s">
        <v>64</v>
      </c>
      <c r="B4" s="1">
        <v>2018</v>
      </c>
      <c r="C4" s="1" t="s">
        <v>65</v>
      </c>
      <c r="D4" s="1" t="s">
        <v>69</v>
      </c>
      <c r="E4" s="28">
        <v>206000</v>
      </c>
      <c r="F4" s="1" t="s">
        <v>20</v>
      </c>
      <c r="G4" s="21" t="s">
        <v>67</v>
      </c>
      <c r="H4" s="1" t="e" vm="2">
        <v>#VALUE!</v>
      </c>
      <c r="I4" s="1" t="s">
        <v>94</v>
      </c>
      <c r="J4" s="1" t="s">
        <v>20</v>
      </c>
      <c r="K4" s="1" t="s">
        <v>21</v>
      </c>
      <c r="L4" s="1" t="s">
        <v>21</v>
      </c>
      <c r="M4" s="1">
        <v>9</v>
      </c>
      <c r="N4" s="1">
        <v>11</v>
      </c>
      <c r="O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4" s="1">
        <v>0</v>
      </c>
      <c r="S4" s="1">
        <v>0</v>
      </c>
      <c r="T4" s="1">
        <v>0</v>
      </c>
      <c r="U4" s="64">
        <v>10</v>
      </c>
      <c r="V4" s="64">
        <v>10</v>
      </c>
      <c r="W4" s="64">
        <v>10</v>
      </c>
      <c r="X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" s="49">
        <v>0</v>
      </c>
      <c r="AB4" s="29">
        <v>0</v>
      </c>
      <c r="AC4" s="14">
        <v>0</v>
      </c>
      <c r="AD4" s="29">
        <v>235</v>
      </c>
      <c r="AE4" s="33" t="s">
        <v>60</v>
      </c>
      <c r="AF4" s="29">
        <v>0</v>
      </c>
      <c r="AG4" s="23">
        <v>0</v>
      </c>
      <c r="AH4" s="29">
        <f>IF(ISNUMBER(Tabella2[[#This Row],[Mean RADIAL stress  (MPa)]]), Tabella2[[#This Row],[Mean RADIAL stress  (MPa)]],"")</f>
        <v>0</v>
      </c>
      <c r="AI4" s="29">
        <f>IF(ISNUMBER(Tabella2[[#This Row],[Amplitute RADIAL stress  (MPa)]]), Tabella2[[#This Row],[Amplitute RADIAL stress  (MPa)]],"")</f>
        <v>0</v>
      </c>
      <c r="AJ4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7382.7427359360136</v>
      </c>
      <c r="AL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235</v>
      </c>
    </row>
    <row r="5" spans="1:43" ht="20.100000000000001" customHeight="1" x14ac:dyDescent="0.25">
      <c r="A5" s="1" t="s">
        <v>64</v>
      </c>
      <c r="B5" s="1">
        <v>2018</v>
      </c>
      <c r="C5" s="1" t="s">
        <v>65</v>
      </c>
      <c r="D5" s="1" t="s">
        <v>70</v>
      </c>
      <c r="E5" s="28">
        <v>11000000</v>
      </c>
      <c r="F5" s="1" t="s">
        <v>32</v>
      </c>
      <c r="G5" s="21" t="s">
        <v>67</v>
      </c>
      <c r="H5" s="1" t="e" vm="1">
        <v>#VALUE!</v>
      </c>
      <c r="I5" s="1" t="s">
        <v>94</v>
      </c>
      <c r="J5" s="1" t="s">
        <v>20</v>
      </c>
      <c r="K5" s="1" t="s">
        <v>21</v>
      </c>
      <c r="L5" s="1" t="s">
        <v>21</v>
      </c>
      <c r="M5" s="1">
        <v>9</v>
      </c>
      <c r="N5" s="1">
        <v>11</v>
      </c>
      <c r="O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5" s="1">
        <v>0</v>
      </c>
      <c r="S5" s="1">
        <v>0</v>
      </c>
      <c r="T5" s="1">
        <v>0</v>
      </c>
      <c r="U5" s="64">
        <v>10</v>
      </c>
      <c r="V5" s="64">
        <v>10</v>
      </c>
      <c r="W5" s="64">
        <v>10</v>
      </c>
      <c r="X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" s="49">
        <v>0</v>
      </c>
      <c r="AB5" s="29">
        <v>0</v>
      </c>
      <c r="AC5" s="14">
        <v>0</v>
      </c>
      <c r="AD5" s="29">
        <v>235</v>
      </c>
      <c r="AE5" s="33" t="s">
        <v>60</v>
      </c>
      <c r="AF5" s="29">
        <v>0</v>
      </c>
      <c r="AG5" s="23">
        <v>0</v>
      </c>
      <c r="AH5" s="29">
        <f>IF(ISNUMBER(Tabella2[[#This Row],[Mean RADIAL stress  (MPa)]]), Tabella2[[#This Row],[Mean RADIAL stress  (MPa)]],"")</f>
        <v>0</v>
      </c>
      <c r="AI5" s="29">
        <f>IF(ISNUMBER(Tabella2[[#This Row],[Amplitute RADIAL stress  (MPa)]]), Tabella2[[#This Row],[Amplitute RADIAL stress  (MPa)]],"")</f>
        <v>0</v>
      </c>
      <c r="AJ5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7382.7427359360136</v>
      </c>
      <c r="AL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235</v>
      </c>
    </row>
    <row r="6" spans="1:43" ht="20.100000000000001" customHeight="1" x14ac:dyDescent="0.25">
      <c r="A6" s="1" t="s">
        <v>64</v>
      </c>
      <c r="B6" s="1">
        <v>2018</v>
      </c>
      <c r="C6" s="1" t="s">
        <v>65</v>
      </c>
      <c r="D6" s="1" t="s">
        <v>71</v>
      </c>
      <c r="E6" s="28">
        <v>116000</v>
      </c>
      <c r="F6" s="1" t="s">
        <v>20</v>
      </c>
      <c r="G6" s="21" t="s">
        <v>67</v>
      </c>
      <c r="H6" s="1" t="e" vm="1">
        <v>#VALUE!</v>
      </c>
      <c r="I6" s="1" t="s">
        <v>94</v>
      </c>
      <c r="J6" s="1" t="s">
        <v>20</v>
      </c>
      <c r="K6" s="1" t="s">
        <v>21</v>
      </c>
      <c r="L6" s="1" t="s">
        <v>21</v>
      </c>
      <c r="M6" s="1">
        <v>9</v>
      </c>
      <c r="N6" s="1">
        <v>11</v>
      </c>
      <c r="O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6" s="1">
        <v>0</v>
      </c>
      <c r="S6" s="1">
        <v>0</v>
      </c>
      <c r="T6" s="1">
        <v>0</v>
      </c>
      <c r="U6" s="64">
        <v>10</v>
      </c>
      <c r="V6" s="64">
        <v>10</v>
      </c>
      <c r="W6" s="64">
        <v>10</v>
      </c>
      <c r="X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" s="49">
        <v>0</v>
      </c>
      <c r="AB6" s="29">
        <v>0</v>
      </c>
      <c r="AC6" s="14">
        <v>0</v>
      </c>
      <c r="AD6" s="29">
        <v>240</v>
      </c>
      <c r="AE6" s="33" t="s">
        <v>60</v>
      </c>
      <c r="AF6" s="29">
        <v>0</v>
      </c>
      <c r="AG6" s="23">
        <v>0</v>
      </c>
      <c r="AH6" s="29">
        <f>IF(ISNUMBER(Tabella2[[#This Row],[Mean RADIAL stress  (MPa)]]), Tabella2[[#This Row],[Mean RADIAL stress  (MPa)]],"")</f>
        <v>0</v>
      </c>
      <c r="AI6" s="29">
        <f>IF(ISNUMBER(Tabella2[[#This Row],[Amplitute RADIAL stress  (MPa)]]), Tabella2[[#This Row],[Amplitute RADIAL stress  (MPa)]],"")</f>
        <v>0</v>
      </c>
      <c r="AJ6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7539.8223686155034</v>
      </c>
      <c r="AL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6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</row>
    <row r="7" spans="1:43" ht="20.100000000000001" customHeight="1" x14ac:dyDescent="0.25">
      <c r="A7" s="1" t="s">
        <v>64</v>
      </c>
      <c r="B7" s="1">
        <v>2018</v>
      </c>
      <c r="C7" s="1" t="s">
        <v>65</v>
      </c>
      <c r="D7" s="1" t="s">
        <v>72</v>
      </c>
      <c r="E7" s="28">
        <v>158000</v>
      </c>
      <c r="F7" s="1" t="s">
        <v>20</v>
      </c>
      <c r="G7" s="21" t="s">
        <v>67</v>
      </c>
      <c r="H7" s="1" t="e" vm="1">
        <v>#VALUE!</v>
      </c>
      <c r="I7" s="1" t="s">
        <v>94</v>
      </c>
      <c r="J7" s="1" t="s">
        <v>20</v>
      </c>
      <c r="K7" s="1" t="s">
        <v>21</v>
      </c>
      <c r="L7" s="1" t="s">
        <v>21</v>
      </c>
      <c r="M7" s="1">
        <v>9</v>
      </c>
      <c r="N7" s="1">
        <v>11</v>
      </c>
      <c r="O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7" s="1">
        <v>0</v>
      </c>
      <c r="S7" s="1">
        <v>0</v>
      </c>
      <c r="T7" s="1">
        <v>0</v>
      </c>
      <c r="U7" s="64">
        <v>10</v>
      </c>
      <c r="V7" s="64">
        <v>10</v>
      </c>
      <c r="W7" s="64">
        <v>10</v>
      </c>
      <c r="X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" s="49">
        <v>0</v>
      </c>
      <c r="AB7" s="29">
        <v>0</v>
      </c>
      <c r="AC7" s="14">
        <v>0</v>
      </c>
      <c r="AD7" s="29">
        <v>240</v>
      </c>
      <c r="AE7" s="33" t="s">
        <v>60</v>
      </c>
      <c r="AF7" s="29">
        <v>0</v>
      </c>
      <c r="AG7" s="23">
        <v>0</v>
      </c>
      <c r="AH7" s="29">
        <f>IF(ISNUMBER(Tabella2[[#This Row],[Mean RADIAL stress  (MPa)]]), Tabella2[[#This Row],[Mean RADIAL stress  (MPa)]],"")</f>
        <v>0</v>
      </c>
      <c r="AI7" s="29">
        <f>IF(ISNUMBER(Tabella2[[#This Row],[Amplitute RADIAL stress  (MPa)]]), Tabella2[[#This Row],[Amplitute RADIAL stress  (MPa)]],"")</f>
        <v>0</v>
      </c>
      <c r="AJ7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7539.8223686155034</v>
      </c>
      <c r="AL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</row>
    <row r="8" spans="1:43" ht="20.100000000000001" customHeight="1" x14ac:dyDescent="0.25">
      <c r="A8" s="1" t="s">
        <v>64</v>
      </c>
      <c r="B8" s="1">
        <v>2018</v>
      </c>
      <c r="C8" s="1" t="s">
        <v>65</v>
      </c>
      <c r="D8" s="1" t="s">
        <v>73</v>
      </c>
      <c r="E8" s="28">
        <v>11000000</v>
      </c>
      <c r="F8" s="1" t="s">
        <v>32</v>
      </c>
      <c r="G8" s="21" t="s">
        <v>67</v>
      </c>
      <c r="H8" s="1" t="e" vm="1">
        <v>#VALUE!</v>
      </c>
      <c r="I8" s="1" t="s">
        <v>94</v>
      </c>
      <c r="J8" s="1" t="s">
        <v>20</v>
      </c>
      <c r="K8" s="1" t="s">
        <v>21</v>
      </c>
      <c r="L8" s="1" t="s">
        <v>21</v>
      </c>
      <c r="M8" s="1">
        <v>9</v>
      </c>
      <c r="N8" s="1">
        <v>11</v>
      </c>
      <c r="O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8" s="1">
        <v>0</v>
      </c>
      <c r="S8" s="1">
        <v>0</v>
      </c>
      <c r="T8" s="1">
        <v>0</v>
      </c>
      <c r="U8" s="64">
        <v>10</v>
      </c>
      <c r="V8" s="64">
        <v>10</v>
      </c>
      <c r="W8" s="64">
        <v>10</v>
      </c>
      <c r="X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" s="49">
        <v>0</v>
      </c>
      <c r="AB8" s="29">
        <v>0</v>
      </c>
      <c r="AC8" s="14">
        <v>0</v>
      </c>
      <c r="AD8" s="29">
        <v>240</v>
      </c>
      <c r="AE8" s="33" t="s">
        <v>60</v>
      </c>
      <c r="AF8" s="29">
        <v>0</v>
      </c>
      <c r="AG8" s="23">
        <v>0</v>
      </c>
      <c r="AH8" s="29">
        <f>IF(ISNUMBER(Tabella2[[#This Row],[Mean RADIAL stress  (MPa)]]), Tabella2[[#This Row],[Mean RADIAL stress  (MPa)]],"")</f>
        <v>0</v>
      </c>
      <c r="AI8" s="29">
        <f>IF(ISNUMBER(Tabella2[[#This Row],[Amplitute RADIAL stress  (MPa)]]), Tabella2[[#This Row],[Amplitute RADIAL stress  (MPa)]],"")</f>
        <v>0</v>
      </c>
      <c r="AJ8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7539.8223686155034</v>
      </c>
      <c r="AL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</row>
    <row r="9" spans="1:43" ht="20.100000000000001" customHeight="1" x14ac:dyDescent="0.25">
      <c r="A9" s="1" t="s">
        <v>64</v>
      </c>
      <c r="B9" s="1">
        <v>2018</v>
      </c>
      <c r="C9" s="1" t="s">
        <v>65</v>
      </c>
      <c r="D9" s="1" t="s">
        <v>74</v>
      </c>
      <c r="E9" s="28">
        <v>638000</v>
      </c>
      <c r="F9" s="1" t="s">
        <v>20</v>
      </c>
      <c r="G9" s="21" t="s">
        <v>67</v>
      </c>
      <c r="H9" s="1" t="e" vm="1">
        <v>#VALUE!</v>
      </c>
      <c r="I9" s="1" t="s">
        <v>94</v>
      </c>
      <c r="J9" s="1" t="s">
        <v>20</v>
      </c>
      <c r="K9" s="1" t="s">
        <v>21</v>
      </c>
      <c r="L9" s="1" t="s">
        <v>21</v>
      </c>
      <c r="M9" s="1">
        <v>9</v>
      </c>
      <c r="N9" s="1">
        <v>11</v>
      </c>
      <c r="O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9" s="1">
        <v>0</v>
      </c>
      <c r="S9" s="1">
        <v>0</v>
      </c>
      <c r="T9" s="1">
        <v>0</v>
      </c>
      <c r="U9" s="64">
        <v>10</v>
      </c>
      <c r="V9" s="64">
        <v>10</v>
      </c>
      <c r="W9" s="64">
        <v>10</v>
      </c>
      <c r="X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9" s="49">
        <v>0</v>
      </c>
      <c r="AB9" s="29">
        <v>0</v>
      </c>
      <c r="AC9" s="14">
        <v>0</v>
      </c>
      <c r="AD9" s="29">
        <v>245</v>
      </c>
      <c r="AE9" s="33" t="s">
        <v>60</v>
      </c>
      <c r="AF9" s="29">
        <v>0</v>
      </c>
      <c r="AG9" s="23">
        <v>0</v>
      </c>
      <c r="AH9" s="29">
        <f>IF(ISNUMBER(Tabella2[[#This Row],[Mean RADIAL stress  (MPa)]]), Tabella2[[#This Row],[Mean RADIAL stress  (MPa)]],"")</f>
        <v>0</v>
      </c>
      <c r="AI9" s="29">
        <f>IF(ISNUMBER(Tabella2[[#This Row],[Amplitute RADIAL stress  (MPa)]]), Tabella2[[#This Row],[Amplitute RADIAL stress  (MPa)]],"")</f>
        <v>0</v>
      </c>
      <c r="AJ9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7696.9020012949932</v>
      </c>
      <c r="AL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9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245</v>
      </c>
    </row>
    <row r="10" spans="1:43" ht="20.100000000000001" customHeight="1" x14ac:dyDescent="0.25">
      <c r="A10" s="1" t="s">
        <v>64</v>
      </c>
      <c r="B10" s="1">
        <v>2018</v>
      </c>
      <c r="C10" s="1" t="s">
        <v>65</v>
      </c>
      <c r="D10" s="1" t="s">
        <v>75</v>
      </c>
      <c r="E10" s="28">
        <v>509000</v>
      </c>
      <c r="F10" s="1" t="s">
        <v>20</v>
      </c>
      <c r="G10" s="21" t="s">
        <v>67</v>
      </c>
      <c r="H10" s="1" t="e" vm="1">
        <v>#VALUE!</v>
      </c>
      <c r="I10" s="1" t="s">
        <v>94</v>
      </c>
      <c r="J10" s="1" t="s">
        <v>20</v>
      </c>
      <c r="K10" s="1" t="s">
        <v>21</v>
      </c>
      <c r="L10" s="1" t="s">
        <v>21</v>
      </c>
      <c r="M10" s="1">
        <v>9</v>
      </c>
      <c r="N10" s="1">
        <v>11</v>
      </c>
      <c r="O1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1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1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10" s="1">
        <v>0</v>
      </c>
      <c r="S10" s="1">
        <v>0</v>
      </c>
      <c r="T10" s="1">
        <v>0</v>
      </c>
      <c r="U10" s="64">
        <v>10</v>
      </c>
      <c r="V10" s="64">
        <v>10</v>
      </c>
      <c r="W10" s="64">
        <v>10</v>
      </c>
      <c r="X1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0" s="49">
        <v>0</v>
      </c>
      <c r="AB10" s="29">
        <v>0</v>
      </c>
      <c r="AC10" s="14">
        <v>0</v>
      </c>
      <c r="AD10" s="29">
        <v>250</v>
      </c>
      <c r="AE10" s="33" t="s">
        <v>60</v>
      </c>
      <c r="AF10" s="29">
        <v>0</v>
      </c>
      <c r="AG10" s="23">
        <v>0</v>
      </c>
      <c r="AH10" s="29">
        <f>IF(ISNUMBER(Tabella2[[#This Row],[Mean RADIAL stress  (MPa)]]), Tabella2[[#This Row],[Mean RADIAL stress  (MPa)]],"")</f>
        <v>0</v>
      </c>
      <c r="AI10" s="29">
        <f>IF(ISNUMBER(Tabella2[[#This Row],[Amplitute RADIAL stress  (MPa)]]), Tabella2[[#This Row],[Amplitute RADIAL stress  (MPa)]],"")</f>
        <v>0</v>
      </c>
      <c r="AJ10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7853.981633974483</v>
      </c>
      <c r="AL1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0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250</v>
      </c>
    </row>
    <row r="11" spans="1:43" ht="20.100000000000001" customHeight="1" x14ac:dyDescent="0.25">
      <c r="A11" s="1" t="s">
        <v>64</v>
      </c>
      <c r="B11" s="1">
        <v>2018</v>
      </c>
      <c r="C11" s="1" t="s">
        <v>65</v>
      </c>
      <c r="D11" s="1" t="s">
        <v>76</v>
      </c>
      <c r="E11" s="28">
        <v>11000000</v>
      </c>
      <c r="F11" s="1" t="s">
        <v>32</v>
      </c>
      <c r="G11" s="21" t="s">
        <v>67</v>
      </c>
      <c r="H11" s="1" t="e" vm="1">
        <v>#VALUE!</v>
      </c>
      <c r="I11" s="1" t="s">
        <v>94</v>
      </c>
      <c r="J11" s="1" t="s">
        <v>20</v>
      </c>
      <c r="K11" s="1" t="s">
        <v>21</v>
      </c>
      <c r="L11" s="1" t="s">
        <v>21</v>
      </c>
      <c r="M11" s="1">
        <v>9</v>
      </c>
      <c r="N11" s="1">
        <v>11</v>
      </c>
      <c r="O1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1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1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11" s="1">
        <v>0</v>
      </c>
      <c r="S11" s="1">
        <v>0</v>
      </c>
      <c r="T11" s="1">
        <v>0</v>
      </c>
      <c r="U11" s="64">
        <v>10</v>
      </c>
      <c r="V11" s="64">
        <v>10</v>
      </c>
      <c r="W11" s="64">
        <v>10</v>
      </c>
      <c r="X1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" s="49">
        <v>0</v>
      </c>
      <c r="AB11" s="29">
        <v>0</v>
      </c>
      <c r="AC11" s="14">
        <v>0</v>
      </c>
      <c r="AD11" s="29">
        <v>0</v>
      </c>
      <c r="AE11" s="33" t="s">
        <v>60</v>
      </c>
      <c r="AF11" s="29">
        <v>0</v>
      </c>
      <c r="AG11" s="23">
        <v>139</v>
      </c>
      <c r="AH11" s="29">
        <f>IF(ISNUMBER(Tabella2[[#This Row],[Mean RADIAL stress  (MPa)]]), Tabella2[[#This Row],[Mean RADIAL stress  (MPa)]],"")</f>
        <v>0</v>
      </c>
      <c r="AI11" s="29">
        <f>IF(ISNUMBER(Tabella2[[#This Row],[Amplitute RADIAL stress  (MPa)]]), Tabella2[[#This Row],[Amplitute RADIAL stress  (MPa)]],"")</f>
        <v>0</v>
      </c>
      <c r="AJ11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20047.645119885045</v>
      </c>
      <c r="AP11" s="6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240.75506225207394</v>
      </c>
    </row>
    <row r="12" spans="1:43" ht="20.100000000000001" customHeight="1" x14ac:dyDescent="0.25">
      <c r="A12" s="1" t="s">
        <v>64</v>
      </c>
      <c r="B12" s="1">
        <v>2018</v>
      </c>
      <c r="C12" s="1" t="s">
        <v>65</v>
      </c>
      <c r="D12" s="1" t="s">
        <v>77</v>
      </c>
      <c r="E12" s="28">
        <v>11000000</v>
      </c>
      <c r="F12" s="1" t="s">
        <v>32</v>
      </c>
      <c r="G12" s="21" t="s">
        <v>67</v>
      </c>
      <c r="H12" s="1" t="e" vm="1">
        <v>#VALUE!</v>
      </c>
      <c r="I12" s="1" t="s">
        <v>94</v>
      </c>
      <c r="J12" s="1" t="s">
        <v>20</v>
      </c>
      <c r="K12" s="1" t="s">
        <v>21</v>
      </c>
      <c r="L12" s="1" t="s">
        <v>21</v>
      </c>
      <c r="M12" s="1">
        <v>9</v>
      </c>
      <c r="N12" s="1">
        <v>11</v>
      </c>
      <c r="O1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1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1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12" s="1">
        <v>0</v>
      </c>
      <c r="S12" s="1">
        <v>0</v>
      </c>
      <c r="T12" s="1">
        <v>0</v>
      </c>
      <c r="U12" s="64">
        <v>10</v>
      </c>
      <c r="V12" s="64">
        <v>10</v>
      </c>
      <c r="W12" s="64">
        <v>10</v>
      </c>
      <c r="X1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" s="49">
        <v>0</v>
      </c>
      <c r="AB12" s="29">
        <v>0</v>
      </c>
      <c r="AC12" s="14">
        <v>0</v>
      </c>
      <c r="AD12" s="29">
        <v>0</v>
      </c>
      <c r="AE12" s="33" t="s">
        <v>60</v>
      </c>
      <c r="AF12" s="29">
        <v>0</v>
      </c>
      <c r="AG12" s="62">
        <v>144</v>
      </c>
      <c r="AH12" s="29">
        <f>IF(ISNUMBER(Tabella2[[#This Row],[Mean RADIAL stress  (MPa)]]), Tabella2[[#This Row],[Mean RADIAL stress  (MPa)]],"")</f>
        <v>0</v>
      </c>
      <c r="AI12" s="29">
        <f>IF(ISNUMBER(Tabella2[[#This Row],[Amplitute RADIAL stress  (MPa)]]), Tabella2[[#This Row],[Amplitute RADIAL stress  (MPa)]],"")</f>
        <v>0</v>
      </c>
      <c r="AJ12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20768.783433549976</v>
      </c>
      <c r="AP12" s="6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249.41531628991834</v>
      </c>
    </row>
    <row r="13" spans="1:43" ht="20.100000000000001" customHeight="1" x14ac:dyDescent="0.25">
      <c r="A13" s="1" t="s">
        <v>64</v>
      </c>
      <c r="B13" s="1">
        <v>2018</v>
      </c>
      <c r="C13" s="1" t="s">
        <v>65</v>
      </c>
      <c r="D13" s="1" t="s">
        <v>78</v>
      </c>
      <c r="E13" s="28">
        <v>445000</v>
      </c>
      <c r="F13" s="1" t="s">
        <v>20</v>
      </c>
      <c r="G13" s="21" t="s">
        <v>67</v>
      </c>
      <c r="H13" s="1" t="e" vm="1">
        <v>#VALUE!</v>
      </c>
      <c r="I13" s="1" t="s">
        <v>94</v>
      </c>
      <c r="J13" s="1" t="s">
        <v>20</v>
      </c>
      <c r="K13" s="1" t="s">
        <v>21</v>
      </c>
      <c r="L13" s="1" t="s">
        <v>21</v>
      </c>
      <c r="M13" s="1">
        <v>9</v>
      </c>
      <c r="N13" s="1">
        <v>11</v>
      </c>
      <c r="O1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1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1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13" s="1">
        <v>0</v>
      </c>
      <c r="S13" s="1">
        <v>0</v>
      </c>
      <c r="T13" s="1">
        <v>0</v>
      </c>
      <c r="U13" s="64">
        <v>10</v>
      </c>
      <c r="V13" s="64">
        <v>10</v>
      </c>
      <c r="W13" s="64">
        <v>10</v>
      </c>
      <c r="X1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" s="49">
        <v>0</v>
      </c>
      <c r="AB13" s="29">
        <v>0</v>
      </c>
      <c r="AC13" s="14">
        <v>0</v>
      </c>
      <c r="AD13" s="29">
        <v>0</v>
      </c>
      <c r="AE13" s="33" t="s">
        <v>60</v>
      </c>
      <c r="AF13" s="29">
        <v>0</v>
      </c>
      <c r="AG13" s="62">
        <v>144</v>
      </c>
      <c r="AH13" s="29">
        <f>IF(ISNUMBER(Tabella2[[#This Row],[Mean RADIAL stress  (MPa)]]), Tabella2[[#This Row],[Mean RADIAL stress  (MPa)]],"")</f>
        <v>0</v>
      </c>
      <c r="AI13" s="29">
        <f>IF(ISNUMBER(Tabella2[[#This Row],[Amplitute RADIAL stress  (MPa)]]), Tabella2[[#This Row],[Amplitute RADIAL stress  (MPa)]],"")</f>
        <v>0</v>
      </c>
      <c r="AJ13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20768.783433549976</v>
      </c>
      <c r="AP13" s="6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249.41531628991834</v>
      </c>
    </row>
    <row r="14" spans="1:43" ht="20.100000000000001" customHeight="1" x14ac:dyDescent="0.25">
      <c r="A14" s="1" t="s">
        <v>64</v>
      </c>
      <c r="B14" s="1">
        <v>2018</v>
      </c>
      <c r="C14" s="1" t="s">
        <v>65</v>
      </c>
      <c r="D14" s="1" t="s">
        <v>79</v>
      </c>
      <c r="E14" s="28">
        <v>2165000</v>
      </c>
      <c r="F14" s="1" t="s">
        <v>20</v>
      </c>
      <c r="G14" s="21" t="s">
        <v>67</v>
      </c>
      <c r="H14" s="1" t="e" vm="1">
        <v>#VALUE!</v>
      </c>
      <c r="I14" s="1" t="s">
        <v>94</v>
      </c>
      <c r="J14" s="1" t="s">
        <v>20</v>
      </c>
      <c r="K14" s="1" t="s">
        <v>21</v>
      </c>
      <c r="L14" s="1" t="s">
        <v>21</v>
      </c>
      <c r="M14" s="1">
        <v>9</v>
      </c>
      <c r="N14" s="1">
        <v>11</v>
      </c>
      <c r="O1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1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1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14" s="1">
        <v>0</v>
      </c>
      <c r="S14" s="1">
        <v>0</v>
      </c>
      <c r="T14" s="1">
        <v>0</v>
      </c>
      <c r="U14" s="64">
        <v>10</v>
      </c>
      <c r="V14" s="64">
        <v>10</v>
      </c>
      <c r="W14" s="64">
        <v>10</v>
      </c>
      <c r="X1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" s="49">
        <v>0</v>
      </c>
      <c r="AB14" s="29">
        <v>0</v>
      </c>
      <c r="AC14" s="14">
        <v>0</v>
      </c>
      <c r="AD14" s="29">
        <v>0</v>
      </c>
      <c r="AE14" s="33" t="s">
        <v>60</v>
      </c>
      <c r="AF14" s="29">
        <v>0</v>
      </c>
      <c r="AG14" s="62">
        <v>144</v>
      </c>
      <c r="AH14" s="29">
        <f>IF(ISNUMBER(Tabella2[[#This Row],[Mean RADIAL stress  (MPa)]]), Tabella2[[#This Row],[Mean RADIAL stress  (MPa)]],"")</f>
        <v>0</v>
      </c>
      <c r="AI14" s="29">
        <f>IF(ISNUMBER(Tabella2[[#This Row],[Amplitute RADIAL stress  (MPa)]]), Tabella2[[#This Row],[Amplitute RADIAL stress  (MPa)]],"")</f>
        <v>0</v>
      </c>
      <c r="AJ14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20768.783433549976</v>
      </c>
      <c r="AP14" s="6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249.41531628991834</v>
      </c>
    </row>
    <row r="15" spans="1:43" ht="20.100000000000001" customHeight="1" x14ac:dyDescent="0.25">
      <c r="A15" s="1" t="s">
        <v>64</v>
      </c>
      <c r="B15" s="1">
        <v>2018</v>
      </c>
      <c r="C15" s="1" t="s">
        <v>65</v>
      </c>
      <c r="D15" s="1" t="s">
        <v>80</v>
      </c>
      <c r="E15" s="28">
        <v>849000</v>
      </c>
      <c r="F15" s="1" t="s">
        <v>20</v>
      </c>
      <c r="G15" s="21" t="s">
        <v>67</v>
      </c>
      <c r="H15" s="1" t="e" vm="1">
        <v>#VALUE!</v>
      </c>
      <c r="I15" s="1" t="s">
        <v>94</v>
      </c>
      <c r="J15" s="1" t="s">
        <v>20</v>
      </c>
      <c r="K15" s="1" t="s">
        <v>21</v>
      </c>
      <c r="L15" s="1" t="s">
        <v>21</v>
      </c>
      <c r="M15" s="1">
        <v>9</v>
      </c>
      <c r="N15" s="1">
        <v>11</v>
      </c>
      <c r="O1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1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1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15" s="1">
        <v>0</v>
      </c>
      <c r="S15" s="1">
        <v>0</v>
      </c>
      <c r="T15" s="1">
        <v>0</v>
      </c>
      <c r="U15" s="64">
        <v>10</v>
      </c>
      <c r="V15" s="64">
        <v>10</v>
      </c>
      <c r="W15" s="64">
        <v>10</v>
      </c>
      <c r="X1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" s="49">
        <v>0</v>
      </c>
      <c r="AB15" s="29">
        <v>0</v>
      </c>
      <c r="AC15" s="14">
        <v>0</v>
      </c>
      <c r="AD15" s="29">
        <v>0</v>
      </c>
      <c r="AE15" s="33" t="s">
        <v>60</v>
      </c>
      <c r="AF15" s="29">
        <v>0</v>
      </c>
      <c r="AG15" s="62">
        <v>147</v>
      </c>
      <c r="AH15" s="29">
        <f>IF(ISNUMBER(Tabella2[[#This Row],[Mean RADIAL stress  (MPa)]]), Tabella2[[#This Row],[Mean RADIAL stress  (MPa)]],"")</f>
        <v>0</v>
      </c>
      <c r="AI15" s="29">
        <f>IF(ISNUMBER(Tabella2[[#This Row],[Amplitute RADIAL stress  (MPa)]]), Tabella2[[#This Row],[Amplitute RADIAL stress  (MPa)]],"")</f>
        <v>0</v>
      </c>
      <c r="AJ15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21201.466421748933</v>
      </c>
      <c r="AP15" s="6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254.61146871262497</v>
      </c>
    </row>
    <row r="16" spans="1:43" ht="20.100000000000001" customHeight="1" x14ac:dyDescent="0.25">
      <c r="A16" s="1" t="s">
        <v>64</v>
      </c>
      <c r="B16" s="1">
        <v>2018</v>
      </c>
      <c r="C16" s="1" t="s">
        <v>65</v>
      </c>
      <c r="D16" s="1" t="s">
        <v>81</v>
      </c>
      <c r="E16" s="28">
        <v>474000</v>
      </c>
      <c r="F16" s="1" t="s">
        <v>20</v>
      </c>
      <c r="G16" s="21" t="s">
        <v>67</v>
      </c>
      <c r="H16" s="1" t="e" vm="3">
        <v>#VALUE!</v>
      </c>
      <c r="I16" s="1" t="s">
        <v>94</v>
      </c>
      <c r="J16" s="1" t="s">
        <v>20</v>
      </c>
      <c r="K16" s="1" t="s">
        <v>21</v>
      </c>
      <c r="L16" s="1" t="s">
        <v>21</v>
      </c>
      <c r="M16" s="1">
        <v>9</v>
      </c>
      <c r="N16" s="1">
        <v>11</v>
      </c>
      <c r="O1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1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1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16" s="1">
        <v>0</v>
      </c>
      <c r="S16" s="1">
        <v>0</v>
      </c>
      <c r="T16" s="1">
        <v>0</v>
      </c>
      <c r="U16" s="64">
        <v>10</v>
      </c>
      <c r="V16" s="64">
        <v>10</v>
      </c>
      <c r="W16" s="64">
        <v>10</v>
      </c>
      <c r="X1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" s="49">
        <v>0</v>
      </c>
      <c r="AB16" s="29">
        <v>0</v>
      </c>
      <c r="AC16" s="14">
        <v>0</v>
      </c>
      <c r="AD16" s="29">
        <v>0</v>
      </c>
      <c r="AE16" s="33" t="s">
        <v>60</v>
      </c>
      <c r="AF16" s="29">
        <v>0</v>
      </c>
      <c r="AG16" s="62">
        <v>150</v>
      </c>
      <c r="AH16" s="29">
        <f>IF(ISNUMBER(Tabella2[[#This Row],[Mean RADIAL stress  (MPa)]]), Tabella2[[#This Row],[Mean RADIAL stress  (MPa)]],"")</f>
        <v>0</v>
      </c>
      <c r="AI16" s="29">
        <f>IF(ISNUMBER(Tabella2[[#This Row],[Amplitute RADIAL stress  (MPa)]]), Tabella2[[#This Row],[Amplitute RADIAL stress  (MPa)]],"")</f>
        <v>0</v>
      </c>
      <c r="AJ16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21634.149409947891</v>
      </c>
      <c r="AP16" s="6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259.8076211353316</v>
      </c>
    </row>
    <row r="17" spans="1:43" ht="20.100000000000001" customHeight="1" x14ac:dyDescent="0.25">
      <c r="A17" s="1" t="s">
        <v>64</v>
      </c>
      <c r="B17" s="1">
        <v>2018</v>
      </c>
      <c r="C17" s="1" t="s">
        <v>65</v>
      </c>
      <c r="D17" s="1" t="s">
        <v>82</v>
      </c>
      <c r="E17" s="28">
        <v>198000</v>
      </c>
      <c r="F17" s="1" t="s">
        <v>20</v>
      </c>
      <c r="G17" s="21" t="s">
        <v>67</v>
      </c>
      <c r="H17" s="1" t="e" vm="1">
        <v>#VALUE!</v>
      </c>
      <c r="I17" s="1" t="s">
        <v>94</v>
      </c>
      <c r="J17" s="1" t="s">
        <v>20</v>
      </c>
      <c r="K17" s="1" t="s">
        <v>21</v>
      </c>
      <c r="L17" s="1" t="s">
        <v>21</v>
      </c>
      <c r="M17" s="1">
        <v>9</v>
      </c>
      <c r="N17" s="1">
        <v>11</v>
      </c>
      <c r="O1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1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1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17" s="1">
        <v>0</v>
      </c>
      <c r="S17" s="1">
        <v>0</v>
      </c>
      <c r="T17" s="1">
        <v>0</v>
      </c>
      <c r="U17" s="64">
        <v>10</v>
      </c>
      <c r="V17" s="64">
        <v>10</v>
      </c>
      <c r="W17" s="64">
        <v>10</v>
      </c>
      <c r="X1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" s="49">
        <v>0</v>
      </c>
      <c r="AB17" s="29">
        <v>0</v>
      </c>
      <c r="AC17" s="14">
        <v>0</v>
      </c>
      <c r="AD17" s="29">
        <v>0</v>
      </c>
      <c r="AE17" s="33" t="s">
        <v>60</v>
      </c>
      <c r="AF17" s="29">
        <v>0</v>
      </c>
      <c r="AG17" s="62">
        <v>153</v>
      </c>
      <c r="AH17" s="29">
        <f>IF(ISNUMBER(Tabella2[[#This Row],[Mean RADIAL stress  (MPa)]]), Tabella2[[#This Row],[Mean RADIAL stress  (MPa)]],"")</f>
        <v>0</v>
      </c>
      <c r="AI17" s="29">
        <f>IF(ISNUMBER(Tabella2[[#This Row],[Amplitute RADIAL stress  (MPa)]]), Tabella2[[#This Row],[Amplitute RADIAL stress  (MPa)]],"")</f>
        <v>0</v>
      </c>
      <c r="AJ17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22066.832398146853</v>
      </c>
      <c r="AP17" s="6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265.00377355803823</v>
      </c>
    </row>
    <row r="18" spans="1:43" ht="20.100000000000001" customHeight="1" x14ac:dyDescent="0.25">
      <c r="A18" s="1" t="s">
        <v>64</v>
      </c>
      <c r="B18" s="1">
        <v>2018</v>
      </c>
      <c r="C18" s="1" t="s">
        <v>65</v>
      </c>
      <c r="D18" s="1" t="s">
        <v>83</v>
      </c>
      <c r="E18" s="28">
        <v>11000000</v>
      </c>
      <c r="F18" s="1" t="s">
        <v>32</v>
      </c>
      <c r="G18" s="21" t="s">
        <v>67</v>
      </c>
      <c r="H18" s="1" t="e" vm="1">
        <v>#VALUE!</v>
      </c>
      <c r="I18" s="1" t="s">
        <v>94</v>
      </c>
      <c r="J18" s="1" t="s">
        <v>20</v>
      </c>
      <c r="K18" s="1" t="s">
        <v>21</v>
      </c>
      <c r="L18" s="1" t="s">
        <v>21</v>
      </c>
      <c r="M18" s="1">
        <v>9</v>
      </c>
      <c r="N18" s="1">
        <v>11</v>
      </c>
      <c r="O1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1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1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18" s="1">
        <v>0</v>
      </c>
      <c r="S18" s="1">
        <v>0</v>
      </c>
      <c r="T18" s="1">
        <v>0</v>
      </c>
      <c r="U18" s="64">
        <v>10</v>
      </c>
      <c r="V18" s="64">
        <v>10</v>
      </c>
      <c r="W18" s="64">
        <v>10</v>
      </c>
      <c r="X1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8" s="49">
        <v>0</v>
      </c>
      <c r="AB18" s="29">
        <v>0</v>
      </c>
      <c r="AC18" s="14">
        <v>0</v>
      </c>
      <c r="AD18" s="29">
        <v>170</v>
      </c>
      <c r="AE18" s="33" t="s">
        <v>60</v>
      </c>
      <c r="AF18" s="29">
        <v>0</v>
      </c>
      <c r="AG18" s="21">
        <v>98</v>
      </c>
      <c r="AH18" s="29">
        <f>IF(ISNUMBER(Tabella2[[#This Row],[Mean RADIAL stress  (MPa)]]), Tabella2[[#This Row],[Mean RADIAL stress  (MPa)]],"")</f>
        <v>0</v>
      </c>
      <c r="AI18" s="29">
        <f>IF(ISNUMBER(Tabella2[[#This Row],[Amplitute RADIAL stress  (MPa)]]), Tabella2[[#This Row],[Amplitute RADIAL stress  (MPa)]],"")</f>
        <v>0</v>
      </c>
      <c r="AJ18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5340.7075111026479</v>
      </c>
      <c r="AL1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8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8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14134.310947832622</v>
      </c>
      <c r="AP18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0.57647058823529407</v>
      </c>
      <c r="AQ1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240.23322001754877</v>
      </c>
    </row>
    <row r="19" spans="1:43" ht="20.100000000000001" customHeight="1" x14ac:dyDescent="0.25">
      <c r="A19" s="1" t="s">
        <v>64</v>
      </c>
      <c r="B19" s="1">
        <v>2018</v>
      </c>
      <c r="C19" s="1" t="s">
        <v>65</v>
      </c>
      <c r="D19" s="1" t="s">
        <v>84</v>
      </c>
      <c r="E19" s="28">
        <v>11000000</v>
      </c>
      <c r="F19" s="1" t="s">
        <v>32</v>
      </c>
      <c r="G19" s="21" t="s">
        <v>67</v>
      </c>
      <c r="H19" s="1" t="e" vm="1">
        <v>#VALUE!</v>
      </c>
      <c r="I19" s="1" t="s">
        <v>94</v>
      </c>
      <c r="J19" s="1" t="s">
        <v>20</v>
      </c>
      <c r="K19" s="1" t="s">
        <v>21</v>
      </c>
      <c r="L19" s="1" t="s">
        <v>21</v>
      </c>
      <c r="M19" s="1">
        <v>9</v>
      </c>
      <c r="N19" s="1">
        <v>11</v>
      </c>
      <c r="O1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1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1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19" s="1">
        <v>0</v>
      </c>
      <c r="S19" s="1">
        <v>0</v>
      </c>
      <c r="T19" s="1">
        <v>0</v>
      </c>
      <c r="U19" s="64">
        <v>10</v>
      </c>
      <c r="V19" s="64">
        <v>10</v>
      </c>
      <c r="W19" s="64">
        <v>10</v>
      </c>
      <c r="X1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9" s="49">
        <v>0</v>
      </c>
      <c r="AB19" s="29">
        <v>0</v>
      </c>
      <c r="AC19" s="14">
        <v>0</v>
      </c>
      <c r="AD19" s="29">
        <v>184</v>
      </c>
      <c r="AE19" s="33" t="s">
        <v>60</v>
      </c>
      <c r="AF19" s="29">
        <v>0</v>
      </c>
      <c r="AG19" s="21">
        <v>106</v>
      </c>
      <c r="AH19" s="29">
        <f>IF(ISNUMBER(Tabella2[[#This Row],[Mean RADIAL stress  (MPa)]]), Tabella2[[#This Row],[Mean RADIAL stress  (MPa)]],"")</f>
        <v>0</v>
      </c>
      <c r="AI19" s="29">
        <f>IF(ISNUMBER(Tabella2[[#This Row],[Amplitute RADIAL stress  (MPa)]]), Tabella2[[#This Row],[Amplitute RADIAL stress  (MPa)]],"")</f>
        <v>0</v>
      </c>
      <c r="AJ19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5780.5304826052197</v>
      </c>
      <c r="AL1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9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9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15288.132249696511</v>
      </c>
      <c r="AP19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0.57608695652173914</v>
      </c>
      <c r="AQ1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259.93076001119988</v>
      </c>
    </row>
    <row r="20" spans="1:43" ht="20.100000000000001" customHeight="1" x14ac:dyDescent="0.25">
      <c r="A20" s="1" t="s">
        <v>64</v>
      </c>
      <c r="B20" s="1">
        <v>2018</v>
      </c>
      <c r="C20" s="1" t="s">
        <v>65</v>
      </c>
      <c r="D20" s="1" t="s">
        <v>85</v>
      </c>
      <c r="E20" s="28">
        <v>11000000</v>
      </c>
      <c r="F20" s="1" t="s">
        <v>32</v>
      </c>
      <c r="G20" s="21" t="s">
        <v>67</v>
      </c>
      <c r="H20" s="1" t="e" vm="1">
        <v>#VALUE!</v>
      </c>
      <c r="I20" s="1" t="s">
        <v>94</v>
      </c>
      <c r="J20" s="1" t="s">
        <v>20</v>
      </c>
      <c r="K20" s="1" t="s">
        <v>21</v>
      </c>
      <c r="L20" s="1" t="s">
        <v>21</v>
      </c>
      <c r="M20" s="1">
        <v>9</v>
      </c>
      <c r="N20" s="1">
        <v>11</v>
      </c>
      <c r="O2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0" s="1">
        <v>0</v>
      </c>
      <c r="S20" s="1">
        <v>0</v>
      </c>
      <c r="T20" s="1">
        <v>0</v>
      </c>
      <c r="U20" s="64">
        <v>10</v>
      </c>
      <c r="V20" s="64">
        <v>10</v>
      </c>
      <c r="W20" s="64">
        <v>10</v>
      </c>
      <c r="X2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0" s="49">
        <v>0</v>
      </c>
      <c r="AB20" s="29">
        <v>0</v>
      </c>
      <c r="AC20" s="14">
        <v>0</v>
      </c>
      <c r="AD20" s="29">
        <v>191</v>
      </c>
      <c r="AE20" s="33" t="s">
        <v>60</v>
      </c>
      <c r="AF20" s="29">
        <v>0</v>
      </c>
      <c r="AG20" s="21">
        <v>110</v>
      </c>
      <c r="AH20" s="29">
        <f>IF(ISNUMBER(Tabella2[[#This Row],[Mean RADIAL stress  (MPa)]]), Tabella2[[#This Row],[Mean RADIAL stress  (MPa)]],"")</f>
        <v>0</v>
      </c>
      <c r="AI20" s="29">
        <f>IF(ISNUMBER(Tabella2[[#This Row],[Amplitute RADIAL stress  (MPa)]]), Tabella2[[#This Row],[Amplitute RADIAL stress  (MPa)]],"")</f>
        <v>0</v>
      </c>
      <c r="AJ20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6000.4419683565047</v>
      </c>
      <c r="AL2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0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0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15865.042900628456</v>
      </c>
      <c r="AP20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0.5759162303664922</v>
      </c>
      <c r="AQ2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269.77953962448674</v>
      </c>
    </row>
    <row r="21" spans="1:43" ht="20.100000000000001" customHeight="1" x14ac:dyDescent="0.25">
      <c r="A21" s="1" t="s">
        <v>64</v>
      </c>
      <c r="B21" s="1">
        <v>2018</v>
      </c>
      <c r="C21" s="1" t="s">
        <v>65</v>
      </c>
      <c r="D21" s="1" t="s">
        <v>86</v>
      </c>
      <c r="E21" s="28">
        <v>194000</v>
      </c>
      <c r="F21" s="1" t="s">
        <v>20</v>
      </c>
      <c r="G21" s="21" t="s">
        <v>67</v>
      </c>
      <c r="H21" s="1" t="e" vm="1">
        <v>#VALUE!</v>
      </c>
      <c r="I21" s="1" t="s">
        <v>94</v>
      </c>
      <c r="J21" s="1" t="s">
        <v>20</v>
      </c>
      <c r="K21" s="1" t="s">
        <v>21</v>
      </c>
      <c r="L21" s="1" t="s">
        <v>21</v>
      </c>
      <c r="M21" s="1">
        <v>9</v>
      </c>
      <c r="N21" s="1">
        <v>11</v>
      </c>
      <c r="O2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1" s="1">
        <v>0</v>
      </c>
      <c r="S21" s="1">
        <v>0</v>
      </c>
      <c r="T21" s="1">
        <v>0</v>
      </c>
      <c r="U21" s="64">
        <v>10</v>
      </c>
      <c r="V21" s="64">
        <v>10</v>
      </c>
      <c r="W21" s="64">
        <v>10</v>
      </c>
      <c r="X2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1" s="49">
        <v>0</v>
      </c>
      <c r="AB21" s="29">
        <v>0</v>
      </c>
      <c r="AC21" s="14">
        <v>0</v>
      </c>
      <c r="AD21" s="29">
        <v>198</v>
      </c>
      <c r="AE21" s="33" t="s">
        <v>60</v>
      </c>
      <c r="AF21" s="29">
        <v>0</v>
      </c>
      <c r="AG21" s="21">
        <v>114</v>
      </c>
      <c r="AH21" s="29">
        <f>IF(ISNUMBER(Tabella2[[#This Row],[Mean RADIAL stress  (MPa)]]), Tabella2[[#This Row],[Mean RADIAL stress  (MPa)]],"")</f>
        <v>0</v>
      </c>
      <c r="AI21" s="29">
        <f>IF(ISNUMBER(Tabella2[[#This Row],[Amplitute RADIAL stress  (MPa)]]), Tabella2[[#This Row],[Amplitute RADIAL stress  (MPa)]],"")</f>
        <v>0</v>
      </c>
      <c r="AJ21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6220.3534541077906</v>
      </c>
      <c r="AL2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1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1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16441.9535515604</v>
      </c>
      <c r="AP21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0.5757575757575758</v>
      </c>
      <c r="AQ2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279.62832474554506</v>
      </c>
    </row>
    <row r="22" spans="1:43" ht="20.100000000000001" customHeight="1" x14ac:dyDescent="0.25">
      <c r="A22" s="1" t="s">
        <v>64</v>
      </c>
      <c r="B22" s="1">
        <v>2018</v>
      </c>
      <c r="C22" s="1" t="s">
        <v>65</v>
      </c>
      <c r="D22" s="1" t="s">
        <v>87</v>
      </c>
      <c r="E22" s="28">
        <v>11000000</v>
      </c>
      <c r="F22" s="1" t="s">
        <v>32</v>
      </c>
      <c r="G22" s="21" t="s">
        <v>67</v>
      </c>
      <c r="H22" s="1" t="e" vm="1">
        <v>#VALUE!</v>
      </c>
      <c r="I22" s="1" t="s">
        <v>94</v>
      </c>
      <c r="J22" s="1" t="s">
        <v>20</v>
      </c>
      <c r="K22" s="1" t="s">
        <v>21</v>
      </c>
      <c r="L22" s="1" t="s">
        <v>21</v>
      </c>
      <c r="M22" s="1">
        <v>9</v>
      </c>
      <c r="N22" s="1">
        <v>11</v>
      </c>
      <c r="O2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2" s="1">
        <v>0</v>
      </c>
      <c r="S22" s="1">
        <v>0</v>
      </c>
      <c r="T22" s="1">
        <v>0</v>
      </c>
      <c r="U22" s="64">
        <v>10</v>
      </c>
      <c r="V22" s="64">
        <v>10</v>
      </c>
      <c r="W22" s="64">
        <v>10</v>
      </c>
      <c r="X2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2" s="49">
        <v>0</v>
      </c>
      <c r="AB22" s="29">
        <v>0</v>
      </c>
      <c r="AC22" s="14">
        <v>0</v>
      </c>
      <c r="AD22" s="29">
        <v>205</v>
      </c>
      <c r="AE22" s="33" t="s">
        <v>60</v>
      </c>
      <c r="AF22" s="29">
        <v>0</v>
      </c>
      <c r="AG22" s="21">
        <v>118</v>
      </c>
      <c r="AH22" s="29">
        <f>IF(ISNUMBER(Tabella2[[#This Row],[Mean RADIAL stress  (MPa)]]), Tabella2[[#This Row],[Mean RADIAL stress  (MPa)]],"")</f>
        <v>0</v>
      </c>
      <c r="AI22" s="29">
        <f>IF(ISNUMBER(Tabella2[[#This Row],[Amplitute RADIAL stress  (MPa)]]), Tabella2[[#This Row],[Amplitute RADIAL stress  (MPa)]],"")</f>
        <v>0</v>
      </c>
      <c r="AJ22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6440.2649398590756</v>
      </c>
      <c r="AL2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17018.864202492343</v>
      </c>
      <c r="AP22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0.57560975609756093</v>
      </c>
      <c r="AQ2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289.47711481220756</v>
      </c>
    </row>
    <row r="23" spans="1:43" ht="20.100000000000001" customHeight="1" x14ac:dyDescent="0.25">
      <c r="A23" s="1" t="s">
        <v>64</v>
      </c>
      <c r="B23" s="1">
        <v>2018</v>
      </c>
      <c r="C23" s="1" t="s">
        <v>65</v>
      </c>
      <c r="D23" s="1" t="s">
        <v>88</v>
      </c>
      <c r="E23" s="28">
        <v>1458000</v>
      </c>
      <c r="F23" s="1" t="s">
        <v>20</v>
      </c>
      <c r="G23" s="21" t="s">
        <v>67</v>
      </c>
      <c r="H23" s="1" t="e" vm="1">
        <v>#VALUE!</v>
      </c>
      <c r="I23" s="1" t="s">
        <v>94</v>
      </c>
      <c r="J23" s="1" t="s">
        <v>20</v>
      </c>
      <c r="K23" s="1" t="s">
        <v>21</v>
      </c>
      <c r="L23" s="1" t="s">
        <v>21</v>
      </c>
      <c r="M23" s="1">
        <v>9</v>
      </c>
      <c r="N23" s="1">
        <v>11</v>
      </c>
      <c r="O2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3" s="1">
        <v>0</v>
      </c>
      <c r="S23" s="1">
        <v>0</v>
      </c>
      <c r="T23" s="1">
        <v>0</v>
      </c>
      <c r="U23" s="64">
        <v>10</v>
      </c>
      <c r="V23" s="64">
        <v>10</v>
      </c>
      <c r="W23" s="64">
        <v>10</v>
      </c>
      <c r="X2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3" s="49">
        <v>0</v>
      </c>
      <c r="AB23" s="29">
        <v>0</v>
      </c>
      <c r="AC23" s="14">
        <v>0</v>
      </c>
      <c r="AD23" s="29">
        <v>210</v>
      </c>
      <c r="AE23" s="33" t="s">
        <v>60</v>
      </c>
      <c r="AF23" s="29">
        <v>0</v>
      </c>
      <c r="AG23" s="21">
        <v>121</v>
      </c>
      <c r="AH23" s="29">
        <f>IF(ISNUMBER(Tabella2[[#This Row],[Mean RADIAL stress  (MPa)]]), Tabella2[[#This Row],[Mean RADIAL stress  (MPa)]],"")</f>
        <v>0</v>
      </c>
      <c r="AI23" s="29">
        <f>IF(ISNUMBER(Tabella2[[#This Row],[Amplitute RADIAL stress  (MPa)]]), Tabella2[[#This Row],[Amplitute RADIAL stress  (MPa)]],"")</f>
        <v>0</v>
      </c>
      <c r="AJ23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6597.3445725385654</v>
      </c>
      <c r="AL2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17451.547190691301</v>
      </c>
      <c r="AP23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0.57619047619047614</v>
      </c>
      <c r="AQ2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296.68670344321129</v>
      </c>
    </row>
    <row r="24" spans="1:43" ht="20.100000000000001" customHeight="1" x14ac:dyDescent="0.25">
      <c r="A24" s="1" t="s">
        <v>64</v>
      </c>
      <c r="B24" s="1">
        <v>2018</v>
      </c>
      <c r="C24" s="1" t="s">
        <v>65</v>
      </c>
      <c r="D24" s="1" t="s">
        <v>89</v>
      </c>
      <c r="E24" s="28">
        <v>11000000</v>
      </c>
      <c r="F24" s="1" t="s">
        <v>32</v>
      </c>
      <c r="G24" s="21" t="s">
        <v>67</v>
      </c>
      <c r="H24" s="1" t="e" vm="1">
        <v>#VALUE!</v>
      </c>
      <c r="I24" s="1" t="s">
        <v>94</v>
      </c>
      <c r="J24" s="1" t="s">
        <v>20</v>
      </c>
      <c r="K24" s="1" t="s">
        <v>21</v>
      </c>
      <c r="L24" s="1" t="s">
        <v>21</v>
      </c>
      <c r="M24" s="1">
        <v>9</v>
      </c>
      <c r="N24" s="1">
        <v>11</v>
      </c>
      <c r="O2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4" s="1">
        <v>0</v>
      </c>
      <c r="S24" s="1">
        <v>0</v>
      </c>
      <c r="T24" s="1">
        <v>0</v>
      </c>
      <c r="U24" s="64">
        <v>10</v>
      </c>
      <c r="V24" s="64">
        <v>10</v>
      </c>
      <c r="W24" s="64">
        <v>10</v>
      </c>
      <c r="X2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4" s="49">
        <v>0</v>
      </c>
      <c r="AB24" s="29">
        <v>0</v>
      </c>
      <c r="AC24" s="14">
        <v>0</v>
      </c>
      <c r="AD24" s="29">
        <v>212</v>
      </c>
      <c r="AE24" s="33" t="s">
        <v>60</v>
      </c>
      <c r="AF24" s="29">
        <v>0</v>
      </c>
      <c r="AG24" s="21">
        <v>123</v>
      </c>
      <c r="AH24" s="29">
        <f>IF(ISNUMBER(Tabella2[[#This Row],[Mean RADIAL stress  (MPa)]]), Tabella2[[#This Row],[Mean RADIAL stress  (MPa)]],"")</f>
        <v>0</v>
      </c>
      <c r="AI24" s="29">
        <f>IF(ISNUMBER(Tabella2[[#This Row],[Amplitute RADIAL stress  (MPa)]]), Tabella2[[#This Row],[Amplitute RADIAL stress  (MPa)]],"")</f>
        <v>0</v>
      </c>
      <c r="AJ24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6660.1764256103615</v>
      </c>
      <c r="AL2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17740.00251615727</v>
      </c>
      <c r="AP24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0.58018867924528306</v>
      </c>
      <c r="AQ2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300.55116037041017</v>
      </c>
    </row>
    <row r="25" spans="1:43" ht="20.100000000000001" customHeight="1" x14ac:dyDescent="0.25">
      <c r="A25" s="1" t="s">
        <v>64</v>
      </c>
      <c r="B25" s="1">
        <v>2018</v>
      </c>
      <c r="C25" s="1" t="s">
        <v>65</v>
      </c>
      <c r="D25" s="1" t="s">
        <v>90</v>
      </c>
      <c r="E25" s="28">
        <v>431000</v>
      </c>
      <c r="F25" s="1" t="s">
        <v>20</v>
      </c>
      <c r="G25" s="21" t="s">
        <v>67</v>
      </c>
      <c r="H25" s="1" t="e" vm="1">
        <v>#VALUE!</v>
      </c>
      <c r="I25" s="1" t="s">
        <v>94</v>
      </c>
      <c r="J25" s="1" t="s">
        <v>20</v>
      </c>
      <c r="K25" s="1" t="s">
        <v>21</v>
      </c>
      <c r="L25" s="1" t="s">
        <v>21</v>
      </c>
      <c r="M25" s="1">
        <v>9</v>
      </c>
      <c r="N25" s="1">
        <v>11</v>
      </c>
      <c r="O2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5" s="1">
        <v>0</v>
      </c>
      <c r="S25" s="1">
        <v>0</v>
      </c>
      <c r="T25" s="1">
        <v>0</v>
      </c>
      <c r="U25" s="64">
        <v>10</v>
      </c>
      <c r="V25" s="64">
        <v>10</v>
      </c>
      <c r="W25" s="64">
        <v>10</v>
      </c>
      <c r="X2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5" s="49">
        <v>0</v>
      </c>
      <c r="AB25" s="29">
        <v>0</v>
      </c>
      <c r="AC25" s="14">
        <v>0</v>
      </c>
      <c r="AD25" s="29">
        <v>215</v>
      </c>
      <c r="AE25" s="33" t="s">
        <v>60</v>
      </c>
      <c r="AF25" s="29">
        <v>0</v>
      </c>
      <c r="AG25" s="21">
        <v>124</v>
      </c>
      <c r="AH25" s="29">
        <f>IF(ISNUMBER(Tabella2[[#This Row],[Mean RADIAL stress  (MPa)]]), Tabella2[[#This Row],[Mean RADIAL stress  (MPa)]],"")</f>
        <v>0</v>
      </c>
      <c r="AI25" s="29">
        <f>IF(ISNUMBER(Tabella2[[#This Row],[Amplitute RADIAL stress  (MPa)]]), Tabella2[[#This Row],[Amplitute RADIAL stress  (MPa)]],"")</f>
        <v>0</v>
      </c>
      <c r="AJ25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6754.4242052180552</v>
      </c>
      <c r="AL2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17884.230178890259</v>
      </c>
      <c r="AP25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0.57674418604651168</v>
      </c>
      <c r="AQ2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303.89636391375268</v>
      </c>
    </row>
    <row r="26" spans="1:43" ht="20.100000000000001" customHeight="1" x14ac:dyDescent="0.25">
      <c r="A26" s="1" t="s">
        <v>64</v>
      </c>
      <c r="B26" s="1">
        <v>2018</v>
      </c>
      <c r="C26" s="1" t="s">
        <v>65</v>
      </c>
      <c r="D26" s="1" t="s">
        <v>91</v>
      </c>
      <c r="E26" s="28">
        <v>246000</v>
      </c>
      <c r="F26" s="1" t="s">
        <v>20</v>
      </c>
      <c r="G26" s="21" t="s">
        <v>67</v>
      </c>
      <c r="H26" s="1" t="e" vm="1">
        <v>#VALUE!</v>
      </c>
      <c r="I26" s="1" t="s">
        <v>94</v>
      </c>
      <c r="J26" s="1" t="s">
        <v>20</v>
      </c>
      <c r="K26" s="1" t="s">
        <v>21</v>
      </c>
      <c r="L26" s="1" t="s">
        <v>21</v>
      </c>
      <c r="M26" s="1">
        <v>9</v>
      </c>
      <c r="N26" s="1">
        <v>11</v>
      </c>
      <c r="O2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6" s="1">
        <v>0</v>
      </c>
      <c r="S26" s="1">
        <v>0</v>
      </c>
      <c r="T26" s="1">
        <v>0</v>
      </c>
      <c r="U26" s="64">
        <v>10</v>
      </c>
      <c r="V26" s="64">
        <v>10</v>
      </c>
      <c r="W26" s="64">
        <v>10</v>
      </c>
      <c r="X2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6" s="49">
        <v>0</v>
      </c>
      <c r="AB26" s="29">
        <v>0</v>
      </c>
      <c r="AC26" s="14">
        <v>0</v>
      </c>
      <c r="AD26" s="29">
        <v>219</v>
      </c>
      <c r="AE26" s="33" t="s">
        <v>60</v>
      </c>
      <c r="AF26" s="29">
        <v>0</v>
      </c>
      <c r="AG26" s="21">
        <v>127</v>
      </c>
      <c r="AH26" s="29">
        <f>IF(ISNUMBER(Tabella2[[#This Row],[Mean RADIAL stress  (MPa)]]), Tabella2[[#This Row],[Mean RADIAL stress  (MPa)]],"")</f>
        <v>0</v>
      </c>
      <c r="AI26" s="29">
        <f>IF(ISNUMBER(Tabella2[[#This Row],[Amplitute RADIAL stress  (MPa)]]), Tabella2[[#This Row],[Amplitute RADIAL stress  (MPa)]],"")</f>
        <v>0</v>
      </c>
      <c r="AJ26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6880.0879113616465</v>
      </c>
      <c r="AL2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18316.913167089217</v>
      </c>
      <c r="AP26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0.57990867579908678</v>
      </c>
      <c r="AQ2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310.39974226793424</v>
      </c>
    </row>
    <row r="27" spans="1:43" ht="20.100000000000001" customHeight="1" x14ac:dyDescent="0.25">
      <c r="A27" s="1" t="s">
        <v>64</v>
      </c>
      <c r="B27" s="1">
        <v>2018</v>
      </c>
      <c r="C27" s="1" t="s">
        <v>65</v>
      </c>
      <c r="D27" s="1" t="s">
        <v>92</v>
      </c>
      <c r="E27" s="28">
        <v>102000</v>
      </c>
      <c r="F27" s="1" t="s">
        <v>20</v>
      </c>
      <c r="G27" s="21" t="s">
        <v>67</v>
      </c>
      <c r="H27" s="1" t="e" vm="1">
        <v>#VALUE!</v>
      </c>
      <c r="I27" s="1" t="s">
        <v>94</v>
      </c>
      <c r="J27" s="1" t="s">
        <v>20</v>
      </c>
      <c r="K27" s="1" t="s">
        <v>21</v>
      </c>
      <c r="L27" s="1" t="s">
        <v>21</v>
      </c>
      <c r="M27" s="1">
        <v>9</v>
      </c>
      <c r="N27" s="1">
        <v>11</v>
      </c>
      <c r="O2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7" s="1">
        <v>0</v>
      </c>
      <c r="S27" s="1">
        <v>0</v>
      </c>
      <c r="T27" s="1">
        <v>0</v>
      </c>
      <c r="U27" s="64">
        <v>10</v>
      </c>
      <c r="V27" s="64">
        <v>10</v>
      </c>
      <c r="W27" s="64">
        <v>10</v>
      </c>
      <c r="X2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7" s="49">
        <v>0</v>
      </c>
      <c r="AB27" s="29">
        <v>0</v>
      </c>
      <c r="AC27" s="14">
        <v>0</v>
      </c>
      <c r="AD27" s="29">
        <v>220</v>
      </c>
      <c r="AE27" s="33" t="s">
        <v>60</v>
      </c>
      <c r="AF27" s="29">
        <v>0</v>
      </c>
      <c r="AG27" s="21">
        <v>127</v>
      </c>
      <c r="AH27" s="29">
        <f>IF(ISNUMBER(Tabella2[[#This Row],[Mean RADIAL stress  (MPa)]]), Tabella2[[#This Row],[Mean RADIAL stress  (MPa)]],"")</f>
        <v>0</v>
      </c>
      <c r="AI27" s="29">
        <f>IF(ISNUMBER(Tabella2[[#This Row],[Amplitute RADIAL stress  (MPa)]]), Tabella2[[#This Row],[Amplitute RADIAL stress  (MPa)]],"")</f>
        <v>0</v>
      </c>
      <c r="AJ27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6911.5038378975451</v>
      </c>
      <c r="AL2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7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7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18316.913167089217</v>
      </c>
      <c r="AP27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0.57727272727272727</v>
      </c>
      <c r="AQ2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311.10609122934255</v>
      </c>
    </row>
    <row r="28" spans="1:43" s="17" customFormat="1" ht="20.100000000000001" customHeight="1" thickBot="1" x14ac:dyDescent="0.3">
      <c r="A28" s="17" t="s">
        <v>64</v>
      </c>
      <c r="B28" s="17">
        <v>2018</v>
      </c>
      <c r="C28" s="17" t="s">
        <v>65</v>
      </c>
      <c r="D28" s="17" t="s">
        <v>93</v>
      </c>
      <c r="E28" s="18">
        <v>116000</v>
      </c>
      <c r="F28" s="17" t="s">
        <v>20</v>
      </c>
      <c r="G28" s="22" t="s">
        <v>67</v>
      </c>
      <c r="H28" s="17" t="e" vm="1">
        <v>#VALUE!</v>
      </c>
      <c r="I28" s="17" t="s">
        <v>94</v>
      </c>
      <c r="J28" s="17" t="s">
        <v>20</v>
      </c>
      <c r="K28" s="17" t="s">
        <v>21</v>
      </c>
      <c r="L28" s="17" t="s">
        <v>21</v>
      </c>
      <c r="M28" s="17">
        <v>9</v>
      </c>
      <c r="N28" s="17">
        <v>11</v>
      </c>
      <c r="O28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8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8" s="3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8" s="17">
        <v>0</v>
      </c>
      <c r="S28" s="17">
        <v>0</v>
      </c>
      <c r="T28" s="17">
        <v>0</v>
      </c>
      <c r="U28" s="65">
        <v>10</v>
      </c>
      <c r="V28" s="65">
        <v>10</v>
      </c>
      <c r="W28" s="65">
        <v>10</v>
      </c>
      <c r="X28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1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8" s="1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8" s="51">
        <v>0</v>
      </c>
      <c r="AB28" s="19">
        <v>0</v>
      </c>
      <c r="AC28" s="20">
        <v>0</v>
      </c>
      <c r="AD28" s="19">
        <v>226</v>
      </c>
      <c r="AE28" s="34" t="s">
        <v>60</v>
      </c>
      <c r="AF28" s="19">
        <v>0</v>
      </c>
      <c r="AG28" s="22">
        <v>131</v>
      </c>
      <c r="AH28" s="19">
        <f>IF(ISNUMBER(Tabella2[[#This Row],[Mean RADIAL stress  (MPa)]]), Tabella2[[#This Row],[Mean RADIAL stress  (MPa)]],"")</f>
        <v>0</v>
      </c>
      <c r="AI28" s="19">
        <f>IF(ISNUMBER(Tabella2[[#This Row],[Amplitute RADIAL stress  (MPa)]]), Tabella2[[#This Row],[Amplitute RADIAL stress  (MPa)]],"")</f>
        <v>0</v>
      </c>
      <c r="AJ28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8" s="19">
        <f>IF(ISNUMBER(Tabella2[[#This Row],[Amplitute AXIAL stress  (MPa)]]),    IF(Tabella2[[#This Row],[derived from (AXIAL/BENDING) load]]="AXIAL",Tabella2[[#This Row],[Amplitute AXIAL stress  (MPa)]]*Tabella2[[#This Row],[Area (mm^2)]],"Null"), "")</f>
        <v>7099.9993971129325</v>
      </c>
      <c r="AL28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8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8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8" s="4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18893.823818021159</v>
      </c>
      <c r="AP28" s="75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0.57964601769911506</v>
      </c>
      <c r="AQ28" s="4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320.24834113543818</v>
      </c>
    </row>
    <row r="29" spans="1:43" customFormat="1" ht="20.100000000000001" customHeight="1" x14ac:dyDescent="0.25">
      <c r="A29" s="67" t="s">
        <v>96</v>
      </c>
      <c r="B29" s="67">
        <v>2024</v>
      </c>
      <c r="C29" s="67" t="s">
        <v>99</v>
      </c>
      <c r="D29" s="67" t="s">
        <v>100</v>
      </c>
      <c r="E29" s="68">
        <v>38505</v>
      </c>
      <c r="F29" s="67" t="s">
        <v>20</v>
      </c>
      <c r="G29" s="21" t="s">
        <v>101</v>
      </c>
      <c r="H29" s="67" t="e" vm="4">
        <v>#VALUE!</v>
      </c>
      <c r="I29" s="1" t="s">
        <v>160</v>
      </c>
      <c r="J29" s="1" t="s">
        <v>32</v>
      </c>
      <c r="K29" s="1">
        <v>6</v>
      </c>
      <c r="L29" s="1">
        <v>4</v>
      </c>
      <c r="M29" s="1" t="s">
        <v>21</v>
      </c>
      <c r="N29" s="1" t="s">
        <v>21</v>
      </c>
      <c r="O2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2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29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9" s="1">
        <v>0</v>
      </c>
      <c r="S29" s="1">
        <v>0</v>
      </c>
      <c r="T29" s="1">
        <v>0</v>
      </c>
      <c r="U29" s="64">
        <v>8</v>
      </c>
      <c r="V29" s="64">
        <v>8</v>
      </c>
      <c r="W29" s="64">
        <v>8</v>
      </c>
      <c r="X29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9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29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9" s="49">
        <v>0</v>
      </c>
      <c r="AB29" s="63">
        <v>0</v>
      </c>
      <c r="AC29" s="72">
        <v>140</v>
      </c>
      <c r="AD29" s="63">
        <v>140</v>
      </c>
      <c r="AE29" s="71" t="s">
        <v>60</v>
      </c>
      <c r="AF29" s="63">
        <v>0</v>
      </c>
      <c r="AG29" s="23">
        <v>0</v>
      </c>
      <c r="AH29" s="63">
        <f>IF(ISNUMBER(Tabella2[[#This Row],[Mean RADIAL stress  (MPa)]]), Tabella2[[#This Row],[Mean RADIAL stress  (MPa)]],"")</f>
        <v>0</v>
      </c>
      <c r="AI29" s="29">
        <f>IF(ISNUMBER(Tabella2[[#This Row],[Amplitute RADIAL stress  (MPa)]]), Tabella2[[#This Row],[Amplitute RADIAL stress  (MPa)]],"")</f>
        <v>0</v>
      </c>
      <c r="AJ29" s="29">
        <f>IF(ISNUMBER(Tabella2[[#This Row],[Mean AXIAL stress  (MPa)]]), IF(Tabella2[[#This Row],[derived from (AXIAL/BENDING) load]]="AXIAL",Tabella2[[#This Row],[Mean AXIAL stress  (MPa)]]*Tabella2[[#This Row],[Area (mm^2)]],"Null"), "")</f>
        <v>3360</v>
      </c>
      <c r="AK2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3360</v>
      </c>
      <c r="AL2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9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9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9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</row>
    <row r="30" spans="1:43" customFormat="1" ht="20.100000000000001" customHeight="1" x14ac:dyDescent="0.25">
      <c r="A30" s="67" t="s">
        <v>96</v>
      </c>
      <c r="B30" s="67">
        <v>2024</v>
      </c>
      <c r="C30" s="67" t="s">
        <v>99</v>
      </c>
      <c r="D30" s="67" t="s">
        <v>102</v>
      </c>
      <c r="E30" s="68">
        <v>89454</v>
      </c>
      <c r="F30" s="67" t="s">
        <v>20</v>
      </c>
      <c r="G30" s="21" t="s">
        <v>101</v>
      </c>
      <c r="H30" s="67" t="e" vm="5">
        <v>#VALUE!</v>
      </c>
      <c r="I30" s="1" t="s">
        <v>160</v>
      </c>
      <c r="J30" s="1" t="s">
        <v>32</v>
      </c>
      <c r="K30" s="1">
        <v>6</v>
      </c>
      <c r="L30" s="1">
        <v>4</v>
      </c>
      <c r="M30" s="1" t="s">
        <v>21</v>
      </c>
      <c r="N30" s="1" t="s">
        <v>21</v>
      </c>
      <c r="O3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0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0" s="1">
        <v>0</v>
      </c>
      <c r="S30" s="1">
        <v>0</v>
      </c>
      <c r="T30" s="1">
        <v>0</v>
      </c>
      <c r="U30" s="64">
        <v>8</v>
      </c>
      <c r="V30" s="64">
        <v>8</v>
      </c>
      <c r="W30" s="64">
        <v>8</v>
      </c>
      <c r="X30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0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0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0" s="49">
        <v>0</v>
      </c>
      <c r="AB30" s="63">
        <v>0</v>
      </c>
      <c r="AC30" s="72">
        <v>125</v>
      </c>
      <c r="AD30" s="63">
        <v>125</v>
      </c>
      <c r="AE30" s="71" t="s">
        <v>60</v>
      </c>
      <c r="AF30" s="63">
        <v>0</v>
      </c>
      <c r="AG30" s="23">
        <v>0</v>
      </c>
      <c r="AH30" s="63">
        <f>IF(ISNUMBER(Tabella2[[#This Row],[Mean RADIAL stress  (MPa)]]), Tabella2[[#This Row],[Mean RADIAL stress  (MPa)]],"")</f>
        <v>0</v>
      </c>
      <c r="AI30" s="29">
        <f>IF(ISNUMBER(Tabella2[[#This Row],[Amplitute RADIAL stress  (MPa)]]), Tabella2[[#This Row],[Amplitute RADIAL stress  (MPa)]],"")</f>
        <v>0</v>
      </c>
      <c r="AJ30" s="29">
        <f>IF(ISNUMBER(Tabella2[[#This Row],[Mean AXIAL stress  (MPa)]]), IF(Tabella2[[#This Row],[derived from (AXIAL/BENDING) load]]="AXIAL",Tabella2[[#This Row],[Mean AXIAL stress  (MPa)]]*Tabella2[[#This Row],[Area (mm^2)]],"Null"), "")</f>
        <v>3000</v>
      </c>
      <c r="AK3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3000</v>
      </c>
      <c r="AL3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0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0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0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31" spans="1:43" customFormat="1" ht="20.100000000000001" customHeight="1" x14ac:dyDescent="0.25">
      <c r="A31" s="67" t="s">
        <v>96</v>
      </c>
      <c r="B31" s="67">
        <v>2024</v>
      </c>
      <c r="C31" s="67" t="s">
        <v>99</v>
      </c>
      <c r="D31" s="67" t="s">
        <v>103</v>
      </c>
      <c r="E31" s="68">
        <v>201484</v>
      </c>
      <c r="F31" s="67" t="s">
        <v>20</v>
      </c>
      <c r="G31" s="21" t="s">
        <v>101</v>
      </c>
      <c r="H31" s="67" t="e" vm="5">
        <v>#VALUE!</v>
      </c>
      <c r="I31" s="1" t="s">
        <v>160</v>
      </c>
      <c r="J31" s="1" t="s">
        <v>32</v>
      </c>
      <c r="K31" s="1">
        <v>6</v>
      </c>
      <c r="L31" s="1">
        <v>4</v>
      </c>
      <c r="M31" s="1" t="s">
        <v>21</v>
      </c>
      <c r="N31" s="1" t="s">
        <v>21</v>
      </c>
      <c r="O3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1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1" s="1">
        <v>0</v>
      </c>
      <c r="S31" s="1">
        <v>0</v>
      </c>
      <c r="T31" s="1">
        <v>0</v>
      </c>
      <c r="U31" s="64">
        <v>8</v>
      </c>
      <c r="V31" s="64">
        <v>8</v>
      </c>
      <c r="W31" s="64">
        <v>8</v>
      </c>
      <c r="X31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1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1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1" s="49">
        <v>0</v>
      </c>
      <c r="AB31" s="63">
        <v>0</v>
      </c>
      <c r="AC31" s="72">
        <v>108.5</v>
      </c>
      <c r="AD31" s="63">
        <v>108.5</v>
      </c>
      <c r="AE31" s="71" t="s">
        <v>60</v>
      </c>
      <c r="AF31" s="63">
        <v>0</v>
      </c>
      <c r="AG31" s="23">
        <v>0</v>
      </c>
      <c r="AH31" s="63">
        <f>IF(ISNUMBER(Tabella2[[#This Row],[Mean RADIAL stress  (MPa)]]), Tabella2[[#This Row],[Mean RADIAL stress  (MPa)]],"")</f>
        <v>0</v>
      </c>
      <c r="AI31" s="29">
        <f>IF(ISNUMBER(Tabella2[[#This Row],[Amplitute RADIAL stress  (MPa)]]), Tabella2[[#This Row],[Amplitute RADIAL stress  (MPa)]],"")</f>
        <v>0</v>
      </c>
      <c r="AJ31" s="29">
        <f>IF(ISNUMBER(Tabella2[[#This Row],[Mean AXIAL stress  (MPa)]]), IF(Tabella2[[#This Row],[derived from (AXIAL/BENDING) load]]="AXIAL",Tabella2[[#This Row],[Mean AXIAL stress  (MPa)]]*Tabella2[[#This Row],[Area (mm^2)]],"Null"), "")</f>
        <v>2604</v>
      </c>
      <c r="AK3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2604</v>
      </c>
      <c r="AL3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1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1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1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108.5</v>
      </c>
    </row>
    <row r="32" spans="1:43" customFormat="1" ht="20.100000000000001" customHeight="1" x14ac:dyDescent="0.25">
      <c r="A32" s="67" t="s">
        <v>96</v>
      </c>
      <c r="B32" s="67">
        <v>2024</v>
      </c>
      <c r="C32" s="67" t="s">
        <v>99</v>
      </c>
      <c r="D32" s="67" t="s">
        <v>104</v>
      </c>
      <c r="E32" s="68">
        <v>247818</v>
      </c>
      <c r="F32" s="67" t="s">
        <v>20</v>
      </c>
      <c r="G32" s="21" t="s">
        <v>101</v>
      </c>
      <c r="H32" s="67" t="e" vm="5">
        <v>#VALUE!</v>
      </c>
      <c r="I32" s="1" t="s">
        <v>160</v>
      </c>
      <c r="J32" s="1" t="s">
        <v>32</v>
      </c>
      <c r="K32" s="1">
        <v>6</v>
      </c>
      <c r="L32" s="1">
        <v>4</v>
      </c>
      <c r="M32" s="1" t="s">
        <v>21</v>
      </c>
      <c r="N32" s="1" t="s">
        <v>21</v>
      </c>
      <c r="O3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2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2" s="1">
        <v>0</v>
      </c>
      <c r="S32" s="1">
        <v>0</v>
      </c>
      <c r="T32" s="1">
        <v>0</v>
      </c>
      <c r="U32" s="64">
        <v>8</v>
      </c>
      <c r="V32" s="64">
        <v>8</v>
      </c>
      <c r="W32" s="64">
        <v>8</v>
      </c>
      <c r="X32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2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2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2" s="49">
        <v>0</v>
      </c>
      <c r="AB32" s="63">
        <v>0</v>
      </c>
      <c r="AC32" s="72">
        <v>120</v>
      </c>
      <c r="AD32" s="63">
        <v>120</v>
      </c>
      <c r="AE32" s="71" t="s">
        <v>60</v>
      </c>
      <c r="AF32" s="63">
        <v>0</v>
      </c>
      <c r="AG32" s="23">
        <v>0</v>
      </c>
      <c r="AH32" s="63">
        <f>IF(ISNUMBER(Tabella2[[#This Row],[Mean RADIAL stress  (MPa)]]), Tabella2[[#This Row],[Mean RADIAL stress  (MPa)]],"")</f>
        <v>0</v>
      </c>
      <c r="AI32" s="29">
        <f>IF(ISNUMBER(Tabella2[[#This Row],[Amplitute RADIAL stress  (MPa)]]), Tabella2[[#This Row],[Amplitute RADIAL stress  (MPa)]],"")</f>
        <v>0</v>
      </c>
      <c r="AJ32" s="29">
        <f>IF(ISNUMBER(Tabella2[[#This Row],[Mean AXIAL stress  (MPa)]]), IF(Tabella2[[#This Row],[derived from (AXIAL/BENDING) load]]="AXIAL",Tabella2[[#This Row],[Mean AXIAL stress  (MPa)]]*Tabella2[[#This Row],[Area (mm^2)]],"Null"), "")</f>
        <v>2880</v>
      </c>
      <c r="AK3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2880</v>
      </c>
      <c r="AL3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2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2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2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</row>
    <row r="33" spans="1:43" customFormat="1" ht="20.100000000000001" customHeight="1" x14ac:dyDescent="0.25">
      <c r="A33" s="67" t="s">
        <v>96</v>
      </c>
      <c r="B33" s="67">
        <v>2024</v>
      </c>
      <c r="C33" s="67" t="s">
        <v>99</v>
      </c>
      <c r="D33" s="67" t="s">
        <v>105</v>
      </c>
      <c r="E33" s="68">
        <v>261733</v>
      </c>
      <c r="F33" s="67" t="s">
        <v>20</v>
      </c>
      <c r="G33" s="21" t="s">
        <v>101</v>
      </c>
      <c r="H33" s="67" t="e" vm="5">
        <v>#VALUE!</v>
      </c>
      <c r="I33" s="1" t="s">
        <v>160</v>
      </c>
      <c r="J33" s="1" t="s">
        <v>32</v>
      </c>
      <c r="K33" s="1">
        <v>6</v>
      </c>
      <c r="L33" s="1">
        <v>4</v>
      </c>
      <c r="M33" s="1" t="s">
        <v>21</v>
      </c>
      <c r="N33" s="1" t="s">
        <v>21</v>
      </c>
      <c r="O3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3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3" s="1">
        <v>0</v>
      </c>
      <c r="S33" s="1">
        <v>0</v>
      </c>
      <c r="T33" s="1">
        <v>0</v>
      </c>
      <c r="U33" s="64">
        <v>8</v>
      </c>
      <c r="V33" s="64">
        <v>8</v>
      </c>
      <c r="W33" s="64">
        <v>8</v>
      </c>
      <c r="X33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3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3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3" s="49">
        <v>0</v>
      </c>
      <c r="AB33" s="63">
        <v>0</v>
      </c>
      <c r="AC33" s="72">
        <v>108.5</v>
      </c>
      <c r="AD33" s="63">
        <v>108.5</v>
      </c>
      <c r="AE33" s="71" t="s">
        <v>60</v>
      </c>
      <c r="AF33" s="63">
        <v>0</v>
      </c>
      <c r="AG33" s="23">
        <v>0</v>
      </c>
      <c r="AH33" s="63">
        <f>IF(ISNUMBER(Tabella2[[#This Row],[Mean RADIAL stress  (MPa)]]), Tabella2[[#This Row],[Mean RADIAL stress  (MPa)]],"")</f>
        <v>0</v>
      </c>
      <c r="AI33" s="29">
        <f>IF(ISNUMBER(Tabella2[[#This Row],[Amplitute RADIAL stress  (MPa)]]), Tabella2[[#This Row],[Amplitute RADIAL stress  (MPa)]],"")</f>
        <v>0</v>
      </c>
      <c r="AJ33" s="29">
        <f>IF(ISNUMBER(Tabella2[[#This Row],[Mean AXIAL stress  (MPa)]]), IF(Tabella2[[#This Row],[derived from (AXIAL/BENDING) load]]="AXIAL",Tabella2[[#This Row],[Mean AXIAL stress  (MPa)]]*Tabella2[[#This Row],[Area (mm^2)]],"Null"), "")</f>
        <v>2604</v>
      </c>
      <c r="AK3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2604</v>
      </c>
      <c r="AL3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3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3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3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108.5</v>
      </c>
    </row>
    <row r="34" spans="1:43" customFormat="1" ht="20.100000000000001" customHeight="1" x14ac:dyDescent="0.25">
      <c r="A34" s="67" t="s">
        <v>96</v>
      </c>
      <c r="B34" s="67">
        <v>2024</v>
      </c>
      <c r="C34" s="67" t="s">
        <v>99</v>
      </c>
      <c r="D34" s="67" t="s">
        <v>106</v>
      </c>
      <c r="E34" s="68">
        <v>347141</v>
      </c>
      <c r="F34" s="67" t="s">
        <v>20</v>
      </c>
      <c r="G34" s="21" t="s">
        <v>101</v>
      </c>
      <c r="H34" s="67" t="e" vm="5">
        <v>#VALUE!</v>
      </c>
      <c r="I34" s="1" t="s">
        <v>160</v>
      </c>
      <c r="J34" s="1" t="s">
        <v>32</v>
      </c>
      <c r="K34" s="1">
        <v>6</v>
      </c>
      <c r="L34" s="1">
        <v>4</v>
      </c>
      <c r="M34" s="1" t="s">
        <v>21</v>
      </c>
      <c r="N34" s="1" t="s">
        <v>21</v>
      </c>
      <c r="O3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4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4" s="1">
        <v>0</v>
      </c>
      <c r="S34" s="1">
        <v>0</v>
      </c>
      <c r="T34" s="1">
        <v>0</v>
      </c>
      <c r="U34" s="64">
        <v>8</v>
      </c>
      <c r="V34" s="64">
        <v>8</v>
      </c>
      <c r="W34" s="64">
        <v>8</v>
      </c>
      <c r="X34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4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4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4" s="49">
        <v>0</v>
      </c>
      <c r="AB34" s="63">
        <v>0</v>
      </c>
      <c r="AC34" s="72">
        <v>100</v>
      </c>
      <c r="AD34" s="63">
        <v>100</v>
      </c>
      <c r="AE34" s="71" t="s">
        <v>60</v>
      </c>
      <c r="AF34" s="63">
        <v>0</v>
      </c>
      <c r="AG34" s="23">
        <v>0</v>
      </c>
      <c r="AH34" s="63">
        <f>IF(ISNUMBER(Tabella2[[#This Row],[Mean RADIAL stress  (MPa)]]), Tabella2[[#This Row],[Mean RADIAL stress  (MPa)]],"")</f>
        <v>0</v>
      </c>
      <c r="AI34" s="29">
        <f>IF(ISNUMBER(Tabella2[[#This Row],[Amplitute RADIAL stress  (MPa)]]), Tabella2[[#This Row],[Amplitute RADIAL stress  (MPa)]],"")</f>
        <v>0</v>
      </c>
      <c r="AJ34" s="29">
        <f>IF(ISNUMBER(Tabella2[[#This Row],[Mean AXIAL stress  (MPa)]]), IF(Tabella2[[#This Row],[derived from (AXIAL/BENDING) load]]="AXIAL",Tabella2[[#This Row],[Mean AXIAL stress  (MPa)]]*Tabella2[[#This Row],[Area (mm^2)]],"Null"), "")</f>
        <v>2400</v>
      </c>
      <c r="AK3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2400</v>
      </c>
      <c r="AL3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4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4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4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35" spans="1:43" customFormat="1" ht="20.100000000000001" customHeight="1" x14ac:dyDescent="0.25">
      <c r="A35" s="67" t="s">
        <v>96</v>
      </c>
      <c r="B35" s="67">
        <v>2024</v>
      </c>
      <c r="C35" s="67" t="s">
        <v>99</v>
      </c>
      <c r="D35" s="67" t="s">
        <v>107</v>
      </c>
      <c r="E35" s="68">
        <v>347221</v>
      </c>
      <c r="F35" s="67" t="s">
        <v>20</v>
      </c>
      <c r="G35" s="21" t="s">
        <v>101</v>
      </c>
      <c r="H35" s="67" t="e" vm="5">
        <v>#VALUE!</v>
      </c>
      <c r="I35" s="1" t="s">
        <v>160</v>
      </c>
      <c r="J35" s="1" t="s">
        <v>32</v>
      </c>
      <c r="K35" s="1">
        <v>6</v>
      </c>
      <c r="L35" s="1">
        <v>4</v>
      </c>
      <c r="M35" s="1" t="s">
        <v>21</v>
      </c>
      <c r="N35" s="1" t="s">
        <v>21</v>
      </c>
      <c r="O3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5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5" s="1">
        <v>0</v>
      </c>
      <c r="S35" s="1">
        <v>0</v>
      </c>
      <c r="T35" s="1">
        <v>0</v>
      </c>
      <c r="U35" s="64">
        <v>8</v>
      </c>
      <c r="V35" s="64">
        <v>8</v>
      </c>
      <c r="W35" s="64">
        <v>8</v>
      </c>
      <c r="X35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5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5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5" s="49">
        <v>0</v>
      </c>
      <c r="AB35" s="63">
        <v>0</v>
      </c>
      <c r="AC35" s="72">
        <v>104</v>
      </c>
      <c r="AD35" s="63">
        <v>104</v>
      </c>
      <c r="AE35" s="71" t="s">
        <v>60</v>
      </c>
      <c r="AF35" s="63">
        <v>0</v>
      </c>
      <c r="AG35" s="23">
        <v>0</v>
      </c>
      <c r="AH35" s="63">
        <f>IF(ISNUMBER(Tabella2[[#This Row],[Mean RADIAL stress  (MPa)]]), Tabella2[[#This Row],[Mean RADIAL stress  (MPa)]],"")</f>
        <v>0</v>
      </c>
      <c r="AI35" s="29">
        <f>IF(ISNUMBER(Tabella2[[#This Row],[Amplitute RADIAL stress  (MPa)]]), Tabella2[[#This Row],[Amplitute RADIAL stress  (MPa)]],"")</f>
        <v>0</v>
      </c>
      <c r="AJ35" s="29">
        <f>IF(ISNUMBER(Tabella2[[#This Row],[Mean AXIAL stress  (MPa)]]), IF(Tabella2[[#This Row],[derived from (AXIAL/BENDING) load]]="AXIAL",Tabella2[[#This Row],[Mean AXIAL stress  (MPa)]]*Tabella2[[#This Row],[Area (mm^2)]],"Null"), "")</f>
        <v>2496</v>
      </c>
      <c r="AK3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2496</v>
      </c>
      <c r="AL3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5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5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5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104</v>
      </c>
    </row>
    <row r="36" spans="1:43" customFormat="1" ht="20.100000000000001" customHeight="1" x14ac:dyDescent="0.25">
      <c r="A36" s="67" t="s">
        <v>96</v>
      </c>
      <c r="B36" s="67">
        <v>2024</v>
      </c>
      <c r="C36" s="67" t="s">
        <v>99</v>
      </c>
      <c r="D36" s="67" t="s">
        <v>108</v>
      </c>
      <c r="E36" s="68">
        <v>369481</v>
      </c>
      <c r="F36" s="67" t="s">
        <v>20</v>
      </c>
      <c r="G36" s="21" t="s">
        <v>101</v>
      </c>
      <c r="H36" s="67" t="e" vm="5">
        <v>#VALUE!</v>
      </c>
      <c r="I36" s="1" t="s">
        <v>160</v>
      </c>
      <c r="J36" s="1" t="s">
        <v>32</v>
      </c>
      <c r="K36" s="1">
        <v>6</v>
      </c>
      <c r="L36" s="1">
        <v>4</v>
      </c>
      <c r="M36" s="1" t="s">
        <v>21</v>
      </c>
      <c r="N36" s="1" t="s">
        <v>21</v>
      </c>
      <c r="O3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6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6" s="1">
        <v>0</v>
      </c>
      <c r="S36" s="1">
        <v>0</v>
      </c>
      <c r="T36" s="1">
        <v>0</v>
      </c>
      <c r="U36" s="64">
        <v>8</v>
      </c>
      <c r="V36" s="64">
        <v>8</v>
      </c>
      <c r="W36" s="64">
        <v>8</v>
      </c>
      <c r="X36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6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6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6" s="49">
        <v>0</v>
      </c>
      <c r="AB36" s="63">
        <v>0</v>
      </c>
      <c r="AC36" s="72">
        <v>100</v>
      </c>
      <c r="AD36" s="63">
        <v>100</v>
      </c>
      <c r="AE36" s="71" t="s">
        <v>60</v>
      </c>
      <c r="AF36" s="63">
        <v>0</v>
      </c>
      <c r="AG36" s="23">
        <v>0</v>
      </c>
      <c r="AH36" s="63">
        <f>IF(ISNUMBER(Tabella2[[#This Row],[Mean RADIAL stress  (MPa)]]), Tabella2[[#This Row],[Mean RADIAL stress  (MPa)]],"")</f>
        <v>0</v>
      </c>
      <c r="AI36" s="29">
        <f>IF(ISNUMBER(Tabella2[[#This Row],[Amplitute RADIAL stress  (MPa)]]), Tabella2[[#This Row],[Amplitute RADIAL stress  (MPa)]],"")</f>
        <v>0</v>
      </c>
      <c r="AJ36" s="29">
        <f>IF(ISNUMBER(Tabella2[[#This Row],[Mean AXIAL stress  (MPa)]]), IF(Tabella2[[#This Row],[derived from (AXIAL/BENDING) load]]="AXIAL",Tabella2[[#This Row],[Mean AXIAL stress  (MPa)]]*Tabella2[[#This Row],[Area (mm^2)]],"Null"), "")</f>
        <v>2400</v>
      </c>
      <c r="AK3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2400</v>
      </c>
      <c r="AL3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6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6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6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37" spans="1:43" customFormat="1" ht="20.100000000000001" customHeight="1" x14ac:dyDescent="0.25">
      <c r="A37" s="67" t="s">
        <v>96</v>
      </c>
      <c r="B37" s="67">
        <v>2024</v>
      </c>
      <c r="C37" s="67" t="s">
        <v>99</v>
      </c>
      <c r="D37" s="67" t="s">
        <v>109</v>
      </c>
      <c r="E37" s="68">
        <v>436200</v>
      </c>
      <c r="F37" s="67" t="s">
        <v>20</v>
      </c>
      <c r="G37" s="21" t="s">
        <v>101</v>
      </c>
      <c r="H37" s="67" t="e" vm="5">
        <v>#VALUE!</v>
      </c>
      <c r="I37" s="1" t="s">
        <v>160</v>
      </c>
      <c r="J37" s="1" t="s">
        <v>32</v>
      </c>
      <c r="K37" s="1">
        <v>6</v>
      </c>
      <c r="L37" s="1">
        <v>4</v>
      </c>
      <c r="M37" s="1" t="s">
        <v>21</v>
      </c>
      <c r="N37" s="1" t="s">
        <v>21</v>
      </c>
      <c r="O3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7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7" s="1">
        <v>0</v>
      </c>
      <c r="S37" s="1">
        <v>0</v>
      </c>
      <c r="T37" s="1">
        <v>0</v>
      </c>
      <c r="U37" s="64">
        <v>8</v>
      </c>
      <c r="V37" s="64">
        <v>8</v>
      </c>
      <c r="W37" s="64">
        <v>8</v>
      </c>
      <c r="X37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7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7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7" s="49">
        <v>0</v>
      </c>
      <c r="AB37" s="63">
        <v>0</v>
      </c>
      <c r="AC37" s="72">
        <v>95</v>
      </c>
      <c r="AD37" s="63">
        <v>95</v>
      </c>
      <c r="AE37" s="71" t="s">
        <v>60</v>
      </c>
      <c r="AF37" s="63">
        <v>0</v>
      </c>
      <c r="AG37" s="23">
        <v>0</v>
      </c>
      <c r="AH37" s="63">
        <f>IF(ISNUMBER(Tabella2[[#This Row],[Mean RADIAL stress  (MPa)]]), Tabella2[[#This Row],[Mean RADIAL stress  (MPa)]],"")</f>
        <v>0</v>
      </c>
      <c r="AI37" s="29">
        <f>IF(ISNUMBER(Tabella2[[#This Row],[Amplitute RADIAL stress  (MPa)]]), Tabella2[[#This Row],[Amplitute RADIAL stress  (MPa)]],"")</f>
        <v>0</v>
      </c>
      <c r="AJ37" s="29">
        <f>IF(ISNUMBER(Tabella2[[#This Row],[Mean AXIAL stress  (MPa)]]), IF(Tabella2[[#This Row],[derived from (AXIAL/BENDING) load]]="AXIAL",Tabella2[[#This Row],[Mean AXIAL stress  (MPa)]]*Tabella2[[#This Row],[Area (mm^2)]],"Null"), "")</f>
        <v>2280</v>
      </c>
      <c r="AK3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2280</v>
      </c>
      <c r="AL3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7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7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7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</row>
    <row r="38" spans="1:43" customFormat="1" ht="20.100000000000001" customHeight="1" x14ac:dyDescent="0.25">
      <c r="A38" s="67" t="s">
        <v>96</v>
      </c>
      <c r="B38" s="67">
        <v>2024</v>
      </c>
      <c r="C38" s="67" t="s">
        <v>99</v>
      </c>
      <c r="D38" s="67" t="s">
        <v>110</v>
      </c>
      <c r="E38" s="68">
        <v>515532</v>
      </c>
      <c r="F38" s="67" t="s">
        <v>20</v>
      </c>
      <c r="G38" s="21" t="s">
        <v>101</v>
      </c>
      <c r="H38" s="67" t="e" vm="5">
        <v>#VALUE!</v>
      </c>
      <c r="I38" s="1" t="s">
        <v>160</v>
      </c>
      <c r="J38" s="1" t="s">
        <v>32</v>
      </c>
      <c r="K38" s="1">
        <v>6</v>
      </c>
      <c r="L38" s="1">
        <v>4</v>
      </c>
      <c r="M38" s="1" t="s">
        <v>21</v>
      </c>
      <c r="N38" s="1" t="s">
        <v>21</v>
      </c>
      <c r="O3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8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8" s="1">
        <v>0</v>
      </c>
      <c r="S38" s="1">
        <v>0</v>
      </c>
      <c r="T38" s="1">
        <v>0</v>
      </c>
      <c r="U38" s="64">
        <v>8</v>
      </c>
      <c r="V38" s="64">
        <v>8</v>
      </c>
      <c r="W38" s="64">
        <v>8</v>
      </c>
      <c r="X38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8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8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8" s="49">
        <v>0</v>
      </c>
      <c r="AB38" s="63">
        <v>0</v>
      </c>
      <c r="AC38" s="72">
        <v>96</v>
      </c>
      <c r="AD38" s="63">
        <v>96</v>
      </c>
      <c r="AE38" s="71" t="s">
        <v>60</v>
      </c>
      <c r="AF38" s="63">
        <v>0</v>
      </c>
      <c r="AG38" s="23">
        <v>0</v>
      </c>
      <c r="AH38" s="63">
        <f>IF(ISNUMBER(Tabella2[[#This Row],[Mean RADIAL stress  (MPa)]]), Tabella2[[#This Row],[Mean RADIAL stress  (MPa)]],"")</f>
        <v>0</v>
      </c>
      <c r="AI38" s="29">
        <f>IF(ISNUMBER(Tabella2[[#This Row],[Amplitute RADIAL stress  (MPa)]]), Tabella2[[#This Row],[Amplitute RADIAL stress  (MPa)]],"")</f>
        <v>0</v>
      </c>
      <c r="AJ38" s="29">
        <f>IF(ISNUMBER(Tabella2[[#This Row],[Mean AXIAL stress  (MPa)]]), IF(Tabella2[[#This Row],[derived from (AXIAL/BENDING) load]]="AXIAL",Tabella2[[#This Row],[Mean AXIAL stress  (MPa)]]*Tabella2[[#This Row],[Area (mm^2)]],"Null"), "")</f>
        <v>2304</v>
      </c>
      <c r="AK3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2304</v>
      </c>
      <c r="AL3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8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8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8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96</v>
      </c>
    </row>
    <row r="39" spans="1:43" customFormat="1" ht="20.100000000000001" customHeight="1" x14ac:dyDescent="0.25">
      <c r="A39" s="67" t="s">
        <v>96</v>
      </c>
      <c r="B39" s="67">
        <v>2024</v>
      </c>
      <c r="C39" s="67" t="s">
        <v>99</v>
      </c>
      <c r="D39" s="67" t="s">
        <v>111</v>
      </c>
      <c r="E39" s="68">
        <v>516299</v>
      </c>
      <c r="F39" s="67" t="s">
        <v>20</v>
      </c>
      <c r="G39" s="21" t="s">
        <v>101</v>
      </c>
      <c r="H39" s="67" t="e" vm="5">
        <v>#VALUE!</v>
      </c>
      <c r="I39" s="1" t="s">
        <v>160</v>
      </c>
      <c r="J39" s="1" t="s">
        <v>32</v>
      </c>
      <c r="K39" s="1">
        <v>6</v>
      </c>
      <c r="L39" s="1">
        <v>4</v>
      </c>
      <c r="M39" s="1" t="s">
        <v>21</v>
      </c>
      <c r="N39" s="1" t="s">
        <v>21</v>
      </c>
      <c r="O3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9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9" s="1">
        <v>0</v>
      </c>
      <c r="S39" s="1">
        <v>0</v>
      </c>
      <c r="T39" s="1">
        <v>0</v>
      </c>
      <c r="U39" s="64">
        <v>8</v>
      </c>
      <c r="V39" s="64">
        <v>8</v>
      </c>
      <c r="W39" s="64">
        <v>8</v>
      </c>
      <c r="X39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9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9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9" s="49">
        <v>0</v>
      </c>
      <c r="AB39" s="63">
        <v>0</v>
      </c>
      <c r="AC39" s="72">
        <v>94</v>
      </c>
      <c r="AD39" s="63">
        <v>94</v>
      </c>
      <c r="AE39" s="71" t="s">
        <v>60</v>
      </c>
      <c r="AF39" s="63">
        <v>0</v>
      </c>
      <c r="AG39" s="23">
        <v>0</v>
      </c>
      <c r="AH39" s="63">
        <f>IF(ISNUMBER(Tabella2[[#This Row],[Mean RADIAL stress  (MPa)]]), Tabella2[[#This Row],[Mean RADIAL stress  (MPa)]],"")</f>
        <v>0</v>
      </c>
      <c r="AI39" s="29">
        <f>IF(ISNUMBER(Tabella2[[#This Row],[Amplitute RADIAL stress  (MPa)]]), Tabella2[[#This Row],[Amplitute RADIAL stress  (MPa)]],"")</f>
        <v>0</v>
      </c>
      <c r="AJ39" s="29">
        <f>IF(ISNUMBER(Tabella2[[#This Row],[Mean AXIAL stress  (MPa)]]), IF(Tabella2[[#This Row],[derived from (AXIAL/BENDING) load]]="AXIAL",Tabella2[[#This Row],[Mean AXIAL stress  (MPa)]]*Tabella2[[#This Row],[Area (mm^2)]],"Null"), "")</f>
        <v>2256</v>
      </c>
      <c r="AK3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2256</v>
      </c>
      <c r="AL3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9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9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9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</v>
      </c>
    </row>
    <row r="40" spans="1:43" customFormat="1" ht="20.100000000000001" customHeight="1" x14ac:dyDescent="0.25">
      <c r="A40" s="67" t="s">
        <v>96</v>
      </c>
      <c r="B40" s="67">
        <v>2024</v>
      </c>
      <c r="C40" s="67" t="s">
        <v>99</v>
      </c>
      <c r="D40" s="67" t="s">
        <v>112</v>
      </c>
      <c r="E40" s="68">
        <v>603574</v>
      </c>
      <c r="F40" s="67" t="s">
        <v>20</v>
      </c>
      <c r="G40" s="21" t="s">
        <v>101</v>
      </c>
      <c r="H40" s="67" t="e" vm="5">
        <v>#VALUE!</v>
      </c>
      <c r="I40" s="1" t="s">
        <v>160</v>
      </c>
      <c r="J40" s="1" t="s">
        <v>32</v>
      </c>
      <c r="K40" s="1">
        <v>6</v>
      </c>
      <c r="L40" s="1">
        <v>4</v>
      </c>
      <c r="M40" s="1" t="s">
        <v>21</v>
      </c>
      <c r="N40" s="1" t="s">
        <v>21</v>
      </c>
      <c r="O4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0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0" s="1">
        <v>0</v>
      </c>
      <c r="S40" s="1">
        <v>0</v>
      </c>
      <c r="T40" s="1">
        <v>0</v>
      </c>
      <c r="U40" s="64">
        <v>8</v>
      </c>
      <c r="V40" s="64">
        <v>8</v>
      </c>
      <c r="W40" s="64">
        <v>8</v>
      </c>
      <c r="X40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0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0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0" s="49">
        <v>0</v>
      </c>
      <c r="AB40" s="63">
        <v>0</v>
      </c>
      <c r="AC40" s="72">
        <v>90</v>
      </c>
      <c r="AD40" s="63">
        <v>90</v>
      </c>
      <c r="AE40" s="71" t="s">
        <v>60</v>
      </c>
      <c r="AF40" s="63">
        <v>0</v>
      </c>
      <c r="AG40" s="23">
        <v>0</v>
      </c>
      <c r="AH40" s="63">
        <f>IF(ISNUMBER(Tabella2[[#This Row],[Mean RADIAL stress  (MPa)]]), Tabella2[[#This Row],[Mean RADIAL stress  (MPa)]],"")</f>
        <v>0</v>
      </c>
      <c r="AI40" s="29">
        <f>IF(ISNUMBER(Tabella2[[#This Row],[Amplitute RADIAL stress  (MPa)]]), Tabella2[[#This Row],[Amplitute RADIAL stress  (MPa)]],"")</f>
        <v>0</v>
      </c>
      <c r="AJ40" s="29">
        <f>IF(ISNUMBER(Tabella2[[#This Row],[Mean AXIAL stress  (MPa)]]), IF(Tabella2[[#This Row],[derived from (AXIAL/BENDING) load]]="AXIAL",Tabella2[[#This Row],[Mean AXIAL stress  (MPa)]]*Tabella2[[#This Row],[Area (mm^2)]],"Null"), "")</f>
        <v>2160</v>
      </c>
      <c r="AK4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2160</v>
      </c>
      <c r="AL4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0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0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0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41" spans="1:43" customFormat="1" ht="20.100000000000001" customHeight="1" x14ac:dyDescent="0.25">
      <c r="A41" s="67" t="s">
        <v>96</v>
      </c>
      <c r="B41" s="67">
        <v>2024</v>
      </c>
      <c r="C41" s="67" t="s">
        <v>99</v>
      </c>
      <c r="D41" s="67" t="s">
        <v>113</v>
      </c>
      <c r="E41" s="68">
        <v>754651</v>
      </c>
      <c r="F41" s="67" t="s">
        <v>20</v>
      </c>
      <c r="G41" s="21" t="s">
        <v>101</v>
      </c>
      <c r="H41" s="67" t="e" vm="5">
        <v>#VALUE!</v>
      </c>
      <c r="I41" s="1" t="s">
        <v>160</v>
      </c>
      <c r="J41" s="1" t="s">
        <v>32</v>
      </c>
      <c r="K41" s="1">
        <v>6</v>
      </c>
      <c r="L41" s="1">
        <v>4</v>
      </c>
      <c r="M41" s="1" t="s">
        <v>21</v>
      </c>
      <c r="N41" s="1" t="s">
        <v>21</v>
      </c>
      <c r="O4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1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1" s="1">
        <v>0</v>
      </c>
      <c r="S41" s="1">
        <v>0</v>
      </c>
      <c r="T41" s="1">
        <v>0</v>
      </c>
      <c r="U41" s="64">
        <v>8</v>
      </c>
      <c r="V41" s="64">
        <v>8</v>
      </c>
      <c r="W41" s="64">
        <v>8</v>
      </c>
      <c r="X41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1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1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1" s="49">
        <v>0</v>
      </c>
      <c r="AB41" s="63">
        <v>0</v>
      </c>
      <c r="AC41" s="72">
        <v>100</v>
      </c>
      <c r="AD41" s="63">
        <v>100</v>
      </c>
      <c r="AE41" s="71" t="s">
        <v>60</v>
      </c>
      <c r="AF41" s="63">
        <v>0</v>
      </c>
      <c r="AG41" s="23">
        <v>0</v>
      </c>
      <c r="AH41" s="63">
        <f>IF(ISNUMBER(Tabella2[[#This Row],[Mean RADIAL stress  (MPa)]]), Tabella2[[#This Row],[Mean RADIAL stress  (MPa)]],"")</f>
        <v>0</v>
      </c>
      <c r="AI41" s="29">
        <f>IF(ISNUMBER(Tabella2[[#This Row],[Amplitute RADIAL stress  (MPa)]]), Tabella2[[#This Row],[Amplitute RADIAL stress  (MPa)]],"")</f>
        <v>0</v>
      </c>
      <c r="AJ41" s="29">
        <f>IF(ISNUMBER(Tabella2[[#This Row],[Mean AXIAL stress  (MPa)]]), IF(Tabella2[[#This Row],[derived from (AXIAL/BENDING) load]]="AXIAL",Tabella2[[#This Row],[Mean AXIAL stress  (MPa)]]*Tabella2[[#This Row],[Area (mm^2)]],"Null"), "")</f>
        <v>2400</v>
      </c>
      <c r="AK4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2400</v>
      </c>
      <c r="AL4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1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1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1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42" spans="1:43" customFormat="1" ht="20.100000000000001" customHeight="1" x14ac:dyDescent="0.25">
      <c r="A42" s="67" t="s">
        <v>96</v>
      </c>
      <c r="B42" s="67">
        <v>2024</v>
      </c>
      <c r="C42" s="67" t="s">
        <v>99</v>
      </c>
      <c r="D42" s="67" t="s">
        <v>114</v>
      </c>
      <c r="E42" s="68">
        <v>1031849</v>
      </c>
      <c r="F42" s="67" t="s">
        <v>20</v>
      </c>
      <c r="G42" s="21" t="s">
        <v>101</v>
      </c>
      <c r="H42" s="67" t="e" vm="5">
        <v>#VALUE!</v>
      </c>
      <c r="I42" s="1" t="s">
        <v>160</v>
      </c>
      <c r="J42" s="1" t="s">
        <v>32</v>
      </c>
      <c r="K42" s="1">
        <v>6</v>
      </c>
      <c r="L42" s="1">
        <v>4</v>
      </c>
      <c r="M42" s="1" t="s">
        <v>21</v>
      </c>
      <c r="N42" s="1" t="s">
        <v>21</v>
      </c>
      <c r="O4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2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2" s="1">
        <v>0</v>
      </c>
      <c r="S42" s="1">
        <v>0</v>
      </c>
      <c r="T42" s="1">
        <v>0</v>
      </c>
      <c r="U42" s="64">
        <v>8</v>
      </c>
      <c r="V42" s="64">
        <v>8</v>
      </c>
      <c r="W42" s="64">
        <v>8</v>
      </c>
      <c r="X42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2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2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2" s="49">
        <v>0</v>
      </c>
      <c r="AB42" s="63">
        <v>0</v>
      </c>
      <c r="AC42" s="72">
        <v>103</v>
      </c>
      <c r="AD42" s="63">
        <v>103</v>
      </c>
      <c r="AE42" s="71" t="s">
        <v>60</v>
      </c>
      <c r="AF42" s="63">
        <v>0</v>
      </c>
      <c r="AG42" s="23">
        <v>0</v>
      </c>
      <c r="AH42" s="63">
        <f>IF(ISNUMBER(Tabella2[[#This Row],[Mean RADIAL stress  (MPa)]]), Tabella2[[#This Row],[Mean RADIAL stress  (MPa)]],"")</f>
        <v>0</v>
      </c>
      <c r="AI42" s="29">
        <f>IF(ISNUMBER(Tabella2[[#This Row],[Amplitute RADIAL stress  (MPa)]]), Tabella2[[#This Row],[Amplitute RADIAL stress  (MPa)]],"")</f>
        <v>0</v>
      </c>
      <c r="AJ42" s="29">
        <f>IF(ISNUMBER(Tabella2[[#This Row],[Mean AXIAL stress  (MPa)]]), IF(Tabella2[[#This Row],[derived from (AXIAL/BENDING) load]]="AXIAL",Tabella2[[#This Row],[Mean AXIAL stress  (MPa)]]*Tabella2[[#This Row],[Area (mm^2)]],"Null"), "")</f>
        <v>2472</v>
      </c>
      <c r="AK4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2472</v>
      </c>
      <c r="AL4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2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2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2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103</v>
      </c>
    </row>
    <row r="43" spans="1:43" customFormat="1" ht="20.100000000000001" customHeight="1" x14ac:dyDescent="0.25">
      <c r="A43" s="67" t="s">
        <v>96</v>
      </c>
      <c r="B43" s="67">
        <v>2024</v>
      </c>
      <c r="C43" s="67" t="s">
        <v>99</v>
      </c>
      <c r="D43" s="67" t="s">
        <v>115</v>
      </c>
      <c r="E43" s="68">
        <v>2063734</v>
      </c>
      <c r="F43" s="67" t="s">
        <v>32</v>
      </c>
      <c r="G43" s="21" t="s">
        <v>101</v>
      </c>
      <c r="H43" s="67" t="e" vm="5">
        <v>#VALUE!</v>
      </c>
      <c r="I43" s="1" t="s">
        <v>160</v>
      </c>
      <c r="J43" s="1" t="s">
        <v>32</v>
      </c>
      <c r="K43" s="1">
        <v>6</v>
      </c>
      <c r="L43" s="1">
        <v>4</v>
      </c>
      <c r="M43" s="1" t="s">
        <v>21</v>
      </c>
      <c r="N43" s="1" t="s">
        <v>21</v>
      </c>
      <c r="O4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3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3" s="1">
        <v>0</v>
      </c>
      <c r="S43" s="1">
        <v>0</v>
      </c>
      <c r="T43" s="1">
        <v>0</v>
      </c>
      <c r="U43" s="64">
        <v>8</v>
      </c>
      <c r="V43" s="64">
        <v>8</v>
      </c>
      <c r="W43" s="64">
        <v>8</v>
      </c>
      <c r="X43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3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3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3" s="49">
        <v>0</v>
      </c>
      <c r="AB43" s="63">
        <v>0</v>
      </c>
      <c r="AC43" s="72">
        <v>91.5</v>
      </c>
      <c r="AD43" s="63">
        <v>91.5</v>
      </c>
      <c r="AE43" s="71" t="s">
        <v>60</v>
      </c>
      <c r="AF43" s="63">
        <v>0</v>
      </c>
      <c r="AG43" s="23">
        <v>0</v>
      </c>
      <c r="AH43" s="63">
        <f>IF(ISNUMBER(Tabella2[[#This Row],[Mean RADIAL stress  (MPa)]]), Tabella2[[#This Row],[Mean RADIAL stress  (MPa)]],"")</f>
        <v>0</v>
      </c>
      <c r="AI43" s="29">
        <f>IF(ISNUMBER(Tabella2[[#This Row],[Amplitute RADIAL stress  (MPa)]]), Tabella2[[#This Row],[Amplitute RADIAL stress  (MPa)]],"")</f>
        <v>0</v>
      </c>
      <c r="AJ43" s="29">
        <f>IF(ISNUMBER(Tabella2[[#This Row],[Mean AXIAL stress  (MPa)]]), IF(Tabella2[[#This Row],[derived from (AXIAL/BENDING) load]]="AXIAL",Tabella2[[#This Row],[Mean AXIAL stress  (MPa)]]*Tabella2[[#This Row],[Area (mm^2)]],"Null"), "")</f>
        <v>2196</v>
      </c>
      <c r="AK4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2196</v>
      </c>
      <c r="AL4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3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3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3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91.5</v>
      </c>
    </row>
    <row r="44" spans="1:43" customFormat="1" ht="20.100000000000001" customHeight="1" x14ac:dyDescent="0.25">
      <c r="A44" s="67" t="s">
        <v>96</v>
      </c>
      <c r="B44" s="67">
        <v>2024</v>
      </c>
      <c r="C44" s="67" t="s">
        <v>99</v>
      </c>
      <c r="D44" s="67" t="s">
        <v>116</v>
      </c>
      <c r="E44" s="68">
        <v>2591273</v>
      </c>
      <c r="F44" s="67" t="s">
        <v>32</v>
      </c>
      <c r="G44" s="21" t="s">
        <v>101</v>
      </c>
      <c r="H44" s="67" t="e" vm="5">
        <v>#VALUE!</v>
      </c>
      <c r="I44" s="1" t="s">
        <v>160</v>
      </c>
      <c r="J44" s="1" t="s">
        <v>32</v>
      </c>
      <c r="K44" s="1">
        <v>6</v>
      </c>
      <c r="L44" s="1">
        <v>4</v>
      </c>
      <c r="M44" s="1" t="s">
        <v>21</v>
      </c>
      <c r="N44" s="1" t="s">
        <v>21</v>
      </c>
      <c r="O4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4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4" s="1">
        <v>0</v>
      </c>
      <c r="S44" s="1">
        <v>0</v>
      </c>
      <c r="T44" s="1">
        <v>0</v>
      </c>
      <c r="U44" s="64">
        <v>8</v>
      </c>
      <c r="V44" s="64">
        <v>8</v>
      </c>
      <c r="W44" s="64">
        <v>8</v>
      </c>
      <c r="X44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4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4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4" s="49">
        <v>0</v>
      </c>
      <c r="AB44" s="63">
        <v>0</v>
      </c>
      <c r="AC44" s="72">
        <v>91.5</v>
      </c>
      <c r="AD44" s="63">
        <v>91.5</v>
      </c>
      <c r="AE44" s="71" t="s">
        <v>60</v>
      </c>
      <c r="AF44" s="63">
        <v>0</v>
      </c>
      <c r="AG44" s="23">
        <v>0</v>
      </c>
      <c r="AH44" s="63">
        <f>IF(ISNUMBER(Tabella2[[#This Row],[Mean RADIAL stress  (MPa)]]), Tabella2[[#This Row],[Mean RADIAL stress  (MPa)]],"")</f>
        <v>0</v>
      </c>
      <c r="AI44" s="29">
        <f>IF(ISNUMBER(Tabella2[[#This Row],[Amplitute RADIAL stress  (MPa)]]), Tabella2[[#This Row],[Amplitute RADIAL stress  (MPa)]],"")</f>
        <v>0</v>
      </c>
      <c r="AJ44" s="29">
        <f>IF(ISNUMBER(Tabella2[[#This Row],[Mean AXIAL stress  (MPa)]]), IF(Tabella2[[#This Row],[derived from (AXIAL/BENDING) load]]="AXIAL",Tabella2[[#This Row],[Mean AXIAL stress  (MPa)]]*Tabella2[[#This Row],[Area (mm^2)]],"Null"), "")</f>
        <v>2196</v>
      </c>
      <c r="AK4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2196</v>
      </c>
      <c r="AL4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4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4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4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91.5</v>
      </c>
    </row>
    <row r="45" spans="1:43" customFormat="1" ht="20.100000000000001" customHeight="1" x14ac:dyDescent="0.25">
      <c r="A45" s="67" t="s">
        <v>96</v>
      </c>
      <c r="B45" s="67">
        <v>2024</v>
      </c>
      <c r="C45" s="67" t="s">
        <v>99</v>
      </c>
      <c r="D45" s="67" t="s">
        <v>117</v>
      </c>
      <c r="E45" s="68">
        <v>2673283</v>
      </c>
      <c r="F45" s="67" t="s">
        <v>32</v>
      </c>
      <c r="G45" s="21" t="s">
        <v>101</v>
      </c>
      <c r="H45" s="67" t="e" vm="5">
        <v>#VALUE!</v>
      </c>
      <c r="I45" s="1" t="s">
        <v>160</v>
      </c>
      <c r="J45" s="1" t="s">
        <v>32</v>
      </c>
      <c r="K45" s="1">
        <v>6</v>
      </c>
      <c r="L45" s="1">
        <v>4</v>
      </c>
      <c r="M45" s="1" t="s">
        <v>21</v>
      </c>
      <c r="N45" s="1" t="s">
        <v>21</v>
      </c>
      <c r="O4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5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5" s="1">
        <v>0</v>
      </c>
      <c r="S45" s="1">
        <v>0</v>
      </c>
      <c r="T45" s="1">
        <v>0</v>
      </c>
      <c r="U45" s="64">
        <v>8</v>
      </c>
      <c r="V45" s="64">
        <v>8</v>
      </c>
      <c r="W45" s="64">
        <v>8</v>
      </c>
      <c r="X45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5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5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5" s="49">
        <v>0</v>
      </c>
      <c r="AB45" s="63">
        <v>0</v>
      </c>
      <c r="AC45" s="72">
        <v>95</v>
      </c>
      <c r="AD45" s="63">
        <v>95</v>
      </c>
      <c r="AE45" s="71" t="s">
        <v>60</v>
      </c>
      <c r="AF45" s="63">
        <v>0</v>
      </c>
      <c r="AG45" s="23">
        <v>0</v>
      </c>
      <c r="AH45" s="63">
        <f>IF(ISNUMBER(Tabella2[[#This Row],[Mean RADIAL stress  (MPa)]]), Tabella2[[#This Row],[Mean RADIAL stress  (MPa)]],"")</f>
        <v>0</v>
      </c>
      <c r="AI45" s="29">
        <f>IF(ISNUMBER(Tabella2[[#This Row],[Amplitute RADIAL stress  (MPa)]]), Tabella2[[#This Row],[Amplitute RADIAL stress  (MPa)]],"")</f>
        <v>0</v>
      </c>
      <c r="AJ45" s="29">
        <f>IF(ISNUMBER(Tabella2[[#This Row],[Mean AXIAL stress  (MPa)]]), IF(Tabella2[[#This Row],[derived from (AXIAL/BENDING) load]]="AXIAL",Tabella2[[#This Row],[Mean AXIAL stress  (MPa)]]*Tabella2[[#This Row],[Area (mm^2)]],"Null"), "")</f>
        <v>2280</v>
      </c>
      <c r="AK4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2280</v>
      </c>
      <c r="AL4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5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5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5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</row>
    <row r="46" spans="1:43" customFormat="1" ht="20.100000000000001" customHeight="1" x14ac:dyDescent="0.25">
      <c r="A46" s="67" t="s">
        <v>96</v>
      </c>
      <c r="B46" s="67">
        <v>2024</v>
      </c>
      <c r="C46" s="67" t="s">
        <v>99</v>
      </c>
      <c r="D46" s="67" t="s">
        <v>118</v>
      </c>
      <c r="E46" s="68">
        <v>2700129</v>
      </c>
      <c r="F46" s="67" t="s">
        <v>32</v>
      </c>
      <c r="G46" s="21" t="s">
        <v>101</v>
      </c>
      <c r="H46" s="67" t="e" vm="5">
        <v>#VALUE!</v>
      </c>
      <c r="I46" s="1" t="s">
        <v>160</v>
      </c>
      <c r="J46" s="1" t="s">
        <v>32</v>
      </c>
      <c r="K46" s="1">
        <v>6</v>
      </c>
      <c r="L46" s="1">
        <v>4</v>
      </c>
      <c r="M46" s="1" t="s">
        <v>21</v>
      </c>
      <c r="N46" s="1" t="s">
        <v>21</v>
      </c>
      <c r="O4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6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6" s="1">
        <v>0</v>
      </c>
      <c r="S46" s="1">
        <v>0</v>
      </c>
      <c r="T46" s="1">
        <v>0</v>
      </c>
      <c r="U46" s="64">
        <v>8</v>
      </c>
      <c r="V46" s="64">
        <v>8</v>
      </c>
      <c r="W46" s="64">
        <v>8</v>
      </c>
      <c r="X46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6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6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6" s="49">
        <v>0</v>
      </c>
      <c r="AB46" s="63">
        <v>0</v>
      </c>
      <c r="AC46" s="72">
        <v>85</v>
      </c>
      <c r="AD46" s="63">
        <v>85</v>
      </c>
      <c r="AE46" s="71" t="s">
        <v>60</v>
      </c>
      <c r="AF46" s="63">
        <v>0</v>
      </c>
      <c r="AG46" s="23">
        <v>0</v>
      </c>
      <c r="AH46" s="63">
        <f>IF(ISNUMBER(Tabella2[[#This Row],[Mean RADIAL stress  (MPa)]]), Tabella2[[#This Row],[Mean RADIAL stress  (MPa)]],"")</f>
        <v>0</v>
      </c>
      <c r="AI46" s="29">
        <f>IF(ISNUMBER(Tabella2[[#This Row],[Amplitute RADIAL stress  (MPa)]]), Tabella2[[#This Row],[Amplitute RADIAL stress  (MPa)]],"")</f>
        <v>0</v>
      </c>
      <c r="AJ46" s="29">
        <f>IF(ISNUMBER(Tabella2[[#This Row],[Mean AXIAL stress  (MPa)]]), IF(Tabella2[[#This Row],[derived from (AXIAL/BENDING) load]]="AXIAL",Tabella2[[#This Row],[Mean AXIAL stress  (MPa)]]*Tabella2[[#This Row],[Area (mm^2)]],"Null"), "")</f>
        <v>2040</v>
      </c>
      <c r="AK4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2040</v>
      </c>
      <c r="AL4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6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6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6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</v>
      </c>
    </row>
    <row r="47" spans="1:43" customFormat="1" ht="20.100000000000001" customHeight="1" x14ac:dyDescent="0.25">
      <c r="A47" s="67" t="s">
        <v>96</v>
      </c>
      <c r="B47" s="67">
        <v>2024</v>
      </c>
      <c r="C47" s="67" t="s">
        <v>99</v>
      </c>
      <c r="D47" s="67" t="s">
        <v>119</v>
      </c>
      <c r="E47" s="68">
        <v>2770129</v>
      </c>
      <c r="F47" s="67" t="s">
        <v>32</v>
      </c>
      <c r="G47" s="21" t="s">
        <v>101</v>
      </c>
      <c r="H47" s="67" t="e" vm="5">
        <v>#VALUE!</v>
      </c>
      <c r="I47" s="1" t="s">
        <v>160</v>
      </c>
      <c r="J47" s="1" t="s">
        <v>32</v>
      </c>
      <c r="K47" s="1">
        <v>6</v>
      </c>
      <c r="L47" s="1">
        <v>4</v>
      </c>
      <c r="M47" s="1" t="s">
        <v>21</v>
      </c>
      <c r="N47" s="1" t="s">
        <v>21</v>
      </c>
      <c r="O4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7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7" s="1">
        <v>0</v>
      </c>
      <c r="S47" s="1">
        <v>0</v>
      </c>
      <c r="T47" s="1">
        <v>0</v>
      </c>
      <c r="U47" s="64">
        <v>8</v>
      </c>
      <c r="V47" s="64">
        <v>8</v>
      </c>
      <c r="W47" s="64">
        <v>8</v>
      </c>
      <c r="X47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7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7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7" s="49">
        <v>0</v>
      </c>
      <c r="AB47" s="63">
        <v>0</v>
      </c>
      <c r="AC47" s="72">
        <v>90</v>
      </c>
      <c r="AD47" s="63">
        <v>90</v>
      </c>
      <c r="AE47" s="71" t="s">
        <v>60</v>
      </c>
      <c r="AF47" s="63">
        <v>0</v>
      </c>
      <c r="AG47" s="23">
        <v>0</v>
      </c>
      <c r="AH47" s="63">
        <f>IF(ISNUMBER(Tabella2[[#This Row],[Mean RADIAL stress  (MPa)]]), Tabella2[[#This Row],[Mean RADIAL stress  (MPa)]],"")</f>
        <v>0</v>
      </c>
      <c r="AI47" s="29">
        <f>IF(ISNUMBER(Tabella2[[#This Row],[Amplitute RADIAL stress  (MPa)]]), Tabella2[[#This Row],[Amplitute RADIAL stress  (MPa)]],"")</f>
        <v>0</v>
      </c>
      <c r="AJ47" s="29">
        <f>IF(ISNUMBER(Tabella2[[#This Row],[Mean AXIAL stress  (MPa)]]), IF(Tabella2[[#This Row],[derived from (AXIAL/BENDING) load]]="AXIAL",Tabella2[[#This Row],[Mean AXIAL stress  (MPa)]]*Tabella2[[#This Row],[Area (mm^2)]],"Null"), "")</f>
        <v>2160</v>
      </c>
      <c r="AK4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2160</v>
      </c>
      <c r="AL4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7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7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7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48" spans="1:43" customFormat="1" ht="20.100000000000001" customHeight="1" x14ac:dyDescent="0.25">
      <c r="A48" s="67" t="s">
        <v>96</v>
      </c>
      <c r="B48" s="67">
        <v>2024</v>
      </c>
      <c r="C48" s="67" t="s">
        <v>99</v>
      </c>
      <c r="D48" s="67" t="s">
        <v>120</v>
      </c>
      <c r="E48" s="68">
        <v>10000000</v>
      </c>
      <c r="F48" s="67" t="s">
        <v>32</v>
      </c>
      <c r="G48" s="21" t="s">
        <v>101</v>
      </c>
      <c r="H48" s="67" t="e" vm="5">
        <v>#VALUE!</v>
      </c>
      <c r="I48" s="1" t="s">
        <v>160</v>
      </c>
      <c r="J48" s="1" t="s">
        <v>32</v>
      </c>
      <c r="K48" s="1">
        <v>6</v>
      </c>
      <c r="L48" s="1">
        <v>4</v>
      </c>
      <c r="M48" s="1" t="s">
        <v>21</v>
      </c>
      <c r="N48" s="1" t="s">
        <v>21</v>
      </c>
      <c r="O4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8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8" s="1">
        <v>0</v>
      </c>
      <c r="S48" s="1">
        <v>0</v>
      </c>
      <c r="T48" s="1">
        <v>0</v>
      </c>
      <c r="U48" s="64">
        <v>8</v>
      </c>
      <c r="V48" s="64">
        <v>8</v>
      </c>
      <c r="W48" s="64">
        <v>8</v>
      </c>
      <c r="X48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8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8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8" s="49">
        <v>0</v>
      </c>
      <c r="AB48" s="63">
        <v>0</v>
      </c>
      <c r="AC48" s="72">
        <v>96</v>
      </c>
      <c r="AD48" s="63">
        <v>96</v>
      </c>
      <c r="AE48" s="71" t="s">
        <v>60</v>
      </c>
      <c r="AF48" s="63">
        <v>0</v>
      </c>
      <c r="AG48" s="23">
        <v>0</v>
      </c>
      <c r="AH48" s="63">
        <f>IF(ISNUMBER(Tabella2[[#This Row],[Mean RADIAL stress  (MPa)]]), Tabella2[[#This Row],[Mean RADIAL stress  (MPa)]],"")</f>
        <v>0</v>
      </c>
      <c r="AI48" s="29">
        <f>IF(ISNUMBER(Tabella2[[#This Row],[Amplitute RADIAL stress  (MPa)]]), Tabella2[[#This Row],[Amplitute RADIAL stress  (MPa)]],"")</f>
        <v>0</v>
      </c>
      <c r="AJ48" s="29">
        <f>IF(ISNUMBER(Tabella2[[#This Row],[Mean AXIAL stress  (MPa)]]), IF(Tabella2[[#This Row],[derived from (AXIAL/BENDING) load]]="AXIAL",Tabella2[[#This Row],[Mean AXIAL stress  (MPa)]]*Tabella2[[#This Row],[Area (mm^2)]],"Null"), "")</f>
        <v>2304</v>
      </c>
      <c r="AK4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2304</v>
      </c>
      <c r="AL4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8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8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8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96</v>
      </c>
    </row>
    <row r="49" spans="1:43" customFormat="1" ht="20.100000000000001" customHeight="1" x14ac:dyDescent="0.25">
      <c r="A49" s="67" t="s">
        <v>96</v>
      </c>
      <c r="B49" s="67">
        <v>2024</v>
      </c>
      <c r="C49" s="67" t="s">
        <v>99</v>
      </c>
      <c r="D49" s="67" t="s">
        <v>121</v>
      </c>
      <c r="E49" s="68">
        <v>10000000</v>
      </c>
      <c r="F49" s="67" t="s">
        <v>32</v>
      </c>
      <c r="G49" s="21" t="s">
        <v>101</v>
      </c>
      <c r="H49" s="67" t="e" vm="5">
        <v>#VALUE!</v>
      </c>
      <c r="I49" s="1" t="s">
        <v>160</v>
      </c>
      <c r="J49" s="1" t="s">
        <v>32</v>
      </c>
      <c r="K49" s="1">
        <v>6</v>
      </c>
      <c r="L49" s="1">
        <v>4</v>
      </c>
      <c r="M49" s="1" t="s">
        <v>21</v>
      </c>
      <c r="N49" s="1" t="s">
        <v>21</v>
      </c>
      <c r="O4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9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9" s="1">
        <v>0</v>
      </c>
      <c r="S49" s="1">
        <v>0</v>
      </c>
      <c r="T49" s="1">
        <v>0</v>
      </c>
      <c r="U49" s="64">
        <v>8</v>
      </c>
      <c r="V49" s="64">
        <v>8</v>
      </c>
      <c r="W49" s="64">
        <v>8</v>
      </c>
      <c r="X49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9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9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9" s="49">
        <v>0</v>
      </c>
      <c r="AB49" s="63">
        <v>0</v>
      </c>
      <c r="AC49" s="72">
        <v>95</v>
      </c>
      <c r="AD49" s="63">
        <v>95</v>
      </c>
      <c r="AE49" s="71" t="s">
        <v>60</v>
      </c>
      <c r="AF49" s="63">
        <v>0</v>
      </c>
      <c r="AG49" s="23">
        <v>0</v>
      </c>
      <c r="AH49" s="63">
        <f>IF(ISNUMBER(Tabella2[[#This Row],[Mean RADIAL stress  (MPa)]]), Tabella2[[#This Row],[Mean RADIAL stress  (MPa)]],"")</f>
        <v>0</v>
      </c>
      <c r="AI49" s="29">
        <f>IF(ISNUMBER(Tabella2[[#This Row],[Amplitute RADIAL stress  (MPa)]]), Tabella2[[#This Row],[Amplitute RADIAL stress  (MPa)]],"")</f>
        <v>0</v>
      </c>
      <c r="AJ49" s="29">
        <f>IF(ISNUMBER(Tabella2[[#This Row],[Mean AXIAL stress  (MPa)]]), IF(Tabella2[[#This Row],[derived from (AXIAL/BENDING) load]]="AXIAL",Tabella2[[#This Row],[Mean AXIAL stress  (MPa)]]*Tabella2[[#This Row],[Area (mm^2)]],"Null"), "")</f>
        <v>2280</v>
      </c>
      <c r="AK4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2280</v>
      </c>
      <c r="AL4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9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9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9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</row>
    <row r="50" spans="1:43" customFormat="1" ht="20.100000000000001" customHeight="1" x14ac:dyDescent="0.25">
      <c r="A50" s="67" t="s">
        <v>96</v>
      </c>
      <c r="B50" s="67">
        <v>2024</v>
      </c>
      <c r="C50" s="67" t="s">
        <v>99</v>
      </c>
      <c r="D50" s="67" t="s">
        <v>122</v>
      </c>
      <c r="E50" s="68">
        <v>10248220</v>
      </c>
      <c r="F50" s="67" t="s">
        <v>32</v>
      </c>
      <c r="G50" s="21" t="s">
        <v>101</v>
      </c>
      <c r="H50" s="67" t="e" vm="5">
        <v>#VALUE!</v>
      </c>
      <c r="I50" s="1" t="s">
        <v>160</v>
      </c>
      <c r="J50" s="1" t="s">
        <v>32</v>
      </c>
      <c r="K50" s="1">
        <v>6</v>
      </c>
      <c r="L50" s="1">
        <v>4</v>
      </c>
      <c r="M50" s="1" t="s">
        <v>21</v>
      </c>
      <c r="N50" s="1" t="s">
        <v>21</v>
      </c>
      <c r="O5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0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0" s="1">
        <v>0</v>
      </c>
      <c r="S50" s="1">
        <v>0</v>
      </c>
      <c r="T50" s="1">
        <v>0</v>
      </c>
      <c r="U50" s="64">
        <v>8</v>
      </c>
      <c r="V50" s="64">
        <v>8</v>
      </c>
      <c r="W50" s="64">
        <v>8</v>
      </c>
      <c r="X50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0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0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0" s="49">
        <v>0</v>
      </c>
      <c r="AB50" s="63">
        <v>0</v>
      </c>
      <c r="AC50" s="72">
        <v>90</v>
      </c>
      <c r="AD50" s="63">
        <v>90</v>
      </c>
      <c r="AE50" s="71" t="s">
        <v>60</v>
      </c>
      <c r="AF50" s="63">
        <v>0</v>
      </c>
      <c r="AG50" s="23">
        <v>0</v>
      </c>
      <c r="AH50" s="63">
        <f>IF(ISNUMBER(Tabella2[[#This Row],[Mean RADIAL stress  (MPa)]]), Tabella2[[#This Row],[Mean RADIAL stress  (MPa)]],"")</f>
        <v>0</v>
      </c>
      <c r="AI50" s="29">
        <f>IF(ISNUMBER(Tabella2[[#This Row],[Amplitute RADIAL stress  (MPa)]]), Tabella2[[#This Row],[Amplitute RADIAL stress  (MPa)]],"")</f>
        <v>0</v>
      </c>
      <c r="AJ50" s="29">
        <f>IF(ISNUMBER(Tabella2[[#This Row],[Mean AXIAL stress  (MPa)]]), IF(Tabella2[[#This Row],[derived from (AXIAL/BENDING) load]]="AXIAL",Tabella2[[#This Row],[Mean AXIAL stress  (MPa)]]*Tabella2[[#This Row],[Area (mm^2)]],"Null"), "")</f>
        <v>2160</v>
      </c>
      <c r="AK5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2160</v>
      </c>
      <c r="AL5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0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0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0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51" spans="1:43" customFormat="1" ht="20.100000000000001" customHeight="1" x14ac:dyDescent="0.25">
      <c r="A51" s="67" t="s">
        <v>96</v>
      </c>
      <c r="B51" s="67">
        <v>2024</v>
      </c>
      <c r="C51" s="67" t="s">
        <v>99</v>
      </c>
      <c r="D51" s="67" t="s">
        <v>123</v>
      </c>
      <c r="E51" s="68">
        <v>91731</v>
      </c>
      <c r="F51" s="67" t="s">
        <v>20</v>
      </c>
      <c r="G51" s="21" t="s">
        <v>101</v>
      </c>
      <c r="H51" s="67" t="e" vm="6">
        <v>#VALUE!</v>
      </c>
      <c r="I51" s="1" t="s">
        <v>160</v>
      </c>
      <c r="J51" s="1" t="s">
        <v>32</v>
      </c>
      <c r="K51" s="1">
        <v>6</v>
      </c>
      <c r="L51" s="1">
        <v>4</v>
      </c>
      <c r="M51" s="1" t="s">
        <v>21</v>
      </c>
      <c r="N51" s="1" t="s">
        <v>21</v>
      </c>
      <c r="O5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1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1" s="1">
        <v>0</v>
      </c>
      <c r="S51" s="1">
        <v>0</v>
      </c>
      <c r="T51" s="1">
        <v>0</v>
      </c>
      <c r="U51" s="64">
        <v>8</v>
      </c>
      <c r="V51" s="64">
        <v>8</v>
      </c>
      <c r="W51" s="64">
        <v>8</v>
      </c>
      <c r="X51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1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1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1" s="49">
        <v>0</v>
      </c>
      <c r="AB51" s="63">
        <v>0</v>
      </c>
      <c r="AC51" s="72">
        <v>158.5</v>
      </c>
      <c r="AD51" s="63">
        <v>158.5</v>
      </c>
      <c r="AE51" s="71" t="s">
        <v>60</v>
      </c>
      <c r="AF51" s="63">
        <v>0</v>
      </c>
      <c r="AG51" s="23">
        <v>0</v>
      </c>
      <c r="AH51" s="63">
        <f>IF(ISNUMBER(Tabella2[[#This Row],[Mean RADIAL stress  (MPa)]]), Tabella2[[#This Row],[Mean RADIAL stress  (MPa)]],"")</f>
        <v>0</v>
      </c>
      <c r="AI51" s="29">
        <f>IF(ISNUMBER(Tabella2[[#This Row],[Amplitute RADIAL stress  (MPa)]]), Tabella2[[#This Row],[Amplitute RADIAL stress  (MPa)]],"")</f>
        <v>0</v>
      </c>
      <c r="AJ51" s="29">
        <f>IF(ISNUMBER(Tabella2[[#This Row],[Mean AXIAL stress  (MPa)]]), IF(Tabella2[[#This Row],[derived from (AXIAL/BENDING) load]]="AXIAL",Tabella2[[#This Row],[Mean AXIAL stress  (MPa)]]*Tabella2[[#This Row],[Area (mm^2)]],"Null"), "")</f>
        <v>3804</v>
      </c>
      <c r="AK5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3804</v>
      </c>
      <c r="AL5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1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1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1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158.5</v>
      </c>
    </row>
    <row r="52" spans="1:43" customFormat="1" ht="20.100000000000001" customHeight="1" x14ac:dyDescent="0.25">
      <c r="A52" s="67" t="s">
        <v>96</v>
      </c>
      <c r="B52" s="67">
        <v>2024</v>
      </c>
      <c r="C52" s="67" t="s">
        <v>99</v>
      </c>
      <c r="D52" s="67" t="s">
        <v>124</v>
      </c>
      <c r="E52" s="68">
        <v>98171</v>
      </c>
      <c r="F52" s="67" t="s">
        <v>20</v>
      </c>
      <c r="G52" s="21" t="s">
        <v>101</v>
      </c>
      <c r="H52" s="67" t="e" vm="6">
        <v>#VALUE!</v>
      </c>
      <c r="I52" s="1" t="s">
        <v>160</v>
      </c>
      <c r="J52" s="1" t="s">
        <v>32</v>
      </c>
      <c r="K52" s="1">
        <v>6</v>
      </c>
      <c r="L52" s="1">
        <v>4</v>
      </c>
      <c r="M52" s="1" t="s">
        <v>21</v>
      </c>
      <c r="N52" s="1" t="s">
        <v>21</v>
      </c>
      <c r="O5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2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2" s="1">
        <v>0</v>
      </c>
      <c r="S52" s="1">
        <v>0</v>
      </c>
      <c r="T52" s="1">
        <v>0</v>
      </c>
      <c r="U52" s="64">
        <v>8</v>
      </c>
      <c r="V52" s="64">
        <v>8</v>
      </c>
      <c r="W52" s="64">
        <v>8</v>
      </c>
      <c r="X52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2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2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2" s="49">
        <v>0</v>
      </c>
      <c r="AB52" s="63">
        <v>0</v>
      </c>
      <c r="AC52" s="72">
        <v>158.5</v>
      </c>
      <c r="AD52" s="63">
        <v>158.5</v>
      </c>
      <c r="AE52" s="71" t="s">
        <v>60</v>
      </c>
      <c r="AF52" s="63">
        <v>0</v>
      </c>
      <c r="AG52" s="23">
        <v>0</v>
      </c>
      <c r="AH52" s="63">
        <f>IF(ISNUMBER(Tabella2[[#This Row],[Mean RADIAL stress  (MPa)]]), Tabella2[[#This Row],[Mean RADIAL stress  (MPa)]],"")</f>
        <v>0</v>
      </c>
      <c r="AI52" s="29">
        <f>IF(ISNUMBER(Tabella2[[#This Row],[Amplitute RADIAL stress  (MPa)]]), Tabella2[[#This Row],[Amplitute RADIAL stress  (MPa)]],"")</f>
        <v>0</v>
      </c>
      <c r="AJ52" s="29">
        <f>IF(ISNUMBER(Tabella2[[#This Row],[Mean AXIAL stress  (MPa)]]), IF(Tabella2[[#This Row],[derived from (AXIAL/BENDING) load]]="AXIAL",Tabella2[[#This Row],[Mean AXIAL stress  (MPa)]]*Tabella2[[#This Row],[Area (mm^2)]],"Null"), "")</f>
        <v>3804</v>
      </c>
      <c r="AK5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3804</v>
      </c>
      <c r="AL5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2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2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2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158.5</v>
      </c>
    </row>
    <row r="53" spans="1:43" customFormat="1" ht="20.100000000000001" customHeight="1" x14ac:dyDescent="0.25">
      <c r="A53" s="67" t="s">
        <v>96</v>
      </c>
      <c r="B53" s="67">
        <v>2024</v>
      </c>
      <c r="C53" s="67" t="s">
        <v>99</v>
      </c>
      <c r="D53" s="67" t="s">
        <v>125</v>
      </c>
      <c r="E53" s="68">
        <v>111717</v>
      </c>
      <c r="F53" s="67" t="s">
        <v>20</v>
      </c>
      <c r="G53" s="21" t="s">
        <v>101</v>
      </c>
      <c r="H53" s="67" t="e" vm="6">
        <v>#VALUE!</v>
      </c>
      <c r="I53" s="1" t="s">
        <v>160</v>
      </c>
      <c r="J53" s="1" t="s">
        <v>32</v>
      </c>
      <c r="K53" s="1">
        <v>6</v>
      </c>
      <c r="L53" s="1">
        <v>4</v>
      </c>
      <c r="M53" s="1" t="s">
        <v>21</v>
      </c>
      <c r="N53" s="1" t="s">
        <v>21</v>
      </c>
      <c r="O5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3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3" s="1">
        <v>0</v>
      </c>
      <c r="S53" s="1">
        <v>0</v>
      </c>
      <c r="T53" s="1">
        <v>0</v>
      </c>
      <c r="U53" s="64">
        <v>8</v>
      </c>
      <c r="V53" s="64">
        <v>8</v>
      </c>
      <c r="W53" s="64">
        <v>8</v>
      </c>
      <c r="X53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3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3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3" s="49">
        <v>0</v>
      </c>
      <c r="AB53" s="63">
        <v>0</v>
      </c>
      <c r="AC53" s="72">
        <v>150</v>
      </c>
      <c r="AD53" s="63">
        <v>150</v>
      </c>
      <c r="AE53" s="71" t="s">
        <v>60</v>
      </c>
      <c r="AF53" s="63">
        <v>0</v>
      </c>
      <c r="AG53" s="23">
        <v>0</v>
      </c>
      <c r="AH53" s="63">
        <f>IF(ISNUMBER(Tabella2[[#This Row],[Mean RADIAL stress  (MPa)]]), Tabella2[[#This Row],[Mean RADIAL stress  (MPa)]],"")</f>
        <v>0</v>
      </c>
      <c r="AI53" s="29">
        <f>IF(ISNUMBER(Tabella2[[#This Row],[Amplitute RADIAL stress  (MPa)]]), Tabella2[[#This Row],[Amplitute RADIAL stress  (MPa)]],"")</f>
        <v>0</v>
      </c>
      <c r="AJ53" s="29">
        <f>IF(ISNUMBER(Tabella2[[#This Row],[Mean AXIAL stress  (MPa)]]), IF(Tabella2[[#This Row],[derived from (AXIAL/BENDING) load]]="AXIAL",Tabella2[[#This Row],[Mean AXIAL stress  (MPa)]]*Tabella2[[#This Row],[Area (mm^2)]],"Null"), "")</f>
        <v>3600</v>
      </c>
      <c r="AK5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3600</v>
      </c>
      <c r="AL5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3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3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3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</row>
    <row r="54" spans="1:43" customFormat="1" ht="20.100000000000001" customHeight="1" x14ac:dyDescent="0.25">
      <c r="A54" s="67" t="s">
        <v>96</v>
      </c>
      <c r="B54" s="67">
        <v>2024</v>
      </c>
      <c r="C54" s="67" t="s">
        <v>99</v>
      </c>
      <c r="D54" s="67" t="s">
        <v>126</v>
      </c>
      <c r="E54" s="68">
        <v>129814</v>
      </c>
      <c r="F54" s="67" t="s">
        <v>20</v>
      </c>
      <c r="G54" s="21" t="s">
        <v>101</v>
      </c>
      <c r="H54" s="67" t="e" vm="6">
        <v>#VALUE!</v>
      </c>
      <c r="I54" s="1" t="s">
        <v>160</v>
      </c>
      <c r="J54" s="1" t="s">
        <v>32</v>
      </c>
      <c r="K54" s="1">
        <v>6</v>
      </c>
      <c r="L54" s="1">
        <v>4</v>
      </c>
      <c r="M54" s="1" t="s">
        <v>21</v>
      </c>
      <c r="N54" s="1" t="s">
        <v>21</v>
      </c>
      <c r="O5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4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4" s="1">
        <v>0</v>
      </c>
      <c r="S54" s="1">
        <v>0</v>
      </c>
      <c r="T54" s="1">
        <v>0</v>
      </c>
      <c r="U54" s="64">
        <v>8</v>
      </c>
      <c r="V54" s="64">
        <v>8</v>
      </c>
      <c r="W54" s="64">
        <v>8</v>
      </c>
      <c r="X54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4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4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4" s="49">
        <v>0</v>
      </c>
      <c r="AB54" s="63">
        <v>0</v>
      </c>
      <c r="AC54" s="72">
        <v>153</v>
      </c>
      <c r="AD54" s="63">
        <v>153</v>
      </c>
      <c r="AE54" s="71" t="s">
        <v>60</v>
      </c>
      <c r="AF54" s="63">
        <v>0</v>
      </c>
      <c r="AG54" s="23">
        <v>0</v>
      </c>
      <c r="AH54" s="63">
        <f>IF(ISNUMBER(Tabella2[[#This Row],[Mean RADIAL stress  (MPa)]]), Tabella2[[#This Row],[Mean RADIAL stress  (MPa)]],"")</f>
        <v>0</v>
      </c>
      <c r="AI54" s="29">
        <f>IF(ISNUMBER(Tabella2[[#This Row],[Amplitute RADIAL stress  (MPa)]]), Tabella2[[#This Row],[Amplitute RADIAL stress  (MPa)]],"")</f>
        <v>0</v>
      </c>
      <c r="AJ54" s="29">
        <f>IF(ISNUMBER(Tabella2[[#This Row],[Mean AXIAL stress  (MPa)]]), IF(Tabella2[[#This Row],[derived from (AXIAL/BENDING) load]]="AXIAL",Tabella2[[#This Row],[Mean AXIAL stress  (MPa)]]*Tabella2[[#This Row],[Area (mm^2)]],"Null"), "")</f>
        <v>3672</v>
      </c>
      <c r="AK5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3672</v>
      </c>
      <c r="AL5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4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4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4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153</v>
      </c>
    </row>
    <row r="55" spans="1:43" customFormat="1" ht="20.100000000000001" customHeight="1" x14ac:dyDescent="0.25">
      <c r="A55" s="67" t="s">
        <v>96</v>
      </c>
      <c r="B55" s="67">
        <v>2024</v>
      </c>
      <c r="C55" s="67" t="s">
        <v>99</v>
      </c>
      <c r="D55" s="67" t="s">
        <v>127</v>
      </c>
      <c r="E55" s="68">
        <v>220373</v>
      </c>
      <c r="F55" s="67" t="s">
        <v>20</v>
      </c>
      <c r="G55" s="21" t="s">
        <v>101</v>
      </c>
      <c r="H55" s="67" t="e" vm="6">
        <v>#VALUE!</v>
      </c>
      <c r="I55" s="1" t="s">
        <v>160</v>
      </c>
      <c r="J55" s="1" t="s">
        <v>32</v>
      </c>
      <c r="K55" s="1">
        <v>6</v>
      </c>
      <c r="L55" s="1">
        <v>4</v>
      </c>
      <c r="M55" s="1" t="s">
        <v>21</v>
      </c>
      <c r="N55" s="1" t="s">
        <v>21</v>
      </c>
      <c r="O5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5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5" s="1">
        <v>0</v>
      </c>
      <c r="S55" s="1">
        <v>0</v>
      </c>
      <c r="T55" s="1">
        <v>0</v>
      </c>
      <c r="U55" s="64">
        <v>8</v>
      </c>
      <c r="V55" s="64">
        <v>8</v>
      </c>
      <c r="W55" s="64">
        <v>8</v>
      </c>
      <c r="X55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5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5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5" s="49">
        <v>0</v>
      </c>
      <c r="AB55" s="63">
        <v>0</v>
      </c>
      <c r="AC55" s="72">
        <v>146</v>
      </c>
      <c r="AD55" s="63">
        <v>146</v>
      </c>
      <c r="AE55" s="71" t="s">
        <v>60</v>
      </c>
      <c r="AF55" s="63">
        <v>0</v>
      </c>
      <c r="AG55" s="23">
        <v>0</v>
      </c>
      <c r="AH55" s="63">
        <f>IF(ISNUMBER(Tabella2[[#This Row],[Mean RADIAL stress  (MPa)]]), Tabella2[[#This Row],[Mean RADIAL stress  (MPa)]],"")</f>
        <v>0</v>
      </c>
      <c r="AI55" s="29">
        <f>IF(ISNUMBER(Tabella2[[#This Row],[Amplitute RADIAL stress  (MPa)]]), Tabella2[[#This Row],[Amplitute RADIAL stress  (MPa)]],"")</f>
        <v>0</v>
      </c>
      <c r="AJ55" s="29">
        <f>IF(ISNUMBER(Tabella2[[#This Row],[Mean AXIAL stress  (MPa)]]), IF(Tabella2[[#This Row],[derived from (AXIAL/BENDING) load]]="AXIAL",Tabella2[[#This Row],[Mean AXIAL stress  (MPa)]]*Tabella2[[#This Row],[Area (mm^2)]],"Null"), "")</f>
        <v>3504</v>
      </c>
      <c r="AK5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3504</v>
      </c>
      <c r="AL5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5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5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5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146</v>
      </c>
    </row>
    <row r="56" spans="1:43" customFormat="1" ht="20.100000000000001" customHeight="1" x14ac:dyDescent="0.25">
      <c r="A56" s="67" t="s">
        <v>96</v>
      </c>
      <c r="B56" s="67">
        <v>2024</v>
      </c>
      <c r="C56" s="67" t="s">
        <v>99</v>
      </c>
      <c r="D56" s="67" t="s">
        <v>128</v>
      </c>
      <c r="E56" s="68">
        <v>223607</v>
      </c>
      <c r="F56" s="67" t="s">
        <v>20</v>
      </c>
      <c r="G56" s="21" t="s">
        <v>101</v>
      </c>
      <c r="H56" s="67" t="e" vm="6">
        <v>#VALUE!</v>
      </c>
      <c r="I56" s="1" t="s">
        <v>160</v>
      </c>
      <c r="J56" s="1" t="s">
        <v>32</v>
      </c>
      <c r="K56" s="1">
        <v>6</v>
      </c>
      <c r="L56" s="1">
        <v>4</v>
      </c>
      <c r="M56" s="1" t="s">
        <v>21</v>
      </c>
      <c r="N56" s="1" t="s">
        <v>21</v>
      </c>
      <c r="O5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6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6" s="1">
        <v>0</v>
      </c>
      <c r="S56" s="1">
        <v>0</v>
      </c>
      <c r="T56" s="1">
        <v>0</v>
      </c>
      <c r="U56" s="64">
        <v>8</v>
      </c>
      <c r="V56" s="64">
        <v>8</v>
      </c>
      <c r="W56" s="64">
        <v>8</v>
      </c>
      <c r="X56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6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6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6" s="49">
        <v>0</v>
      </c>
      <c r="AB56" s="63">
        <v>0</v>
      </c>
      <c r="AC56" s="72">
        <v>146.5</v>
      </c>
      <c r="AD56" s="63">
        <v>146.5</v>
      </c>
      <c r="AE56" s="71" t="s">
        <v>60</v>
      </c>
      <c r="AF56" s="63">
        <v>0</v>
      </c>
      <c r="AG56" s="23">
        <v>0</v>
      </c>
      <c r="AH56" s="63">
        <f>IF(ISNUMBER(Tabella2[[#This Row],[Mean RADIAL stress  (MPa)]]), Tabella2[[#This Row],[Mean RADIAL stress  (MPa)]],"")</f>
        <v>0</v>
      </c>
      <c r="AI56" s="29">
        <f>IF(ISNUMBER(Tabella2[[#This Row],[Amplitute RADIAL stress  (MPa)]]), Tabella2[[#This Row],[Amplitute RADIAL stress  (MPa)]],"")</f>
        <v>0</v>
      </c>
      <c r="AJ56" s="29">
        <f>IF(ISNUMBER(Tabella2[[#This Row],[Mean AXIAL stress  (MPa)]]), IF(Tabella2[[#This Row],[derived from (AXIAL/BENDING) load]]="AXIAL",Tabella2[[#This Row],[Mean AXIAL stress  (MPa)]]*Tabella2[[#This Row],[Area (mm^2)]],"Null"), "")</f>
        <v>3516</v>
      </c>
      <c r="AK5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3516</v>
      </c>
      <c r="AL5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6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6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6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146.5</v>
      </c>
    </row>
    <row r="57" spans="1:43" customFormat="1" ht="20.100000000000001" customHeight="1" x14ac:dyDescent="0.25">
      <c r="A57" s="67" t="s">
        <v>96</v>
      </c>
      <c r="B57" s="67">
        <v>2024</v>
      </c>
      <c r="C57" s="67" t="s">
        <v>99</v>
      </c>
      <c r="D57" s="67" t="s">
        <v>129</v>
      </c>
      <c r="E57" s="68">
        <v>249456</v>
      </c>
      <c r="F57" s="67" t="s">
        <v>20</v>
      </c>
      <c r="G57" s="21" t="s">
        <v>101</v>
      </c>
      <c r="H57" s="67" t="e" vm="6">
        <v>#VALUE!</v>
      </c>
      <c r="I57" s="1" t="s">
        <v>160</v>
      </c>
      <c r="J57" s="1" t="s">
        <v>32</v>
      </c>
      <c r="K57" s="1">
        <v>6</v>
      </c>
      <c r="L57" s="1">
        <v>4</v>
      </c>
      <c r="M57" s="1" t="s">
        <v>21</v>
      </c>
      <c r="N57" s="1" t="s">
        <v>21</v>
      </c>
      <c r="O5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7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7" s="1">
        <v>0</v>
      </c>
      <c r="S57" s="1">
        <v>0</v>
      </c>
      <c r="T57" s="1">
        <v>0</v>
      </c>
      <c r="U57" s="64">
        <v>8</v>
      </c>
      <c r="V57" s="64">
        <v>8</v>
      </c>
      <c r="W57" s="64">
        <v>8</v>
      </c>
      <c r="X57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7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7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7" s="49">
        <v>0</v>
      </c>
      <c r="AB57" s="63">
        <v>0</v>
      </c>
      <c r="AC57" s="72">
        <v>137.5</v>
      </c>
      <c r="AD57" s="63">
        <v>137.5</v>
      </c>
      <c r="AE57" s="71" t="s">
        <v>60</v>
      </c>
      <c r="AF57" s="63">
        <v>0</v>
      </c>
      <c r="AG57" s="23">
        <v>0</v>
      </c>
      <c r="AH57" s="63">
        <f>IF(ISNUMBER(Tabella2[[#This Row],[Mean RADIAL stress  (MPa)]]), Tabella2[[#This Row],[Mean RADIAL stress  (MPa)]],"")</f>
        <v>0</v>
      </c>
      <c r="AI57" s="29">
        <f>IF(ISNUMBER(Tabella2[[#This Row],[Amplitute RADIAL stress  (MPa)]]), Tabella2[[#This Row],[Amplitute RADIAL stress  (MPa)]],"")</f>
        <v>0</v>
      </c>
      <c r="AJ57" s="29">
        <f>IF(ISNUMBER(Tabella2[[#This Row],[Mean AXIAL stress  (MPa)]]), IF(Tabella2[[#This Row],[derived from (AXIAL/BENDING) load]]="AXIAL",Tabella2[[#This Row],[Mean AXIAL stress  (MPa)]]*Tabella2[[#This Row],[Area (mm^2)]],"Null"), "")</f>
        <v>3300</v>
      </c>
      <c r="AK5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3300</v>
      </c>
      <c r="AL5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7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7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7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</row>
    <row r="58" spans="1:43" customFormat="1" ht="20.100000000000001" customHeight="1" x14ac:dyDescent="0.25">
      <c r="A58" s="67" t="s">
        <v>96</v>
      </c>
      <c r="B58" s="67">
        <v>2024</v>
      </c>
      <c r="C58" s="67" t="s">
        <v>99</v>
      </c>
      <c r="D58" s="67" t="s">
        <v>130</v>
      </c>
      <c r="E58" s="68">
        <v>283473</v>
      </c>
      <c r="F58" s="67" t="s">
        <v>20</v>
      </c>
      <c r="G58" s="21" t="s">
        <v>101</v>
      </c>
      <c r="H58" s="67" t="e" vm="6">
        <v>#VALUE!</v>
      </c>
      <c r="I58" s="1" t="s">
        <v>160</v>
      </c>
      <c r="J58" s="1" t="s">
        <v>32</v>
      </c>
      <c r="K58" s="1">
        <v>6</v>
      </c>
      <c r="L58" s="1">
        <v>4</v>
      </c>
      <c r="M58" s="1" t="s">
        <v>21</v>
      </c>
      <c r="N58" s="1" t="s">
        <v>21</v>
      </c>
      <c r="O5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8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8" s="1">
        <v>0</v>
      </c>
      <c r="S58" s="1">
        <v>0</v>
      </c>
      <c r="T58" s="1">
        <v>0</v>
      </c>
      <c r="U58" s="64">
        <v>8</v>
      </c>
      <c r="V58" s="64">
        <v>8</v>
      </c>
      <c r="W58" s="64">
        <v>8</v>
      </c>
      <c r="X58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8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8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8" s="49">
        <v>0</v>
      </c>
      <c r="AB58" s="63">
        <v>0</v>
      </c>
      <c r="AC58" s="72">
        <v>133.5</v>
      </c>
      <c r="AD58" s="63">
        <v>133.5</v>
      </c>
      <c r="AE58" s="71" t="s">
        <v>60</v>
      </c>
      <c r="AF58" s="63">
        <v>0</v>
      </c>
      <c r="AG58" s="23">
        <v>0</v>
      </c>
      <c r="AH58" s="63">
        <f>IF(ISNUMBER(Tabella2[[#This Row],[Mean RADIAL stress  (MPa)]]), Tabella2[[#This Row],[Mean RADIAL stress  (MPa)]],"")</f>
        <v>0</v>
      </c>
      <c r="AI58" s="29">
        <f>IF(ISNUMBER(Tabella2[[#This Row],[Amplitute RADIAL stress  (MPa)]]), Tabella2[[#This Row],[Amplitute RADIAL stress  (MPa)]],"")</f>
        <v>0</v>
      </c>
      <c r="AJ58" s="29">
        <f>IF(ISNUMBER(Tabella2[[#This Row],[Mean AXIAL stress  (MPa)]]), IF(Tabella2[[#This Row],[derived from (AXIAL/BENDING) load]]="AXIAL",Tabella2[[#This Row],[Mean AXIAL stress  (MPa)]]*Tabella2[[#This Row],[Area (mm^2)]],"Null"), "")</f>
        <v>3204</v>
      </c>
      <c r="AK5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3204</v>
      </c>
      <c r="AL5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8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8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8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133.5</v>
      </c>
    </row>
    <row r="59" spans="1:43" customFormat="1" ht="20.100000000000001" customHeight="1" x14ac:dyDescent="0.25">
      <c r="A59" s="67" t="s">
        <v>96</v>
      </c>
      <c r="B59" s="67">
        <v>2024</v>
      </c>
      <c r="C59" s="67" t="s">
        <v>99</v>
      </c>
      <c r="D59" s="67" t="s">
        <v>131</v>
      </c>
      <c r="E59" s="68">
        <v>337118</v>
      </c>
      <c r="F59" s="67" t="s">
        <v>20</v>
      </c>
      <c r="G59" s="21" t="s">
        <v>101</v>
      </c>
      <c r="H59" s="67" t="e" vm="6">
        <v>#VALUE!</v>
      </c>
      <c r="I59" s="1" t="s">
        <v>160</v>
      </c>
      <c r="J59" s="1" t="s">
        <v>32</v>
      </c>
      <c r="K59" s="1">
        <v>6</v>
      </c>
      <c r="L59" s="1">
        <v>4</v>
      </c>
      <c r="M59" s="1" t="s">
        <v>21</v>
      </c>
      <c r="N59" s="1" t="s">
        <v>21</v>
      </c>
      <c r="O5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9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9" s="1">
        <v>0</v>
      </c>
      <c r="S59" s="1">
        <v>0</v>
      </c>
      <c r="T59" s="1">
        <v>0</v>
      </c>
      <c r="U59" s="64">
        <v>8</v>
      </c>
      <c r="V59" s="64">
        <v>8</v>
      </c>
      <c r="W59" s="64">
        <v>8</v>
      </c>
      <c r="X59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9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9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9" s="49">
        <v>0</v>
      </c>
      <c r="AB59" s="63">
        <v>0</v>
      </c>
      <c r="AC59" s="72">
        <v>141.5</v>
      </c>
      <c r="AD59" s="63">
        <v>141.5</v>
      </c>
      <c r="AE59" s="71" t="s">
        <v>60</v>
      </c>
      <c r="AF59" s="63">
        <v>0</v>
      </c>
      <c r="AG59" s="23">
        <v>0</v>
      </c>
      <c r="AH59" s="63">
        <f>IF(ISNUMBER(Tabella2[[#This Row],[Mean RADIAL stress  (MPa)]]), Tabella2[[#This Row],[Mean RADIAL stress  (MPa)]],"")</f>
        <v>0</v>
      </c>
      <c r="AI59" s="29">
        <f>IF(ISNUMBER(Tabella2[[#This Row],[Amplitute RADIAL stress  (MPa)]]), Tabella2[[#This Row],[Amplitute RADIAL stress  (MPa)]],"")</f>
        <v>0</v>
      </c>
      <c r="AJ59" s="29">
        <f>IF(ISNUMBER(Tabella2[[#This Row],[Mean AXIAL stress  (MPa)]]), IF(Tabella2[[#This Row],[derived from (AXIAL/BENDING) load]]="AXIAL",Tabella2[[#This Row],[Mean AXIAL stress  (MPa)]]*Tabella2[[#This Row],[Area (mm^2)]],"Null"), "")</f>
        <v>3396</v>
      </c>
      <c r="AK5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3396</v>
      </c>
      <c r="AL5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9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9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9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141.5</v>
      </c>
    </row>
    <row r="60" spans="1:43" customFormat="1" ht="20.100000000000001" customHeight="1" x14ac:dyDescent="0.25">
      <c r="A60" s="67" t="s">
        <v>96</v>
      </c>
      <c r="B60" s="67">
        <v>2024</v>
      </c>
      <c r="C60" s="67" t="s">
        <v>99</v>
      </c>
      <c r="D60" s="67" t="s">
        <v>132</v>
      </c>
      <c r="E60" s="68">
        <v>347909</v>
      </c>
      <c r="F60" s="67" t="s">
        <v>20</v>
      </c>
      <c r="G60" s="21" t="s">
        <v>101</v>
      </c>
      <c r="H60" s="67" t="e" vm="6">
        <v>#VALUE!</v>
      </c>
      <c r="I60" s="1" t="s">
        <v>160</v>
      </c>
      <c r="J60" s="1" t="s">
        <v>32</v>
      </c>
      <c r="K60" s="1">
        <v>6</v>
      </c>
      <c r="L60" s="1">
        <v>4</v>
      </c>
      <c r="M60" s="1" t="s">
        <v>21</v>
      </c>
      <c r="N60" s="1" t="s">
        <v>21</v>
      </c>
      <c r="O6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0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0" s="1">
        <v>0</v>
      </c>
      <c r="S60" s="1">
        <v>0</v>
      </c>
      <c r="T60" s="1">
        <v>0</v>
      </c>
      <c r="U60" s="64">
        <v>8</v>
      </c>
      <c r="V60" s="64">
        <v>8</v>
      </c>
      <c r="W60" s="64">
        <v>8</v>
      </c>
      <c r="X60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0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0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0" s="49">
        <v>0</v>
      </c>
      <c r="AB60" s="63">
        <v>0</v>
      </c>
      <c r="AC60" s="72">
        <v>144</v>
      </c>
      <c r="AD60" s="63">
        <v>144</v>
      </c>
      <c r="AE60" s="71" t="s">
        <v>60</v>
      </c>
      <c r="AF60" s="63">
        <v>0</v>
      </c>
      <c r="AG60" s="23">
        <v>0</v>
      </c>
      <c r="AH60" s="63">
        <f>IF(ISNUMBER(Tabella2[[#This Row],[Mean RADIAL stress  (MPa)]]), Tabella2[[#This Row],[Mean RADIAL stress  (MPa)]],"")</f>
        <v>0</v>
      </c>
      <c r="AI60" s="29">
        <f>IF(ISNUMBER(Tabella2[[#This Row],[Amplitute RADIAL stress  (MPa)]]), Tabella2[[#This Row],[Amplitute RADIAL stress  (MPa)]],"")</f>
        <v>0</v>
      </c>
      <c r="AJ60" s="29">
        <f>IF(ISNUMBER(Tabella2[[#This Row],[Mean AXIAL stress  (MPa)]]), IF(Tabella2[[#This Row],[derived from (AXIAL/BENDING) load]]="AXIAL",Tabella2[[#This Row],[Mean AXIAL stress  (MPa)]]*Tabella2[[#This Row],[Area (mm^2)]],"Null"), "")</f>
        <v>3456</v>
      </c>
      <c r="AK6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3456</v>
      </c>
      <c r="AL6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0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0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0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144</v>
      </c>
    </row>
    <row r="61" spans="1:43" customFormat="1" ht="20.100000000000001" customHeight="1" x14ac:dyDescent="0.25">
      <c r="A61" s="67" t="s">
        <v>96</v>
      </c>
      <c r="B61" s="67">
        <v>2024</v>
      </c>
      <c r="C61" s="67" t="s">
        <v>99</v>
      </c>
      <c r="D61" s="67" t="s">
        <v>133</v>
      </c>
      <c r="E61" s="68">
        <v>415552</v>
      </c>
      <c r="F61" s="67" t="s">
        <v>20</v>
      </c>
      <c r="G61" s="21" t="s">
        <v>101</v>
      </c>
      <c r="H61" s="67" t="e" vm="6">
        <v>#VALUE!</v>
      </c>
      <c r="I61" s="1" t="s">
        <v>160</v>
      </c>
      <c r="J61" s="1" t="s">
        <v>32</v>
      </c>
      <c r="K61" s="1">
        <v>6</v>
      </c>
      <c r="L61" s="1">
        <v>4</v>
      </c>
      <c r="M61" s="1" t="s">
        <v>21</v>
      </c>
      <c r="N61" s="1" t="s">
        <v>21</v>
      </c>
      <c r="O6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1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1" s="1">
        <v>0</v>
      </c>
      <c r="S61" s="1">
        <v>0</v>
      </c>
      <c r="T61" s="1">
        <v>0</v>
      </c>
      <c r="U61" s="64">
        <v>8</v>
      </c>
      <c r="V61" s="64">
        <v>8</v>
      </c>
      <c r="W61" s="64">
        <v>8</v>
      </c>
      <c r="X61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1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1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1" s="49">
        <v>0</v>
      </c>
      <c r="AB61" s="63">
        <v>0</v>
      </c>
      <c r="AC61" s="72">
        <v>125</v>
      </c>
      <c r="AD61" s="63">
        <v>125</v>
      </c>
      <c r="AE61" s="71" t="s">
        <v>60</v>
      </c>
      <c r="AF61" s="63">
        <v>0</v>
      </c>
      <c r="AG61" s="23">
        <v>0</v>
      </c>
      <c r="AH61" s="63">
        <f>IF(ISNUMBER(Tabella2[[#This Row],[Mean RADIAL stress  (MPa)]]), Tabella2[[#This Row],[Mean RADIAL stress  (MPa)]],"")</f>
        <v>0</v>
      </c>
      <c r="AI61" s="29">
        <f>IF(ISNUMBER(Tabella2[[#This Row],[Amplitute RADIAL stress  (MPa)]]), Tabella2[[#This Row],[Amplitute RADIAL stress  (MPa)]],"")</f>
        <v>0</v>
      </c>
      <c r="AJ61" s="29">
        <f>IF(ISNUMBER(Tabella2[[#This Row],[Mean AXIAL stress  (MPa)]]), IF(Tabella2[[#This Row],[derived from (AXIAL/BENDING) load]]="AXIAL",Tabella2[[#This Row],[Mean AXIAL stress  (MPa)]]*Tabella2[[#This Row],[Area (mm^2)]],"Null"), "")</f>
        <v>3000</v>
      </c>
      <c r="AK6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3000</v>
      </c>
      <c r="AL6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1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1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1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62" spans="1:43" customFormat="1" ht="20.100000000000001" customHeight="1" x14ac:dyDescent="0.25">
      <c r="A62" s="67" t="s">
        <v>96</v>
      </c>
      <c r="B62" s="67">
        <v>2024</v>
      </c>
      <c r="C62" s="67" t="s">
        <v>99</v>
      </c>
      <c r="D62" s="67" t="s">
        <v>134</v>
      </c>
      <c r="E62" s="68">
        <v>424117</v>
      </c>
      <c r="F62" s="67" t="s">
        <v>20</v>
      </c>
      <c r="G62" s="21" t="s">
        <v>101</v>
      </c>
      <c r="H62" s="67" t="e" vm="6">
        <v>#VALUE!</v>
      </c>
      <c r="I62" s="1" t="s">
        <v>160</v>
      </c>
      <c r="J62" s="1" t="s">
        <v>32</v>
      </c>
      <c r="K62" s="1">
        <v>6</v>
      </c>
      <c r="L62" s="1">
        <v>4</v>
      </c>
      <c r="M62" s="1" t="s">
        <v>21</v>
      </c>
      <c r="N62" s="1" t="s">
        <v>21</v>
      </c>
      <c r="O6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2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2" s="1">
        <v>0</v>
      </c>
      <c r="S62" s="1">
        <v>0</v>
      </c>
      <c r="T62" s="1">
        <v>0</v>
      </c>
      <c r="U62" s="64">
        <v>8</v>
      </c>
      <c r="V62" s="64">
        <v>8</v>
      </c>
      <c r="W62" s="64">
        <v>8</v>
      </c>
      <c r="X62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2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2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2" s="49">
        <v>0</v>
      </c>
      <c r="AB62" s="63">
        <v>0</v>
      </c>
      <c r="AC62" s="72">
        <v>150</v>
      </c>
      <c r="AD62" s="63">
        <v>150</v>
      </c>
      <c r="AE62" s="71" t="s">
        <v>60</v>
      </c>
      <c r="AF62" s="63">
        <v>0</v>
      </c>
      <c r="AG62" s="23">
        <v>0</v>
      </c>
      <c r="AH62" s="63">
        <f>IF(ISNUMBER(Tabella2[[#This Row],[Mean RADIAL stress  (MPa)]]), Tabella2[[#This Row],[Mean RADIAL stress  (MPa)]],"")</f>
        <v>0</v>
      </c>
      <c r="AI62" s="29">
        <f>IF(ISNUMBER(Tabella2[[#This Row],[Amplitute RADIAL stress  (MPa)]]), Tabella2[[#This Row],[Amplitute RADIAL stress  (MPa)]],"")</f>
        <v>0</v>
      </c>
      <c r="AJ62" s="29">
        <f>IF(ISNUMBER(Tabella2[[#This Row],[Mean AXIAL stress  (MPa)]]), IF(Tabella2[[#This Row],[derived from (AXIAL/BENDING) load]]="AXIAL",Tabella2[[#This Row],[Mean AXIAL stress  (MPa)]]*Tabella2[[#This Row],[Area (mm^2)]],"Null"), "")</f>
        <v>3600</v>
      </c>
      <c r="AK6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3600</v>
      </c>
      <c r="AL6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2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2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2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</row>
    <row r="63" spans="1:43" customFormat="1" ht="20.100000000000001" customHeight="1" x14ac:dyDescent="0.25">
      <c r="A63" s="67" t="s">
        <v>96</v>
      </c>
      <c r="B63" s="67">
        <v>2024</v>
      </c>
      <c r="C63" s="67" t="s">
        <v>99</v>
      </c>
      <c r="D63" s="67" t="s">
        <v>135</v>
      </c>
      <c r="E63" s="68">
        <v>660562</v>
      </c>
      <c r="F63" s="67" t="s">
        <v>20</v>
      </c>
      <c r="G63" s="21" t="s">
        <v>101</v>
      </c>
      <c r="H63" s="67" t="e" vm="6">
        <v>#VALUE!</v>
      </c>
      <c r="I63" s="1" t="s">
        <v>160</v>
      </c>
      <c r="J63" s="1" t="s">
        <v>32</v>
      </c>
      <c r="K63" s="1">
        <v>6</v>
      </c>
      <c r="L63" s="1">
        <v>4</v>
      </c>
      <c r="M63" s="1" t="s">
        <v>21</v>
      </c>
      <c r="N63" s="1" t="s">
        <v>21</v>
      </c>
      <c r="O6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3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3" s="1">
        <v>0</v>
      </c>
      <c r="S63" s="1">
        <v>0</v>
      </c>
      <c r="T63" s="1">
        <v>0</v>
      </c>
      <c r="U63" s="64">
        <v>8</v>
      </c>
      <c r="V63" s="64">
        <v>8</v>
      </c>
      <c r="W63" s="64">
        <v>8</v>
      </c>
      <c r="X63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3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3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3" s="49">
        <v>0</v>
      </c>
      <c r="AB63" s="63">
        <v>0</v>
      </c>
      <c r="AC63" s="72">
        <v>129</v>
      </c>
      <c r="AD63" s="63">
        <v>129</v>
      </c>
      <c r="AE63" s="71" t="s">
        <v>60</v>
      </c>
      <c r="AF63" s="63">
        <v>0</v>
      </c>
      <c r="AG63" s="23">
        <v>0</v>
      </c>
      <c r="AH63" s="63">
        <f>IF(ISNUMBER(Tabella2[[#This Row],[Mean RADIAL stress  (MPa)]]), Tabella2[[#This Row],[Mean RADIAL stress  (MPa)]],"")</f>
        <v>0</v>
      </c>
      <c r="AI63" s="29">
        <f>IF(ISNUMBER(Tabella2[[#This Row],[Amplitute RADIAL stress  (MPa)]]), Tabella2[[#This Row],[Amplitute RADIAL stress  (MPa)]],"")</f>
        <v>0</v>
      </c>
      <c r="AJ63" s="29">
        <f>IF(ISNUMBER(Tabella2[[#This Row],[Mean AXIAL stress  (MPa)]]), IF(Tabella2[[#This Row],[derived from (AXIAL/BENDING) load]]="AXIAL",Tabella2[[#This Row],[Mean AXIAL stress  (MPa)]]*Tabella2[[#This Row],[Area (mm^2)]],"Null"), "")</f>
        <v>3096</v>
      </c>
      <c r="AK6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3096</v>
      </c>
      <c r="AL6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3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3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3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</v>
      </c>
    </row>
    <row r="64" spans="1:43" customFormat="1" ht="20.100000000000001" customHeight="1" x14ac:dyDescent="0.25">
      <c r="A64" s="67" t="s">
        <v>96</v>
      </c>
      <c r="B64" s="67">
        <v>2024</v>
      </c>
      <c r="C64" s="67" t="s">
        <v>99</v>
      </c>
      <c r="D64" s="67" t="s">
        <v>136</v>
      </c>
      <c r="E64" s="68">
        <v>2134445</v>
      </c>
      <c r="F64" s="67" t="s">
        <v>32</v>
      </c>
      <c r="G64" s="21" t="s">
        <v>101</v>
      </c>
      <c r="H64" s="67" t="e" vm="6">
        <v>#VALUE!</v>
      </c>
      <c r="I64" s="1" t="s">
        <v>160</v>
      </c>
      <c r="J64" s="1" t="s">
        <v>32</v>
      </c>
      <c r="K64" s="1">
        <v>6</v>
      </c>
      <c r="L64" s="1">
        <v>4</v>
      </c>
      <c r="M64" s="1" t="s">
        <v>21</v>
      </c>
      <c r="N64" s="1" t="s">
        <v>21</v>
      </c>
      <c r="O6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4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4" s="1">
        <v>0</v>
      </c>
      <c r="S64" s="1">
        <v>0</v>
      </c>
      <c r="T64" s="1">
        <v>0</v>
      </c>
      <c r="U64" s="64">
        <v>8</v>
      </c>
      <c r="V64" s="64">
        <v>8</v>
      </c>
      <c r="W64" s="64">
        <v>8</v>
      </c>
      <c r="X64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4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4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4" s="49">
        <v>0</v>
      </c>
      <c r="AB64" s="63">
        <v>0</v>
      </c>
      <c r="AC64" s="72">
        <v>121</v>
      </c>
      <c r="AD64" s="63">
        <v>121</v>
      </c>
      <c r="AE64" s="71" t="s">
        <v>60</v>
      </c>
      <c r="AF64" s="63">
        <v>0</v>
      </c>
      <c r="AG64" s="23">
        <v>0</v>
      </c>
      <c r="AH64" s="63">
        <f>IF(ISNUMBER(Tabella2[[#This Row],[Mean RADIAL stress  (MPa)]]), Tabella2[[#This Row],[Mean RADIAL stress  (MPa)]],"")</f>
        <v>0</v>
      </c>
      <c r="AI64" s="29">
        <f>IF(ISNUMBER(Tabella2[[#This Row],[Amplitute RADIAL stress  (MPa)]]), Tabella2[[#This Row],[Amplitute RADIAL stress  (MPa)]],"")</f>
        <v>0</v>
      </c>
      <c r="AJ64" s="29">
        <f>IF(ISNUMBER(Tabella2[[#This Row],[Mean AXIAL stress  (MPa)]]), IF(Tabella2[[#This Row],[derived from (AXIAL/BENDING) load]]="AXIAL",Tabella2[[#This Row],[Mean AXIAL stress  (MPa)]]*Tabella2[[#This Row],[Area (mm^2)]],"Null"), "")</f>
        <v>2904</v>
      </c>
      <c r="AK6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2904</v>
      </c>
      <c r="AL6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4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4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4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121</v>
      </c>
    </row>
    <row r="65" spans="1:43" ht="20.100000000000001" customHeight="1" x14ac:dyDescent="0.25">
      <c r="A65" s="67" t="s">
        <v>96</v>
      </c>
      <c r="B65" s="67">
        <v>2024</v>
      </c>
      <c r="C65" s="67" t="s">
        <v>99</v>
      </c>
      <c r="D65" s="67" t="s">
        <v>137</v>
      </c>
      <c r="E65" s="68">
        <v>2366590</v>
      </c>
      <c r="F65" s="67" t="s">
        <v>32</v>
      </c>
      <c r="G65" s="21" t="s">
        <v>101</v>
      </c>
      <c r="H65" s="67" t="e" vm="6">
        <v>#VALUE!</v>
      </c>
      <c r="I65" s="1" t="s">
        <v>160</v>
      </c>
      <c r="J65" s="1" t="s">
        <v>32</v>
      </c>
      <c r="K65" s="1">
        <v>6</v>
      </c>
      <c r="L65" s="1">
        <v>4</v>
      </c>
      <c r="M65" s="1" t="s">
        <v>21</v>
      </c>
      <c r="N65" s="1" t="s">
        <v>21</v>
      </c>
      <c r="O6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5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5" s="1">
        <v>0</v>
      </c>
      <c r="S65" s="1">
        <v>0</v>
      </c>
      <c r="T65" s="1">
        <v>0</v>
      </c>
      <c r="U65" s="64">
        <v>8</v>
      </c>
      <c r="V65" s="64">
        <v>8</v>
      </c>
      <c r="W65" s="64">
        <v>8</v>
      </c>
      <c r="X65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5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5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5" s="49">
        <v>0</v>
      </c>
      <c r="AB65" s="63">
        <v>0</v>
      </c>
      <c r="AC65" s="72">
        <v>137.5</v>
      </c>
      <c r="AD65" s="63">
        <v>137.5</v>
      </c>
      <c r="AE65" s="71" t="s">
        <v>60</v>
      </c>
      <c r="AF65" s="63">
        <v>0</v>
      </c>
      <c r="AG65" s="23">
        <v>0</v>
      </c>
      <c r="AH65" s="63">
        <f>IF(ISNUMBER(Tabella2[[#This Row],[Mean RADIAL stress  (MPa)]]), Tabella2[[#This Row],[Mean RADIAL stress  (MPa)]],"")</f>
        <v>0</v>
      </c>
      <c r="AI65" s="29">
        <f>IF(ISNUMBER(Tabella2[[#This Row],[Amplitute RADIAL stress  (MPa)]]), Tabella2[[#This Row],[Amplitute RADIAL stress  (MPa)]],"")</f>
        <v>0</v>
      </c>
      <c r="AJ65" s="29">
        <f>IF(ISNUMBER(Tabella2[[#This Row],[Mean AXIAL stress  (MPa)]]), IF(Tabella2[[#This Row],[derived from (AXIAL/BENDING) load]]="AXIAL",Tabella2[[#This Row],[Mean AXIAL stress  (MPa)]]*Tabella2[[#This Row],[Area (mm^2)]],"Null"), "")</f>
        <v>3300</v>
      </c>
      <c r="AK6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3300</v>
      </c>
      <c r="AL6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5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5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5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</row>
    <row r="66" spans="1:43" ht="20.100000000000001" customHeight="1" x14ac:dyDescent="0.25">
      <c r="A66" s="67" t="s">
        <v>96</v>
      </c>
      <c r="B66" s="67">
        <v>2024</v>
      </c>
      <c r="C66" s="67" t="s">
        <v>99</v>
      </c>
      <c r="D66" s="67" t="s">
        <v>138</v>
      </c>
      <c r="E66" s="68">
        <v>2400000</v>
      </c>
      <c r="F66" s="67" t="s">
        <v>32</v>
      </c>
      <c r="G66" s="21" t="s">
        <v>101</v>
      </c>
      <c r="H66" s="67" t="e" vm="6">
        <v>#VALUE!</v>
      </c>
      <c r="I66" s="1" t="s">
        <v>160</v>
      </c>
      <c r="J66" s="1" t="s">
        <v>32</v>
      </c>
      <c r="K66" s="1">
        <v>6</v>
      </c>
      <c r="L66" s="1">
        <v>4</v>
      </c>
      <c r="M66" s="1" t="s">
        <v>21</v>
      </c>
      <c r="N66" s="1" t="s">
        <v>21</v>
      </c>
      <c r="O6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6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6" s="1">
        <v>0</v>
      </c>
      <c r="S66" s="1">
        <v>0</v>
      </c>
      <c r="T66" s="1">
        <v>0</v>
      </c>
      <c r="U66" s="64">
        <v>8</v>
      </c>
      <c r="V66" s="64">
        <v>8</v>
      </c>
      <c r="W66" s="64">
        <v>8</v>
      </c>
      <c r="X66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6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6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6" s="49">
        <v>0</v>
      </c>
      <c r="AB66" s="63">
        <v>0</v>
      </c>
      <c r="AC66" s="72">
        <v>133.5</v>
      </c>
      <c r="AD66" s="63">
        <v>133.5</v>
      </c>
      <c r="AE66" s="71" t="s">
        <v>60</v>
      </c>
      <c r="AF66" s="63">
        <v>0</v>
      </c>
      <c r="AG66" s="23">
        <v>0</v>
      </c>
      <c r="AH66" s="63">
        <f>IF(ISNUMBER(Tabella2[[#This Row],[Mean RADIAL stress  (MPa)]]), Tabella2[[#This Row],[Mean RADIAL stress  (MPa)]],"")</f>
        <v>0</v>
      </c>
      <c r="AI66" s="29">
        <f>IF(ISNUMBER(Tabella2[[#This Row],[Amplitute RADIAL stress  (MPa)]]), Tabella2[[#This Row],[Amplitute RADIAL stress  (MPa)]],"")</f>
        <v>0</v>
      </c>
      <c r="AJ66" s="29">
        <f>IF(ISNUMBER(Tabella2[[#This Row],[Mean AXIAL stress  (MPa)]]), IF(Tabella2[[#This Row],[derived from (AXIAL/BENDING) load]]="AXIAL",Tabella2[[#This Row],[Mean AXIAL stress  (MPa)]]*Tabella2[[#This Row],[Area (mm^2)]],"Null"), "")</f>
        <v>3204</v>
      </c>
      <c r="AK6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3204</v>
      </c>
      <c r="AL6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6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6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6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133.5</v>
      </c>
    </row>
    <row r="67" spans="1:43" ht="20.100000000000001" customHeight="1" x14ac:dyDescent="0.25">
      <c r="A67" s="67" t="s">
        <v>96</v>
      </c>
      <c r="B67" s="67">
        <v>2024</v>
      </c>
      <c r="C67" s="67" t="s">
        <v>99</v>
      </c>
      <c r="D67" s="67" t="s">
        <v>139</v>
      </c>
      <c r="E67" s="68">
        <v>2596329</v>
      </c>
      <c r="F67" s="67" t="s">
        <v>32</v>
      </c>
      <c r="G67" s="21" t="s">
        <v>101</v>
      </c>
      <c r="H67" s="67" t="e" vm="6">
        <v>#VALUE!</v>
      </c>
      <c r="I67" s="1" t="s">
        <v>160</v>
      </c>
      <c r="J67" s="1" t="s">
        <v>32</v>
      </c>
      <c r="K67" s="1">
        <v>6</v>
      </c>
      <c r="L67" s="1">
        <v>4</v>
      </c>
      <c r="M67" s="1" t="s">
        <v>21</v>
      </c>
      <c r="N67" s="1" t="s">
        <v>21</v>
      </c>
      <c r="O6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7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7" s="1">
        <v>0</v>
      </c>
      <c r="S67" s="1">
        <v>0</v>
      </c>
      <c r="T67" s="1">
        <v>0</v>
      </c>
      <c r="U67" s="64">
        <v>8</v>
      </c>
      <c r="V67" s="64">
        <v>8</v>
      </c>
      <c r="W67" s="64">
        <v>8</v>
      </c>
      <c r="X67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7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7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7" s="49">
        <v>0</v>
      </c>
      <c r="AB67" s="63">
        <v>0</v>
      </c>
      <c r="AC67" s="72">
        <v>129</v>
      </c>
      <c r="AD67" s="63">
        <v>129</v>
      </c>
      <c r="AE67" s="71" t="s">
        <v>60</v>
      </c>
      <c r="AF67" s="63">
        <v>0</v>
      </c>
      <c r="AG67" s="23">
        <v>0</v>
      </c>
      <c r="AH67" s="63">
        <f>IF(ISNUMBER(Tabella2[[#This Row],[Mean RADIAL stress  (MPa)]]), Tabella2[[#This Row],[Mean RADIAL stress  (MPa)]],"")</f>
        <v>0</v>
      </c>
      <c r="AI67" s="29">
        <f>IF(ISNUMBER(Tabella2[[#This Row],[Amplitute RADIAL stress  (MPa)]]), Tabella2[[#This Row],[Amplitute RADIAL stress  (MPa)]],"")</f>
        <v>0</v>
      </c>
      <c r="AJ67" s="29">
        <f>IF(ISNUMBER(Tabella2[[#This Row],[Mean AXIAL stress  (MPa)]]), IF(Tabella2[[#This Row],[derived from (AXIAL/BENDING) load]]="AXIAL",Tabella2[[#This Row],[Mean AXIAL stress  (MPa)]]*Tabella2[[#This Row],[Area (mm^2)]],"Null"), "")</f>
        <v>3096</v>
      </c>
      <c r="AK6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3096</v>
      </c>
      <c r="AL6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7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7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7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</v>
      </c>
    </row>
    <row r="68" spans="1:43" ht="20.100000000000001" customHeight="1" x14ac:dyDescent="0.25">
      <c r="A68" s="67" t="s">
        <v>96</v>
      </c>
      <c r="B68" s="67">
        <v>2024</v>
      </c>
      <c r="C68" s="67" t="s">
        <v>99</v>
      </c>
      <c r="D68" s="67" t="s">
        <v>140</v>
      </c>
      <c r="E68" s="68">
        <v>2676338</v>
      </c>
      <c r="F68" s="67" t="s">
        <v>32</v>
      </c>
      <c r="G68" s="21" t="s">
        <v>101</v>
      </c>
      <c r="H68" s="67" t="e" vm="6">
        <v>#VALUE!</v>
      </c>
      <c r="I68" s="1" t="s">
        <v>160</v>
      </c>
      <c r="J68" s="1" t="s">
        <v>32</v>
      </c>
      <c r="K68" s="1">
        <v>6</v>
      </c>
      <c r="L68" s="1">
        <v>4</v>
      </c>
      <c r="M68" s="1" t="s">
        <v>21</v>
      </c>
      <c r="N68" s="1" t="s">
        <v>21</v>
      </c>
      <c r="O6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8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8" s="1">
        <v>0</v>
      </c>
      <c r="S68" s="1">
        <v>0</v>
      </c>
      <c r="T68" s="1">
        <v>0</v>
      </c>
      <c r="U68" s="64">
        <v>8</v>
      </c>
      <c r="V68" s="64">
        <v>8</v>
      </c>
      <c r="W68" s="64">
        <v>8</v>
      </c>
      <c r="X68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8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8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8" s="49">
        <v>0</v>
      </c>
      <c r="AB68" s="63">
        <v>0</v>
      </c>
      <c r="AC68" s="72">
        <v>125</v>
      </c>
      <c r="AD68" s="63">
        <v>125</v>
      </c>
      <c r="AE68" s="71" t="s">
        <v>60</v>
      </c>
      <c r="AF68" s="63">
        <v>0</v>
      </c>
      <c r="AG68" s="23">
        <v>0</v>
      </c>
      <c r="AH68" s="63">
        <f>IF(ISNUMBER(Tabella2[[#This Row],[Mean RADIAL stress  (MPa)]]), Tabella2[[#This Row],[Mean RADIAL stress  (MPa)]],"")</f>
        <v>0</v>
      </c>
      <c r="AI68" s="29">
        <f>IF(ISNUMBER(Tabella2[[#This Row],[Amplitute RADIAL stress  (MPa)]]), Tabella2[[#This Row],[Amplitute RADIAL stress  (MPa)]],"")</f>
        <v>0</v>
      </c>
      <c r="AJ68" s="29">
        <f>IF(ISNUMBER(Tabella2[[#This Row],[Mean AXIAL stress  (MPa)]]), IF(Tabella2[[#This Row],[derived from (AXIAL/BENDING) load]]="AXIAL",Tabella2[[#This Row],[Mean AXIAL stress  (MPa)]]*Tabella2[[#This Row],[Area (mm^2)]],"Null"), "")</f>
        <v>3000</v>
      </c>
      <c r="AK6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3000</v>
      </c>
      <c r="AL6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8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8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8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69" spans="1:43" ht="20.100000000000001" customHeight="1" x14ac:dyDescent="0.25">
      <c r="A69" s="67" t="s">
        <v>96</v>
      </c>
      <c r="B69" s="67">
        <v>2024</v>
      </c>
      <c r="C69" s="67" t="s">
        <v>99</v>
      </c>
      <c r="D69" s="67" t="s">
        <v>141</v>
      </c>
      <c r="E69" s="68">
        <v>3456187</v>
      </c>
      <c r="F69" s="67" t="s">
        <v>32</v>
      </c>
      <c r="G69" s="21" t="s">
        <v>101</v>
      </c>
      <c r="H69" s="67" t="e" vm="6">
        <v>#VALUE!</v>
      </c>
      <c r="I69" s="1" t="s">
        <v>160</v>
      </c>
      <c r="J69" s="1" t="s">
        <v>32</v>
      </c>
      <c r="K69" s="1">
        <v>6</v>
      </c>
      <c r="L69" s="1">
        <v>4</v>
      </c>
      <c r="M69" s="1" t="s">
        <v>21</v>
      </c>
      <c r="N69" s="1" t="s">
        <v>21</v>
      </c>
      <c r="O6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9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9" s="1">
        <v>0</v>
      </c>
      <c r="S69" s="1">
        <v>0</v>
      </c>
      <c r="T69" s="1">
        <v>0</v>
      </c>
      <c r="U69" s="64">
        <v>8</v>
      </c>
      <c r="V69" s="64">
        <v>8</v>
      </c>
      <c r="W69" s="64">
        <v>8</v>
      </c>
      <c r="X69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9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9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9" s="49">
        <v>0</v>
      </c>
      <c r="AB69" s="63">
        <v>0</v>
      </c>
      <c r="AC69" s="72">
        <v>125</v>
      </c>
      <c r="AD69" s="63">
        <v>125</v>
      </c>
      <c r="AE69" s="71" t="s">
        <v>60</v>
      </c>
      <c r="AF69" s="63">
        <v>0</v>
      </c>
      <c r="AG69" s="23">
        <v>0</v>
      </c>
      <c r="AH69" s="63">
        <f>IF(ISNUMBER(Tabella2[[#This Row],[Mean RADIAL stress  (MPa)]]), Tabella2[[#This Row],[Mean RADIAL stress  (MPa)]],"")</f>
        <v>0</v>
      </c>
      <c r="AI69" s="29">
        <f>IF(ISNUMBER(Tabella2[[#This Row],[Amplitute RADIAL stress  (MPa)]]), Tabella2[[#This Row],[Amplitute RADIAL stress  (MPa)]],"")</f>
        <v>0</v>
      </c>
      <c r="AJ69" s="29">
        <f>IF(ISNUMBER(Tabella2[[#This Row],[Mean AXIAL stress  (MPa)]]), IF(Tabella2[[#This Row],[derived from (AXIAL/BENDING) load]]="AXIAL",Tabella2[[#This Row],[Mean AXIAL stress  (MPa)]]*Tabella2[[#This Row],[Area (mm^2)]],"Null"), "")</f>
        <v>3000</v>
      </c>
      <c r="AK6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3000</v>
      </c>
      <c r="AL6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9" s="2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9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9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70" spans="1:43" s="67" customFormat="1" ht="20.100000000000001" customHeight="1" x14ac:dyDescent="0.25">
      <c r="A70" s="67" t="s">
        <v>96</v>
      </c>
      <c r="B70" s="67">
        <v>2024</v>
      </c>
      <c r="C70" s="67" t="s">
        <v>99</v>
      </c>
      <c r="D70" s="67" t="s">
        <v>142</v>
      </c>
      <c r="E70" s="68">
        <v>3955089</v>
      </c>
      <c r="F70" s="67" t="s">
        <v>32</v>
      </c>
      <c r="G70" s="21" t="s">
        <v>101</v>
      </c>
      <c r="H70" s="67" t="e" vm="6">
        <v>#VALUE!</v>
      </c>
      <c r="I70" s="67" t="s">
        <v>160</v>
      </c>
      <c r="J70" s="67" t="s">
        <v>32</v>
      </c>
      <c r="K70" s="67">
        <v>6</v>
      </c>
      <c r="L70" s="67">
        <v>4</v>
      </c>
      <c r="M70" s="67" t="s">
        <v>21</v>
      </c>
      <c r="N70" s="67" t="s">
        <v>21</v>
      </c>
      <c r="O70" s="6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70" s="6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70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70" s="67">
        <v>0</v>
      </c>
      <c r="S70" s="67">
        <v>0</v>
      </c>
      <c r="T70" s="67">
        <v>0</v>
      </c>
      <c r="U70" s="69">
        <v>8</v>
      </c>
      <c r="V70" s="69">
        <v>8</v>
      </c>
      <c r="W70" s="69">
        <v>8</v>
      </c>
      <c r="X70" s="70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0" s="70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0" s="70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0" s="63">
        <v>0</v>
      </c>
      <c r="AB70" s="63">
        <v>0</v>
      </c>
      <c r="AC70" s="72">
        <v>137.5</v>
      </c>
      <c r="AD70" s="63">
        <v>137.5</v>
      </c>
      <c r="AE70" s="71" t="s">
        <v>60</v>
      </c>
      <c r="AF70" s="63">
        <v>0</v>
      </c>
      <c r="AG70" s="23">
        <v>0</v>
      </c>
      <c r="AH70" s="63">
        <f>IF(ISNUMBER(Tabella2[[#This Row],[Mean RADIAL stress  (MPa)]]), Tabella2[[#This Row],[Mean RADIAL stress  (MPa)]],"")</f>
        <v>0</v>
      </c>
      <c r="AI70" s="63">
        <f>IF(ISNUMBER(Tabella2[[#This Row],[Amplitute RADIAL stress  (MPa)]]), Tabella2[[#This Row],[Amplitute RADIAL stress  (MPa)]],"")</f>
        <v>0</v>
      </c>
      <c r="AJ70" s="63">
        <f>IF(ISNUMBER(Tabella2[[#This Row],[Mean AXIAL stress  (MPa)]]), IF(Tabella2[[#This Row],[derived from (AXIAL/BENDING) load]]="AXIAL",Tabella2[[#This Row],[Mean AXIAL stress  (MPa)]]*Tabella2[[#This Row],[Area (mm^2)]],"Null"), "")</f>
        <v>3300</v>
      </c>
      <c r="AK70" s="63">
        <f>IF(ISNUMBER(Tabella2[[#This Row],[Amplitute AXIAL stress  (MPa)]]),    IF(Tabella2[[#This Row],[derived from (AXIAL/BENDING) load]]="AXIAL",Tabella2[[#This Row],[Amplitute AXIAL stress  (MPa)]]*Tabella2[[#This Row],[Area (mm^2)]],"Null"), "")</f>
        <v>3300</v>
      </c>
      <c r="AL70" s="6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0" s="6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0" s="6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70" s="2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70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</row>
    <row r="71" spans="1:43" ht="20.100000000000001" customHeight="1" x14ac:dyDescent="0.25">
      <c r="A71" s="67" t="s">
        <v>96</v>
      </c>
      <c r="B71" s="67">
        <v>2024</v>
      </c>
      <c r="C71" s="67" t="s">
        <v>99</v>
      </c>
      <c r="D71" s="67" t="s">
        <v>143</v>
      </c>
      <c r="E71" s="68">
        <v>69975.614335337901</v>
      </c>
      <c r="F71" s="67" t="s">
        <v>20</v>
      </c>
      <c r="G71" s="21" t="s">
        <v>101</v>
      </c>
      <c r="H71" s="67" t="e" vm="7">
        <v>#VALUE!</v>
      </c>
      <c r="I71" s="1" t="s">
        <v>27</v>
      </c>
      <c r="J71" s="1" t="s">
        <v>20</v>
      </c>
      <c r="K71" s="1" t="s">
        <v>21</v>
      </c>
      <c r="L71" s="1" t="s">
        <v>21</v>
      </c>
      <c r="M71" s="1">
        <v>0</v>
      </c>
      <c r="N71" s="1">
        <v>4</v>
      </c>
      <c r="O7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1" s="1">
        <v>0</v>
      </c>
      <c r="S71" s="1">
        <v>0</v>
      </c>
      <c r="T71" s="1">
        <v>0</v>
      </c>
      <c r="U71" s="64">
        <v>8</v>
      </c>
      <c r="V71" s="64">
        <v>8</v>
      </c>
      <c r="W71" s="64">
        <v>8</v>
      </c>
      <c r="X71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1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1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1" s="49">
        <v>0</v>
      </c>
      <c r="AB71" s="63">
        <v>0</v>
      </c>
      <c r="AC71" s="14">
        <f>IF(ISNUMBER([1]!Tabella2[[#This Row],[Amplitute AXIAL stress  (MPa)]]), (1+[1]!Tabella2[[#This Row],[Load ratio (AXIAL)]])*[1]!Tabella2[[#This Row],[Amplitute AXIAL stress  (MPa)]]/(1-[1]!Tabella2[[#This Row],[Load ratio (AXIAL)]]), "Null")</f>
        <v>255.717949373556</v>
      </c>
      <c r="AD71" s="29">
        <v>255.717949373556</v>
      </c>
      <c r="AE71" s="71" t="s">
        <v>60</v>
      </c>
      <c r="AF71" s="63">
        <v>0</v>
      </c>
      <c r="AG71" s="23">
        <v>0</v>
      </c>
      <c r="AH71" s="63">
        <f>IF(ISNUMBER(Tabella2[[#This Row],[Mean RADIAL stress  (MPa)]]), Tabella2[[#This Row],[Mean RADIAL stress  (MPa)]],"")</f>
        <v>0</v>
      </c>
      <c r="AI71" s="29">
        <f>IF(ISNUMBER(Tabella2[[#This Row],[Amplitute RADIAL stress  (MPa)]]), Tabella2[[#This Row],[Amplitute RADIAL stress  (MPa)]],"")</f>
        <v>0</v>
      </c>
      <c r="AJ71" s="29">
        <f>IF(ISNUMBER(Tabella2[[#This Row],[Mean AXIAL stress  (MPa)]]), IF(Tabella2[[#This Row],[derived from (AXIAL/BENDING) load]]="AXIAL",Tabella2[[#This Row],[Mean AXIAL stress  (MPa)]]*Tabella2[[#This Row],[Area (mm^2)]],"Null"), "")</f>
        <v>3213.4465245720407</v>
      </c>
      <c r="AK7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3213.4465245720407</v>
      </c>
      <c r="AL7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1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1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1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255.717949373556</v>
      </c>
    </row>
    <row r="72" spans="1:43" ht="20.100000000000001" customHeight="1" x14ac:dyDescent="0.25">
      <c r="A72" s="67" t="s">
        <v>96</v>
      </c>
      <c r="B72" s="67">
        <v>2024</v>
      </c>
      <c r="C72" s="67" t="s">
        <v>99</v>
      </c>
      <c r="D72" s="67" t="s">
        <v>144</v>
      </c>
      <c r="E72" s="68">
        <v>98291.938165044907</v>
      </c>
      <c r="F72" s="67" t="s">
        <v>20</v>
      </c>
      <c r="G72" s="21" t="s">
        <v>101</v>
      </c>
      <c r="H72" s="67" t="e" vm="8">
        <v>#VALUE!</v>
      </c>
      <c r="I72" s="1" t="s">
        <v>27</v>
      </c>
      <c r="J72" s="1" t="s">
        <v>20</v>
      </c>
      <c r="K72" s="1" t="s">
        <v>21</v>
      </c>
      <c r="L72" s="1" t="s">
        <v>21</v>
      </c>
      <c r="M72" s="1">
        <v>0</v>
      </c>
      <c r="N72" s="1">
        <v>4</v>
      </c>
      <c r="O7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2" s="1">
        <v>0</v>
      </c>
      <c r="S72" s="1">
        <v>0</v>
      </c>
      <c r="T72" s="1">
        <v>0</v>
      </c>
      <c r="U72" s="64">
        <v>8</v>
      </c>
      <c r="V72" s="64">
        <v>8</v>
      </c>
      <c r="W72" s="64">
        <v>8</v>
      </c>
      <c r="X72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2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2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2" s="49">
        <v>0</v>
      </c>
      <c r="AB72" s="63">
        <v>0</v>
      </c>
      <c r="AC72" s="14">
        <f>IF(ISNUMBER([1]!Tabella2[[#This Row],[Amplitute AXIAL stress  (MPa)]]), (1+[1]!Tabella2[[#This Row],[Load ratio (AXIAL)]])*[1]!Tabella2[[#This Row],[Amplitute AXIAL stress  (MPa)]]/(1-[1]!Tabella2[[#This Row],[Load ratio (AXIAL)]]), "Null")</f>
        <v>240.04280092058249</v>
      </c>
      <c r="AD72" s="29">
        <v>240.04280092058249</v>
      </c>
      <c r="AE72" s="71" t="s">
        <v>60</v>
      </c>
      <c r="AF72" s="63">
        <v>0</v>
      </c>
      <c r="AG72" s="23">
        <v>0</v>
      </c>
      <c r="AH72" s="63">
        <f>IF(ISNUMBER(Tabella2[[#This Row],[Mean RADIAL stress  (MPa)]]), Tabella2[[#This Row],[Mean RADIAL stress  (MPa)]],"")</f>
        <v>0</v>
      </c>
      <c r="AI72" s="29">
        <f>IF(ISNUMBER(Tabella2[[#This Row],[Amplitute RADIAL stress  (MPa)]]), Tabella2[[#This Row],[Amplitute RADIAL stress  (MPa)]],"")</f>
        <v>0</v>
      </c>
      <c r="AJ72" s="29">
        <f>IF(ISNUMBER(Tabella2[[#This Row],[Mean AXIAL stress  (MPa)]]), IF(Tabella2[[#This Row],[derived from (AXIAL/BENDING) load]]="AXIAL",Tabella2[[#This Row],[Mean AXIAL stress  (MPa)]]*Tabella2[[#This Row],[Area (mm^2)]],"Null"), "")</f>
        <v>3016.4667996768767</v>
      </c>
      <c r="AK7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3016.4667996768767</v>
      </c>
      <c r="AL7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2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240.04280092058249</v>
      </c>
    </row>
    <row r="73" spans="1:43" ht="20.100000000000001" customHeight="1" x14ac:dyDescent="0.25">
      <c r="A73" s="67" t="s">
        <v>96</v>
      </c>
      <c r="B73" s="67">
        <v>2024</v>
      </c>
      <c r="C73" s="67" t="s">
        <v>99</v>
      </c>
      <c r="D73" s="67" t="s">
        <v>145</v>
      </c>
      <c r="E73" s="68">
        <v>115022.54352295501</v>
      </c>
      <c r="F73" s="67" t="s">
        <v>20</v>
      </c>
      <c r="G73" s="21" t="s">
        <v>101</v>
      </c>
      <c r="H73" s="67" t="e" vm="8">
        <v>#VALUE!</v>
      </c>
      <c r="I73" s="1" t="s">
        <v>27</v>
      </c>
      <c r="J73" s="1" t="s">
        <v>20</v>
      </c>
      <c r="K73" s="1" t="s">
        <v>21</v>
      </c>
      <c r="L73" s="1" t="s">
        <v>21</v>
      </c>
      <c r="M73" s="1">
        <v>0</v>
      </c>
      <c r="N73" s="1">
        <v>4</v>
      </c>
      <c r="O7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3" s="1">
        <v>0</v>
      </c>
      <c r="S73" s="1">
        <v>0</v>
      </c>
      <c r="T73" s="1">
        <v>0</v>
      </c>
      <c r="U73" s="64">
        <v>8</v>
      </c>
      <c r="V73" s="64">
        <v>8</v>
      </c>
      <c r="W73" s="64">
        <v>8</v>
      </c>
      <c r="X73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3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3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3" s="49">
        <v>0</v>
      </c>
      <c r="AB73" s="63">
        <v>0</v>
      </c>
      <c r="AC73" s="14">
        <f>IF(ISNUMBER([1]!Tabella2[[#This Row],[Amplitute AXIAL stress  (MPa)]]), (1+[1]!Tabella2[[#This Row],[Load ratio (AXIAL)]])*[1]!Tabella2[[#This Row],[Amplitute AXIAL stress  (MPa)]]/(1-[1]!Tabella2[[#This Row],[Load ratio (AXIAL)]]), "Null")</f>
        <v>248.279407501717</v>
      </c>
      <c r="AD73" s="29">
        <v>248.279407501717</v>
      </c>
      <c r="AE73" s="71" t="s">
        <v>60</v>
      </c>
      <c r="AF73" s="63">
        <v>0</v>
      </c>
      <c r="AG73" s="23">
        <v>0</v>
      </c>
      <c r="AH73" s="63">
        <f>IF(ISNUMBER(Tabella2[[#This Row],[Mean RADIAL stress  (MPa)]]), Tabella2[[#This Row],[Mean RADIAL stress  (MPa)]],"")</f>
        <v>0</v>
      </c>
      <c r="AI73" s="29">
        <f>IF(ISNUMBER(Tabella2[[#This Row],[Amplitute RADIAL stress  (MPa)]]), Tabella2[[#This Row],[Amplitute RADIAL stress  (MPa)]],"")</f>
        <v>0</v>
      </c>
      <c r="AJ73" s="29">
        <f>IF(ISNUMBER(Tabella2[[#This Row],[Mean AXIAL stress  (MPa)]]), IF(Tabella2[[#This Row],[derived from (AXIAL/BENDING) load]]="AXIAL",Tabella2[[#This Row],[Mean AXIAL stress  (MPa)]]*Tabella2[[#This Row],[Area (mm^2)]],"Null"), "")</f>
        <v>3119.9710505800826</v>
      </c>
      <c r="AK7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3119.9710505800826</v>
      </c>
      <c r="AL7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3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248.279407501717</v>
      </c>
    </row>
    <row r="74" spans="1:43" ht="20.100000000000001" customHeight="1" x14ac:dyDescent="0.25">
      <c r="A74" s="67" t="s">
        <v>96</v>
      </c>
      <c r="B74" s="67">
        <v>2024</v>
      </c>
      <c r="C74" s="67" t="s">
        <v>99</v>
      </c>
      <c r="D74" s="67" t="s">
        <v>146</v>
      </c>
      <c r="E74" s="68">
        <v>138119.68453642901</v>
      </c>
      <c r="F74" s="67" t="s">
        <v>20</v>
      </c>
      <c r="G74" s="21" t="s">
        <v>101</v>
      </c>
      <c r="H74" s="67" t="e" vm="8">
        <v>#VALUE!</v>
      </c>
      <c r="I74" s="1" t="s">
        <v>27</v>
      </c>
      <c r="J74" s="1" t="s">
        <v>20</v>
      </c>
      <c r="K74" s="1" t="s">
        <v>21</v>
      </c>
      <c r="L74" s="1" t="s">
        <v>21</v>
      </c>
      <c r="M74" s="1">
        <v>0</v>
      </c>
      <c r="N74" s="1">
        <v>4</v>
      </c>
      <c r="O7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4" s="1">
        <v>0</v>
      </c>
      <c r="S74" s="1">
        <v>0</v>
      </c>
      <c r="T74" s="1">
        <v>0</v>
      </c>
      <c r="U74" s="64">
        <v>8</v>
      </c>
      <c r="V74" s="64">
        <v>8</v>
      </c>
      <c r="W74" s="64">
        <v>8</v>
      </c>
      <c r="X74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4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4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4" s="49">
        <v>0</v>
      </c>
      <c r="AB74" s="63">
        <v>0</v>
      </c>
      <c r="AC74" s="14">
        <f>IF(ISNUMBER([1]!Tabella2[[#This Row],[Amplitute AXIAL stress  (MPa)]]), (1+[1]!Tabella2[[#This Row],[Load ratio (AXIAL)]])*[1]!Tabella2[[#This Row],[Amplitute AXIAL stress  (MPa)]]/(1-[1]!Tabella2[[#This Row],[Load ratio (AXIAL)]]), "Null")</f>
        <v>241.05724428188401</v>
      </c>
      <c r="AD74" s="29">
        <v>241.05724428188401</v>
      </c>
      <c r="AE74" s="71" t="s">
        <v>60</v>
      </c>
      <c r="AF74" s="63">
        <v>0</v>
      </c>
      <c r="AG74" s="23">
        <v>0</v>
      </c>
      <c r="AH74" s="63">
        <f>IF(ISNUMBER(Tabella2[[#This Row],[Mean RADIAL stress  (MPa)]]), Tabella2[[#This Row],[Mean RADIAL stress  (MPa)]],"")</f>
        <v>0</v>
      </c>
      <c r="AI74" s="29">
        <f>IF(ISNUMBER(Tabella2[[#This Row],[Amplitute RADIAL stress  (MPa)]]), Tabella2[[#This Row],[Amplitute RADIAL stress  (MPa)]],"")</f>
        <v>0</v>
      </c>
      <c r="AJ74" s="29">
        <f>IF(ISNUMBER(Tabella2[[#This Row],[Mean AXIAL stress  (MPa)]]), IF(Tabella2[[#This Row],[derived from (AXIAL/BENDING) load]]="AXIAL",Tabella2[[#This Row],[Mean AXIAL stress  (MPa)]]*Tabella2[[#This Row],[Area (mm^2)]],"Null"), "")</f>
        <v>3029.2146709222679</v>
      </c>
      <c r="AK7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3029.2146709222679</v>
      </c>
      <c r="AL7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4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241.05724428188401</v>
      </c>
    </row>
    <row r="75" spans="1:43" ht="20.100000000000001" customHeight="1" x14ac:dyDescent="0.25">
      <c r="A75" s="67" t="s">
        <v>96</v>
      </c>
      <c r="B75" s="67">
        <v>2024</v>
      </c>
      <c r="C75" s="67" t="s">
        <v>99</v>
      </c>
      <c r="D75" s="67" t="s">
        <v>147</v>
      </c>
      <c r="E75" s="68">
        <v>159528.700623432</v>
      </c>
      <c r="F75" s="67" t="s">
        <v>20</v>
      </c>
      <c r="G75" s="21" t="s">
        <v>101</v>
      </c>
      <c r="H75" s="67" t="e" vm="8">
        <v>#VALUE!</v>
      </c>
      <c r="I75" s="1" t="s">
        <v>27</v>
      </c>
      <c r="J75" s="1" t="s">
        <v>20</v>
      </c>
      <c r="K75" s="1" t="s">
        <v>21</v>
      </c>
      <c r="L75" s="1" t="s">
        <v>21</v>
      </c>
      <c r="M75" s="1">
        <v>0</v>
      </c>
      <c r="N75" s="1">
        <v>4</v>
      </c>
      <c r="O7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5" s="1">
        <v>0</v>
      </c>
      <c r="S75" s="1">
        <v>0</v>
      </c>
      <c r="T75" s="1">
        <v>0</v>
      </c>
      <c r="U75" s="64">
        <v>8</v>
      </c>
      <c r="V75" s="64">
        <v>8</v>
      </c>
      <c r="W75" s="64">
        <v>8</v>
      </c>
      <c r="X75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5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5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5" s="49">
        <v>0</v>
      </c>
      <c r="AB75" s="63">
        <v>0</v>
      </c>
      <c r="AC75" s="14">
        <f>IF(ISNUMBER([1]!Tabella2[[#This Row],[Amplitute AXIAL stress  (MPa)]]), (1+[1]!Tabella2[[#This Row],[Load ratio (AXIAL)]])*[1]!Tabella2[[#This Row],[Amplitute AXIAL stress  (MPa)]]/(1-[1]!Tabella2[[#This Row],[Load ratio (AXIAL)]]), "Null")</f>
        <v>249.32865953394651</v>
      </c>
      <c r="AD75" s="29">
        <v>249.32865953394651</v>
      </c>
      <c r="AE75" s="71" t="s">
        <v>60</v>
      </c>
      <c r="AF75" s="63">
        <v>0</v>
      </c>
      <c r="AG75" s="23">
        <v>0</v>
      </c>
      <c r="AH75" s="63">
        <f>IF(ISNUMBER(Tabella2[[#This Row],[Mean RADIAL stress  (MPa)]]), Tabella2[[#This Row],[Mean RADIAL stress  (MPa)]],"")</f>
        <v>0</v>
      </c>
      <c r="AI75" s="29">
        <f>IF(ISNUMBER(Tabella2[[#This Row],[Amplitute RADIAL stress  (MPa)]]), Tabella2[[#This Row],[Amplitute RADIAL stress  (MPa)]],"")</f>
        <v>0</v>
      </c>
      <c r="AJ75" s="29">
        <f>IF(ISNUMBER(Tabella2[[#This Row],[Mean AXIAL stress  (MPa)]]), IF(Tabella2[[#This Row],[derived from (AXIAL/BENDING) load]]="AXIAL",Tabella2[[#This Row],[Mean AXIAL stress  (MPa)]]*Tabella2[[#This Row],[Area (mm^2)]],"Null"), "")</f>
        <v>3133.1563404849485</v>
      </c>
      <c r="AK7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3133.1563404849485</v>
      </c>
      <c r="AL7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5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249.32865953394651</v>
      </c>
    </row>
    <row r="76" spans="1:43" ht="20.100000000000001" customHeight="1" x14ac:dyDescent="0.25">
      <c r="A76" s="67" t="s">
        <v>96</v>
      </c>
      <c r="B76" s="67">
        <v>2024</v>
      </c>
      <c r="C76" s="67" t="s">
        <v>99</v>
      </c>
      <c r="D76" s="67" t="s">
        <v>148</v>
      </c>
      <c r="E76" s="68">
        <v>184229.698075472</v>
      </c>
      <c r="F76" s="67" t="s">
        <v>20</v>
      </c>
      <c r="G76" s="21" t="s">
        <v>101</v>
      </c>
      <c r="H76" s="67" t="e" vm="8">
        <v>#VALUE!</v>
      </c>
      <c r="I76" s="1" t="s">
        <v>27</v>
      </c>
      <c r="J76" s="1" t="s">
        <v>20</v>
      </c>
      <c r="K76" s="1" t="s">
        <v>21</v>
      </c>
      <c r="L76" s="1" t="s">
        <v>21</v>
      </c>
      <c r="M76" s="1">
        <v>0</v>
      </c>
      <c r="N76" s="1">
        <v>4</v>
      </c>
      <c r="O7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6" s="1">
        <v>0</v>
      </c>
      <c r="S76" s="1">
        <v>0</v>
      </c>
      <c r="T76" s="1">
        <v>0</v>
      </c>
      <c r="U76" s="64">
        <v>8</v>
      </c>
      <c r="V76" s="64">
        <v>8</v>
      </c>
      <c r="W76" s="64">
        <v>8</v>
      </c>
      <c r="X76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6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6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6" s="49">
        <v>0</v>
      </c>
      <c r="AB76" s="63">
        <v>0</v>
      </c>
      <c r="AC76" s="14">
        <f>IF(ISNUMBER([1]!Tabella2[[#This Row],[Amplitute AXIAL stress  (MPa)]]), (1+[1]!Tabella2[[#This Row],[Load ratio (AXIAL)]])*[1]!Tabella2[[#This Row],[Amplitute AXIAL stress  (MPa)]]/(1-[1]!Tabella2[[#This Row],[Load ratio (AXIAL)]]), "Null")</f>
        <v>251.4404850500205</v>
      </c>
      <c r="AD76" s="29">
        <v>251.4404850500205</v>
      </c>
      <c r="AE76" s="71" t="s">
        <v>60</v>
      </c>
      <c r="AF76" s="63">
        <v>0</v>
      </c>
      <c r="AG76" s="23">
        <v>0</v>
      </c>
      <c r="AH76" s="63">
        <f>IF(ISNUMBER(Tabella2[[#This Row],[Mean RADIAL stress  (MPa)]]), Tabella2[[#This Row],[Mean RADIAL stress  (MPa)]],"")</f>
        <v>0</v>
      </c>
      <c r="AI76" s="29">
        <f>IF(ISNUMBER(Tabella2[[#This Row],[Amplitute RADIAL stress  (MPa)]]), Tabella2[[#This Row],[Amplitute RADIAL stress  (MPa)]],"")</f>
        <v>0</v>
      </c>
      <c r="AJ76" s="29">
        <f>IF(ISNUMBER(Tabella2[[#This Row],[Mean AXIAL stress  (MPa)]]), IF(Tabella2[[#This Row],[derived from (AXIAL/BENDING) load]]="AXIAL",Tabella2[[#This Row],[Mean AXIAL stress  (MPa)]]*Tabella2[[#This Row],[Area (mm^2)]],"Null"), "")</f>
        <v>3159.6943225927944</v>
      </c>
      <c r="AK7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3159.6943225927944</v>
      </c>
      <c r="AL7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6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251.4404850500205</v>
      </c>
    </row>
    <row r="77" spans="1:43" ht="20.100000000000001" customHeight="1" x14ac:dyDescent="0.25">
      <c r="A77" s="67" t="s">
        <v>96</v>
      </c>
      <c r="B77" s="67">
        <v>2024</v>
      </c>
      <c r="C77" s="67" t="s">
        <v>99</v>
      </c>
      <c r="D77" s="67" t="s">
        <v>149</v>
      </c>
      <c r="E77" s="68">
        <v>172522.795562466</v>
      </c>
      <c r="F77" s="67" t="s">
        <v>20</v>
      </c>
      <c r="G77" s="21" t="s">
        <v>101</v>
      </c>
      <c r="H77" s="67" t="e" vm="8">
        <v>#VALUE!</v>
      </c>
      <c r="I77" s="1" t="s">
        <v>27</v>
      </c>
      <c r="J77" s="1" t="s">
        <v>20</v>
      </c>
      <c r="K77" s="1" t="s">
        <v>21</v>
      </c>
      <c r="L77" s="1" t="s">
        <v>21</v>
      </c>
      <c r="M77" s="1">
        <v>0</v>
      </c>
      <c r="N77" s="1">
        <v>4</v>
      </c>
      <c r="O7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7" s="1">
        <v>0</v>
      </c>
      <c r="S77" s="1">
        <v>0</v>
      </c>
      <c r="T77" s="1">
        <v>0</v>
      </c>
      <c r="U77" s="64">
        <v>8</v>
      </c>
      <c r="V77" s="64">
        <v>8</v>
      </c>
      <c r="W77" s="64">
        <v>8</v>
      </c>
      <c r="X77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7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7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7" s="49">
        <v>0</v>
      </c>
      <c r="AB77" s="63">
        <v>0</v>
      </c>
      <c r="AC77" s="14">
        <f>IF(ISNUMBER([1]!Tabella2[[#This Row],[Amplitute AXIAL stress  (MPa)]]), (1+[1]!Tabella2[[#This Row],[Load ratio (AXIAL)]])*[1]!Tabella2[[#This Row],[Amplitute AXIAL stress  (MPa)]]/(1-[1]!Tabella2[[#This Row],[Load ratio (AXIAL)]]), "Null")</f>
        <v>241.05724428188401</v>
      </c>
      <c r="AD77" s="29">
        <v>241.05724428188401</v>
      </c>
      <c r="AE77" s="71" t="s">
        <v>60</v>
      </c>
      <c r="AF77" s="63">
        <v>0</v>
      </c>
      <c r="AG77" s="23">
        <v>0</v>
      </c>
      <c r="AH77" s="63">
        <f>IF(ISNUMBER(Tabella2[[#This Row],[Mean RADIAL stress  (MPa)]]), Tabella2[[#This Row],[Mean RADIAL stress  (MPa)]],"")</f>
        <v>0</v>
      </c>
      <c r="AI77" s="29">
        <f>IF(ISNUMBER(Tabella2[[#This Row],[Amplitute RADIAL stress  (MPa)]]), Tabella2[[#This Row],[Amplitute RADIAL stress  (MPa)]],"")</f>
        <v>0</v>
      </c>
      <c r="AJ77" s="29">
        <f>IF(ISNUMBER(Tabella2[[#This Row],[Mean AXIAL stress  (MPa)]]), IF(Tabella2[[#This Row],[derived from (AXIAL/BENDING) load]]="AXIAL",Tabella2[[#This Row],[Mean AXIAL stress  (MPa)]]*Tabella2[[#This Row],[Area (mm^2)]],"Null"), "")</f>
        <v>3029.2146709222679</v>
      </c>
      <c r="AK7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3029.2146709222679</v>
      </c>
      <c r="AL7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7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7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7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241.05724428188401</v>
      </c>
    </row>
    <row r="78" spans="1:43" ht="20.100000000000001" customHeight="1" x14ac:dyDescent="0.25">
      <c r="A78" s="67" t="s">
        <v>96</v>
      </c>
      <c r="B78" s="67">
        <v>2024</v>
      </c>
      <c r="C78" s="67" t="s">
        <v>99</v>
      </c>
      <c r="D78" s="67" t="s">
        <v>150</v>
      </c>
      <c r="E78" s="68">
        <v>221118.01442486999</v>
      </c>
      <c r="F78" s="67" t="s">
        <v>20</v>
      </c>
      <c r="G78" s="21" t="s">
        <v>101</v>
      </c>
      <c r="H78" s="67" t="e" vm="8">
        <v>#VALUE!</v>
      </c>
      <c r="I78" s="1" t="s">
        <v>27</v>
      </c>
      <c r="J78" s="1" t="s">
        <v>20</v>
      </c>
      <c r="K78" s="1" t="s">
        <v>21</v>
      </c>
      <c r="L78" s="1" t="s">
        <v>21</v>
      </c>
      <c r="M78" s="1">
        <v>0</v>
      </c>
      <c r="N78" s="1">
        <v>4</v>
      </c>
      <c r="O7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8" s="1">
        <v>0</v>
      </c>
      <c r="S78" s="1">
        <v>0</v>
      </c>
      <c r="T78" s="1">
        <v>0</v>
      </c>
      <c r="U78" s="64">
        <v>8</v>
      </c>
      <c r="V78" s="64">
        <v>8</v>
      </c>
      <c r="W78" s="64">
        <v>8</v>
      </c>
      <c r="X78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8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8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8" s="49">
        <v>0</v>
      </c>
      <c r="AB78" s="63">
        <v>0</v>
      </c>
      <c r="AC78" s="14">
        <f>IF(ISNUMBER([1]!Tabella2[[#This Row],[Amplitute AXIAL stress  (MPa)]]), (1+[1]!Tabella2[[#This Row],[Load ratio (AXIAL)]])*[1]!Tabella2[[#This Row],[Amplitute AXIAL stress  (MPa)]]/(1-[1]!Tabella2[[#This Row],[Load ratio (AXIAL)]]), "Null")</f>
        <v>224.38026487041699</v>
      </c>
      <c r="AD78" s="29">
        <v>224.38026487041699</v>
      </c>
      <c r="AE78" s="71" t="s">
        <v>60</v>
      </c>
      <c r="AF78" s="63">
        <v>0</v>
      </c>
      <c r="AG78" s="23">
        <v>0</v>
      </c>
      <c r="AH78" s="63">
        <f>IF(ISNUMBER(Tabella2[[#This Row],[Mean RADIAL stress  (MPa)]]), Tabella2[[#This Row],[Mean RADIAL stress  (MPa)]],"")</f>
        <v>0</v>
      </c>
      <c r="AI78" s="29">
        <f>IF(ISNUMBER(Tabella2[[#This Row],[Amplitute RADIAL stress  (MPa)]]), Tabella2[[#This Row],[Amplitute RADIAL stress  (MPa)]],"")</f>
        <v>0</v>
      </c>
      <c r="AJ78" s="29">
        <f>IF(ISNUMBER(Tabella2[[#This Row],[Mean AXIAL stress  (MPa)]]), IF(Tabella2[[#This Row],[derived from (AXIAL/BENDING) load]]="AXIAL",Tabella2[[#This Row],[Mean AXIAL stress  (MPa)]]*Tabella2[[#This Row],[Area (mm^2)]],"Null"), "")</f>
        <v>2819.6455669097359</v>
      </c>
      <c r="AK7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2819.6455669097359</v>
      </c>
      <c r="AL7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8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8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8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</row>
    <row r="79" spans="1:43" ht="20.100000000000001" customHeight="1" x14ac:dyDescent="0.25">
      <c r="A79" s="67" t="s">
        <v>96</v>
      </c>
      <c r="B79" s="67">
        <v>2024</v>
      </c>
      <c r="C79" s="67" t="s">
        <v>99</v>
      </c>
      <c r="D79" s="67" t="s">
        <v>151</v>
      </c>
      <c r="E79" s="68">
        <v>262112.51782478701</v>
      </c>
      <c r="F79" s="67" t="s">
        <v>20</v>
      </c>
      <c r="G79" s="21" t="s">
        <v>101</v>
      </c>
      <c r="H79" s="67" t="e" vm="8">
        <v>#VALUE!</v>
      </c>
      <c r="I79" s="1" t="s">
        <v>27</v>
      </c>
      <c r="J79" s="1" t="s">
        <v>20</v>
      </c>
      <c r="K79" s="1" t="s">
        <v>21</v>
      </c>
      <c r="L79" s="1" t="s">
        <v>21</v>
      </c>
      <c r="M79" s="1">
        <v>0</v>
      </c>
      <c r="N79" s="1">
        <v>4</v>
      </c>
      <c r="O7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9" s="1">
        <v>0</v>
      </c>
      <c r="S79" s="1">
        <v>0</v>
      </c>
      <c r="T79" s="1">
        <v>0</v>
      </c>
      <c r="U79" s="64">
        <v>8</v>
      </c>
      <c r="V79" s="64">
        <v>8</v>
      </c>
      <c r="W79" s="64">
        <v>8</v>
      </c>
      <c r="X79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9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9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9" s="49">
        <v>0</v>
      </c>
      <c r="AB79" s="63">
        <v>0</v>
      </c>
      <c r="AC79" s="14">
        <f>IF(ISNUMBER([1]!Tabella2[[#This Row],[Amplitute AXIAL stress  (MPa)]]), (1+[1]!Tabella2[[#This Row],[Load ratio (AXIAL)]])*[1]!Tabella2[[#This Row],[Amplitute AXIAL stress  (MPa)]]/(1-[1]!Tabella2[[#This Row],[Load ratio (AXIAL)]]), "Null")</f>
        <v>224.38026487041699</v>
      </c>
      <c r="AD79" s="29">
        <v>224.38026487041699</v>
      </c>
      <c r="AE79" s="71" t="s">
        <v>60</v>
      </c>
      <c r="AF79" s="63">
        <v>0</v>
      </c>
      <c r="AG79" s="23">
        <v>0</v>
      </c>
      <c r="AH79" s="63">
        <f>IF(ISNUMBER(Tabella2[[#This Row],[Mean RADIAL stress  (MPa)]]), Tabella2[[#This Row],[Mean RADIAL stress  (MPa)]],"")</f>
        <v>0</v>
      </c>
      <c r="AI79" s="29">
        <f>IF(ISNUMBER(Tabella2[[#This Row],[Amplitute RADIAL stress  (MPa)]]), Tabella2[[#This Row],[Amplitute RADIAL stress  (MPa)]],"")</f>
        <v>0</v>
      </c>
      <c r="AJ79" s="29">
        <f>IF(ISNUMBER(Tabella2[[#This Row],[Mean AXIAL stress  (MPa)]]), IF(Tabella2[[#This Row],[derived from (AXIAL/BENDING) load]]="AXIAL",Tabella2[[#This Row],[Mean AXIAL stress  (MPa)]]*Tabella2[[#This Row],[Area (mm^2)]],"Null"), "")</f>
        <v>2819.6455669097359</v>
      </c>
      <c r="AK7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2819.6455669097359</v>
      </c>
      <c r="AL7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9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9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9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</row>
    <row r="80" spans="1:43" ht="20.100000000000001" customHeight="1" x14ac:dyDescent="0.25">
      <c r="A80" s="67" t="s">
        <v>96</v>
      </c>
      <c r="B80" s="67">
        <v>2024</v>
      </c>
      <c r="C80" s="67" t="s">
        <v>99</v>
      </c>
      <c r="D80" s="67" t="s">
        <v>152</v>
      </c>
      <c r="E80" s="68">
        <v>242231.351892637</v>
      </c>
      <c r="F80" s="67" t="s">
        <v>20</v>
      </c>
      <c r="G80" s="21" t="s">
        <v>101</v>
      </c>
      <c r="H80" s="67" t="e" vm="8">
        <v>#VALUE!</v>
      </c>
      <c r="I80" s="1" t="s">
        <v>27</v>
      </c>
      <c r="J80" s="1" t="s">
        <v>20</v>
      </c>
      <c r="K80" s="1" t="s">
        <v>21</v>
      </c>
      <c r="L80" s="1" t="s">
        <v>21</v>
      </c>
      <c r="M80" s="1">
        <v>0</v>
      </c>
      <c r="N80" s="1">
        <v>4</v>
      </c>
      <c r="O8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0" s="1">
        <v>0</v>
      </c>
      <c r="S80" s="1">
        <v>0</v>
      </c>
      <c r="T80" s="1">
        <v>0</v>
      </c>
      <c r="U80" s="64">
        <v>8</v>
      </c>
      <c r="V80" s="64">
        <v>8</v>
      </c>
      <c r="W80" s="64">
        <v>8</v>
      </c>
      <c r="X80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0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0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0" s="49">
        <v>0</v>
      </c>
      <c r="AB80" s="63">
        <v>0</v>
      </c>
      <c r="AC80" s="14">
        <f>IF(ISNUMBER([1]!Tabella2[[#This Row],[Amplitute AXIAL stress  (MPa)]]), (1+[1]!Tabella2[[#This Row],[Load ratio (AXIAL)]])*[1]!Tabella2[[#This Row],[Amplitute AXIAL stress  (MPa)]]/(1-[1]!Tabella2[[#This Row],[Load ratio (AXIAL)]]), "Null")</f>
        <v>209.739692547478</v>
      </c>
      <c r="AD80" s="29">
        <v>209.739692547478</v>
      </c>
      <c r="AE80" s="71" t="s">
        <v>60</v>
      </c>
      <c r="AF80" s="63">
        <v>0</v>
      </c>
      <c r="AG80" s="23">
        <v>0</v>
      </c>
      <c r="AH80" s="63">
        <f>IF(ISNUMBER(Tabella2[[#This Row],[Mean RADIAL stress  (MPa)]]), Tabella2[[#This Row],[Mean RADIAL stress  (MPa)]],"")</f>
        <v>0</v>
      </c>
      <c r="AI80" s="29">
        <f>IF(ISNUMBER(Tabella2[[#This Row],[Amplitute RADIAL stress  (MPa)]]), Tabella2[[#This Row],[Amplitute RADIAL stress  (MPa)]],"")</f>
        <v>0</v>
      </c>
      <c r="AJ80" s="29">
        <f>IF(ISNUMBER(Tabella2[[#This Row],[Mean AXIAL stress  (MPa)]]), IF(Tabella2[[#This Row],[derived from (AXIAL/BENDING) load]]="AXIAL",Tabella2[[#This Row],[Mean AXIAL stress  (MPa)]]*Tabella2[[#This Row],[Area (mm^2)]],"Null"), "")</f>
        <v>2635.6667090933552</v>
      </c>
      <c r="AK8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2635.6667090933552</v>
      </c>
      <c r="AL8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0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0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0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209.739692547478</v>
      </c>
    </row>
    <row r="81" spans="1:43" ht="20.100000000000001" customHeight="1" x14ac:dyDescent="0.25">
      <c r="A81" s="67" t="s">
        <v>96</v>
      </c>
      <c r="B81" s="67">
        <v>2024</v>
      </c>
      <c r="C81" s="67" t="s">
        <v>99</v>
      </c>
      <c r="D81" s="67" t="s">
        <v>153</v>
      </c>
      <c r="E81" s="68">
        <v>448190.98851836799</v>
      </c>
      <c r="F81" s="67" t="s">
        <v>20</v>
      </c>
      <c r="G81" s="21" t="s">
        <v>101</v>
      </c>
      <c r="H81" s="67" t="e" vm="8">
        <v>#VALUE!</v>
      </c>
      <c r="I81" s="1" t="s">
        <v>27</v>
      </c>
      <c r="J81" s="1" t="s">
        <v>20</v>
      </c>
      <c r="K81" s="1" t="s">
        <v>21</v>
      </c>
      <c r="L81" s="1" t="s">
        <v>21</v>
      </c>
      <c r="M81" s="1">
        <v>0</v>
      </c>
      <c r="N81" s="1">
        <v>4</v>
      </c>
      <c r="O8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1" s="1">
        <v>0</v>
      </c>
      <c r="S81" s="1">
        <v>0</v>
      </c>
      <c r="T81" s="1">
        <v>0</v>
      </c>
      <c r="U81" s="64">
        <v>8</v>
      </c>
      <c r="V81" s="64">
        <v>8</v>
      </c>
      <c r="W81" s="64">
        <v>8</v>
      </c>
      <c r="X81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1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1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1" s="49">
        <v>0</v>
      </c>
      <c r="AB81" s="63">
        <v>0</v>
      </c>
      <c r="AC81" s="14">
        <f>IF(ISNUMBER([1]!Tabella2[[#This Row],[Amplitute AXIAL stress  (MPa)]]), (1+[1]!Tabella2[[#This Row],[Load ratio (AXIAL)]])*[1]!Tabella2[[#This Row],[Amplitute AXIAL stress  (MPa)]]/(1-[1]!Tabella2[[#This Row],[Load ratio (AXIAL)]]), "Null")</f>
        <v>226.28077630597551</v>
      </c>
      <c r="AD81" s="29">
        <v>226.28077630597551</v>
      </c>
      <c r="AE81" s="71" t="s">
        <v>60</v>
      </c>
      <c r="AF81" s="63">
        <v>0</v>
      </c>
      <c r="AG81" s="23">
        <v>0</v>
      </c>
      <c r="AH81" s="63">
        <f>IF(ISNUMBER(Tabella2[[#This Row],[Mean RADIAL stress  (MPa)]]), Tabella2[[#This Row],[Mean RADIAL stress  (MPa)]],"")</f>
        <v>0</v>
      </c>
      <c r="AI81" s="29">
        <f>IF(ISNUMBER(Tabella2[[#This Row],[Amplitute RADIAL stress  (MPa)]]), Tabella2[[#This Row],[Amplitute RADIAL stress  (MPa)]],"")</f>
        <v>0</v>
      </c>
      <c r="AJ81" s="29">
        <f>IF(ISNUMBER(Tabella2[[#This Row],[Mean AXIAL stress  (MPa)]]), IF(Tabella2[[#This Row],[derived from (AXIAL/BENDING) load]]="AXIAL",Tabella2[[#This Row],[Mean AXIAL stress  (MPa)]]*Tabella2[[#This Row],[Area (mm^2)]],"Null"), "")</f>
        <v>2843.5280979657919</v>
      </c>
      <c r="AK8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2843.5280979657919</v>
      </c>
      <c r="AL8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1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1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1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226.28077630597551</v>
      </c>
    </row>
    <row r="82" spans="1:43" ht="20.100000000000001" customHeight="1" x14ac:dyDescent="0.25">
      <c r="A82" s="67" t="s">
        <v>96</v>
      </c>
      <c r="B82" s="67">
        <v>2024</v>
      </c>
      <c r="C82" s="67" t="s">
        <v>99</v>
      </c>
      <c r="D82" s="67" t="s">
        <v>154</v>
      </c>
      <c r="E82" s="68">
        <v>589889.81233492901</v>
      </c>
      <c r="F82" s="67" t="s">
        <v>20</v>
      </c>
      <c r="G82" s="21" t="s">
        <v>101</v>
      </c>
      <c r="H82" s="67" t="e" vm="8">
        <v>#VALUE!</v>
      </c>
      <c r="I82" s="1" t="s">
        <v>27</v>
      </c>
      <c r="J82" s="1" t="s">
        <v>20</v>
      </c>
      <c r="K82" s="1" t="s">
        <v>21</v>
      </c>
      <c r="L82" s="1" t="s">
        <v>21</v>
      </c>
      <c r="M82" s="1">
        <v>0</v>
      </c>
      <c r="N82" s="1">
        <v>4</v>
      </c>
      <c r="O8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2" s="1">
        <v>0</v>
      </c>
      <c r="S82" s="1">
        <v>0</v>
      </c>
      <c r="T82" s="1">
        <v>0</v>
      </c>
      <c r="U82" s="64">
        <v>8</v>
      </c>
      <c r="V82" s="64">
        <v>8</v>
      </c>
      <c r="W82" s="64">
        <v>8</v>
      </c>
      <c r="X82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2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2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2" s="49">
        <v>0</v>
      </c>
      <c r="AB82" s="63">
        <v>0</v>
      </c>
      <c r="AC82" s="14">
        <f>IF(ISNUMBER([1]!Tabella2[[#This Row],[Amplitute AXIAL stress  (MPa)]]), (1+[1]!Tabella2[[#This Row],[Load ratio (AXIAL)]])*[1]!Tabella2[[#This Row],[Amplitute AXIAL stress  (MPa)]]/(1-[1]!Tabella2[[#This Row],[Load ratio (AXIAL)]]), "Null")</f>
        <v>225.32851688727351</v>
      </c>
      <c r="AD82" s="29">
        <v>225.32851688727351</v>
      </c>
      <c r="AE82" s="71" t="s">
        <v>60</v>
      </c>
      <c r="AF82" s="63">
        <v>0</v>
      </c>
      <c r="AG82" s="23">
        <v>0</v>
      </c>
      <c r="AH82" s="63">
        <f>IF(ISNUMBER(Tabella2[[#This Row],[Mean RADIAL stress  (MPa)]]), Tabella2[[#This Row],[Mean RADIAL stress  (MPa)]],"")</f>
        <v>0</v>
      </c>
      <c r="AI82" s="29">
        <f>IF(ISNUMBER(Tabella2[[#This Row],[Amplitute RADIAL stress  (MPa)]]), Tabella2[[#This Row],[Amplitute RADIAL stress  (MPa)]],"")</f>
        <v>0</v>
      </c>
      <c r="AJ82" s="29">
        <f>IF(ISNUMBER(Tabella2[[#This Row],[Mean AXIAL stress  (MPa)]]), IF(Tabella2[[#This Row],[derived from (AXIAL/BENDING) load]]="AXIAL",Tabella2[[#This Row],[Mean AXIAL stress  (MPa)]]*Tabella2[[#This Row],[Area (mm^2)]],"Null"), "")</f>
        <v>2831.5616531893684</v>
      </c>
      <c r="AK8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2831.5616531893684</v>
      </c>
      <c r="AL8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2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225.32851688727351</v>
      </c>
    </row>
    <row r="83" spans="1:43" ht="20.100000000000001" customHeight="1" x14ac:dyDescent="0.25">
      <c r="A83" s="67" t="s">
        <v>96</v>
      </c>
      <c r="B83" s="67">
        <v>2024</v>
      </c>
      <c r="C83" s="67" t="s">
        <v>99</v>
      </c>
      <c r="D83" s="67" t="s">
        <v>155</v>
      </c>
      <c r="E83" s="68">
        <v>613487.81895109196</v>
      </c>
      <c r="F83" s="67" t="s">
        <v>20</v>
      </c>
      <c r="G83" s="21" t="s">
        <v>101</v>
      </c>
      <c r="H83" s="67" t="e" vm="8">
        <v>#VALUE!</v>
      </c>
      <c r="I83" s="1" t="s">
        <v>27</v>
      </c>
      <c r="J83" s="1" t="s">
        <v>20</v>
      </c>
      <c r="K83" s="1" t="s">
        <v>21</v>
      </c>
      <c r="L83" s="1" t="s">
        <v>21</v>
      </c>
      <c r="M83" s="1">
        <v>0</v>
      </c>
      <c r="N83" s="1">
        <v>4</v>
      </c>
      <c r="O8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3" s="1">
        <v>0</v>
      </c>
      <c r="S83" s="1">
        <v>0</v>
      </c>
      <c r="T83" s="1">
        <v>0</v>
      </c>
      <c r="U83" s="64">
        <v>8</v>
      </c>
      <c r="V83" s="64">
        <v>8</v>
      </c>
      <c r="W83" s="64">
        <v>8</v>
      </c>
      <c r="X83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3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3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3" s="49">
        <v>0</v>
      </c>
      <c r="AB83" s="63">
        <v>0</v>
      </c>
      <c r="AC83" s="14">
        <f>IF(ISNUMBER([1]!Tabella2[[#This Row],[Amplitute AXIAL stress  (MPa)]]), (1+[1]!Tabella2[[#This Row],[Load ratio (AXIAL)]])*[1]!Tabella2[[#This Row],[Amplitute AXIAL stress  (MPa)]]/(1-[1]!Tabella2[[#This Row],[Load ratio (AXIAL)]]), "Null")</f>
        <v>224.38026487041699</v>
      </c>
      <c r="AD83" s="29">
        <v>224.38026487041699</v>
      </c>
      <c r="AE83" s="71" t="s">
        <v>60</v>
      </c>
      <c r="AF83" s="63">
        <v>0</v>
      </c>
      <c r="AG83" s="23">
        <v>0</v>
      </c>
      <c r="AH83" s="63">
        <f>IF(ISNUMBER(Tabella2[[#This Row],[Mean RADIAL stress  (MPa)]]), Tabella2[[#This Row],[Mean RADIAL stress  (MPa)]],"")</f>
        <v>0</v>
      </c>
      <c r="AI83" s="29">
        <f>IF(ISNUMBER(Tabella2[[#This Row],[Amplitute RADIAL stress  (MPa)]]), Tabella2[[#This Row],[Amplitute RADIAL stress  (MPa)]],"")</f>
        <v>0</v>
      </c>
      <c r="AJ83" s="29">
        <f>IF(ISNUMBER(Tabella2[[#This Row],[Mean AXIAL stress  (MPa)]]), IF(Tabella2[[#This Row],[derived from (AXIAL/BENDING) load]]="AXIAL",Tabella2[[#This Row],[Mean AXIAL stress  (MPa)]]*Tabella2[[#This Row],[Area (mm^2)]],"Null"), "")</f>
        <v>2819.6455669097359</v>
      </c>
      <c r="AK8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2819.6455669097359</v>
      </c>
      <c r="AL8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3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</row>
    <row r="84" spans="1:43" ht="20.100000000000001" customHeight="1" x14ac:dyDescent="0.25">
      <c r="A84" s="67" t="s">
        <v>96</v>
      </c>
      <c r="B84" s="67">
        <v>2024</v>
      </c>
      <c r="C84" s="67" t="s">
        <v>99</v>
      </c>
      <c r="D84" s="67" t="s">
        <v>156</v>
      </c>
      <c r="E84" s="68">
        <v>1513696.1672995901</v>
      </c>
      <c r="F84" s="67" t="s">
        <v>20</v>
      </c>
      <c r="G84" s="21" t="s">
        <v>101</v>
      </c>
      <c r="H84" s="67" t="e" vm="8">
        <v>#VALUE!</v>
      </c>
      <c r="I84" s="1" t="s">
        <v>27</v>
      </c>
      <c r="J84" s="1" t="s">
        <v>20</v>
      </c>
      <c r="K84" s="1" t="s">
        <v>21</v>
      </c>
      <c r="L84" s="1" t="s">
        <v>21</v>
      </c>
      <c r="M84" s="1">
        <v>0</v>
      </c>
      <c r="N84" s="1">
        <v>4</v>
      </c>
      <c r="O8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4" s="1">
        <v>0</v>
      </c>
      <c r="S84" s="1">
        <v>0</v>
      </c>
      <c r="T84" s="1">
        <v>0</v>
      </c>
      <c r="U84" s="64">
        <v>8</v>
      </c>
      <c r="V84" s="64">
        <v>8</v>
      </c>
      <c r="W84" s="64">
        <v>8</v>
      </c>
      <c r="X84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4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4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4" s="49">
        <v>0</v>
      </c>
      <c r="AB84" s="63">
        <v>0</v>
      </c>
      <c r="AC84" s="14">
        <f>IF(ISNUMBER([1]!Tabella2[[#This Row],[Amplitute AXIAL stress  (MPa)]]), (1+[1]!Tabella2[[#This Row],[Load ratio (AXIAL)]])*[1]!Tabella2[[#This Row],[Amplitute AXIAL stress  (MPa)]]/(1-[1]!Tabella2[[#This Row],[Load ratio (AXIAL)]]), "Null")</f>
        <v>242.07597477585199</v>
      </c>
      <c r="AD84" s="29">
        <v>242.07597477585199</v>
      </c>
      <c r="AE84" s="71" t="s">
        <v>60</v>
      </c>
      <c r="AF84" s="63">
        <v>0</v>
      </c>
      <c r="AG84" s="23">
        <v>0</v>
      </c>
      <c r="AH84" s="63">
        <f>IF(ISNUMBER(Tabella2[[#This Row],[Mean RADIAL stress  (MPa)]]), Tabella2[[#This Row],[Mean RADIAL stress  (MPa)]],"")</f>
        <v>0</v>
      </c>
      <c r="AI84" s="29">
        <f>IF(ISNUMBER(Tabella2[[#This Row],[Amplitute RADIAL stress  (MPa)]]), Tabella2[[#This Row],[Amplitute RADIAL stress  (MPa)]],"")</f>
        <v>0</v>
      </c>
      <c r="AJ84" s="29">
        <f>IF(ISNUMBER(Tabella2[[#This Row],[Mean AXIAL stress  (MPa)]]), IF(Tabella2[[#This Row],[derived from (AXIAL/BENDING) load]]="AXIAL",Tabella2[[#This Row],[Mean AXIAL stress  (MPa)]]*Tabella2[[#This Row],[Area (mm^2)]],"Null"), "")</f>
        <v>3042.0164158656189</v>
      </c>
      <c r="AK8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3042.0164158656189</v>
      </c>
      <c r="AL8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4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242.07597477585199</v>
      </c>
    </row>
    <row r="85" spans="1:43" ht="20.100000000000001" customHeight="1" x14ac:dyDescent="0.25">
      <c r="A85" s="67" t="s">
        <v>96</v>
      </c>
      <c r="B85" s="67">
        <v>2024</v>
      </c>
      <c r="C85" s="67" t="s">
        <v>99</v>
      </c>
      <c r="D85" s="67" t="s">
        <v>157</v>
      </c>
      <c r="E85" s="68">
        <v>10083492.331762001</v>
      </c>
      <c r="F85" s="67" t="s">
        <v>32</v>
      </c>
      <c r="G85" s="21" t="s">
        <v>101</v>
      </c>
      <c r="H85" s="67" t="e" vm="8">
        <v>#VALUE!</v>
      </c>
      <c r="I85" s="1" t="s">
        <v>27</v>
      </c>
      <c r="J85" s="1" t="s">
        <v>20</v>
      </c>
      <c r="K85" s="1" t="s">
        <v>21</v>
      </c>
      <c r="L85" s="1" t="s">
        <v>21</v>
      </c>
      <c r="M85" s="1">
        <v>0</v>
      </c>
      <c r="N85" s="1">
        <v>4</v>
      </c>
      <c r="O8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5" s="1">
        <v>0</v>
      </c>
      <c r="S85" s="1">
        <v>0</v>
      </c>
      <c r="T85" s="1">
        <v>0</v>
      </c>
      <c r="U85" s="64">
        <v>8</v>
      </c>
      <c r="V85" s="64">
        <v>8</v>
      </c>
      <c r="W85" s="64">
        <v>8</v>
      </c>
      <c r="X85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5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5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5" s="49">
        <v>0</v>
      </c>
      <c r="AB85" s="63">
        <v>0</v>
      </c>
      <c r="AC85" s="14">
        <f>IF(ISNUMBER([1]!Tabella2[[#This Row],[Amplitute AXIAL stress  (MPa)]]), (1+[1]!Tabella2[[#This Row],[Load ratio (AXIAL)]])*[1]!Tabella2[[#This Row],[Amplitute AXIAL stress  (MPa)]]/(1-[1]!Tabella2[[#This Row],[Load ratio (AXIAL)]]), "Null")</f>
        <v>215.11447653364851</v>
      </c>
      <c r="AD85" s="29">
        <v>215.11447653364851</v>
      </c>
      <c r="AE85" s="71" t="s">
        <v>60</v>
      </c>
      <c r="AF85" s="63">
        <v>0</v>
      </c>
      <c r="AG85" s="23">
        <v>0</v>
      </c>
      <c r="AH85" s="63">
        <f>IF(ISNUMBER(Tabella2[[#This Row],[Mean RADIAL stress  (MPa)]]), Tabella2[[#This Row],[Mean RADIAL stress  (MPa)]],"")</f>
        <v>0</v>
      </c>
      <c r="AI85" s="29">
        <f>IF(ISNUMBER(Tabella2[[#This Row],[Amplitute RADIAL stress  (MPa)]]), Tabella2[[#This Row],[Amplitute RADIAL stress  (MPa)]],"")</f>
        <v>0</v>
      </c>
      <c r="AJ85" s="29">
        <f>IF(ISNUMBER(Tabella2[[#This Row],[Mean AXIAL stress  (MPa)]]), IF(Tabella2[[#This Row],[derived from (AXIAL/BENDING) load]]="AXIAL",Tabella2[[#This Row],[Mean AXIAL stress  (MPa)]]*Tabella2[[#This Row],[Area (mm^2)]],"Null"), "")</f>
        <v>2703.2082366356963</v>
      </c>
      <c r="AK8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2703.2082366356963</v>
      </c>
      <c r="AL8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5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215.11447653364851</v>
      </c>
    </row>
    <row r="86" spans="1:43" ht="20.100000000000001" customHeight="1" x14ac:dyDescent="0.25">
      <c r="A86" s="67" t="s">
        <v>96</v>
      </c>
      <c r="B86" s="67">
        <v>2024</v>
      </c>
      <c r="C86" s="67" t="s">
        <v>99</v>
      </c>
      <c r="D86" s="67" t="s">
        <v>158</v>
      </c>
      <c r="E86" s="68">
        <v>10080834.9325461</v>
      </c>
      <c r="F86" s="67" t="s">
        <v>32</v>
      </c>
      <c r="G86" s="21" t="s">
        <v>101</v>
      </c>
      <c r="H86" s="67" t="e" vm="8">
        <v>#VALUE!</v>
      </c>
      <c r="I86" s="1" t="s">
        <v>27</v>
      </c>
      <c r="J86" s="1" t="s">
        <v>20</v>
      </c>
      <c r="K86" s="1" t="s">
        <v>21</v>
      </c>
      <c r="L86" s="1" t="s">
        <v>21</v>
      </c>
      <c r="M86" s="1">
        <v>0</v>
      </c>
      <c r="N86" s="1">
        <v>4</v>
      </c>
      <c r="O8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6" s="1">
        <v>0</v>
      </c>
      <c r="S86" s="1">
        <v>0</v>
      </c>
      <c r="T86" s="1">
        <v>0</v>
      </c>
      <c r="U86" s="64">
        <v>8</v>
      </c>
      <c r="V86" s="64">
        <v>8</v>
      </c>
      <c r="W86" s="64">
        <v>8</v>
      </c>
      <c r="X86" s="66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6" s="66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6" s="66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6" s="49">
        <v>0</v>
      </c>
      <c r="AB86" s="63">
        <v>0</v>
      </c>
      <c r="AC86" s="14">
        <f>IF(ISNUMBER([1]!Tabella2[[#This Row],[Amplitute AXIAL stress  (MPa)]]), (1+[1]!Tabella2[[#This Row],[Load ratio (AXIAL)]])*[1]!Tabella2[[#This Row],[Amplitute AXIAL stress  (MPa)]]/(1-[1]!Tabella2[[#This Row],[Load ratio (AXIAL)]]), "Null")</f>
        <v>205.363434036618</v>
      </c>
      <c r="AD86" s="29">
        <v>205.363434036618</v>
      </c>
      <c r="AE86" s="71" t="s">
        <v>60</v>
      </c>
      <c r="AF86" s="63">
        <v>0</v>
      </c>
      <c r="AG86" s="23">
        <v>0</v>
      </c>
      <c r="AH86" s="63">
        <f>IF(ISNUMBER(Tabella2[[#This Row],[Mean RADIAL stress  (MPa)]]), Tabella2[[#This Row],[Mean RADIAL stress  (MPa)]],"")</f>
        <v>0</v>
      </c>
      <c r="AI86" s="29">
        <f>IF(ISNUMBER(Tabella2[[#This Row],[Amplitute RADIAL stress  (MPa)]]), Tabella2[[#This Row],[Amplitute RADIAL stress  (MPa)]],"")</f>
        <v>0</v>
      </c>
      <c r="AJ86" s="29">
        <f>IF(ISNUMBER(Tabella2[[#This Row],[Mean AXIAL stress  (MPa)]]), IF(Tabella2[[#This Row],[derived from (AXIAL/BENDING) load]]="AXIAL",Tabella2[[#This Row],[Mean AXIAL stress  (MPa)]]*Tabella2[[#This Row],[Area (mm^2)]],"Null"), "")</f>
        <v>2580.6730227416447</v>
      </c>
      <c r="AK8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2580.6730227416447</v>
      </c>
      <c r="AL8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6" s="6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205.363434036618</v>
      </c>
    </row>
    <row r="87" spans="1:43" s="17" customFormat="1" ht="20.100000000000001" customHeight="1" thickBot="1" x14ac:dyDescent="0.3">
      <c r="A87" s="17" t="s">
        <v>96</v>
      </c>
      <c r="B87" s="17">
        <v>2024</v>
      </c>
      <c r="C87" s="17" t="s">
        <v>99</v>
      </c>
      <c r="D87" s="17" t="s">
        <v>159</v>
      </c>
      <c r="E87" s="18">
        <v>9947900.5566510092</v>
      </c>
      <c r="F87" s="17" t="s">
        <v>32</v>
      </c>
      <c r="G87" s="22" t="s">
        <v>101</v>
      </c>
      <c r="H87" s="17" t="e" vm="8">
        <v>#VALUE!</v>
      </c>
      <c r="I87" s="17" t="s">
        <v>27</v>
      </c>
      <c r="J87" s="17" t="s">
        <v>20</v>
      </c>
      <c r="K87" s="17" t="s">
        <v>21</v>
      </c>
      <c r="L87" s="17" t="s">
        <v>21</v>
      </c>
      <c r="M87" s="17">
        <v>0</v>
      </c>
      <c r="N87" s="17">
        <v>4</v>
      </c>
      <c r="O87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7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7" s="3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7" s="17">
        <v>0</v>
      </c>
      <c r="S87" s="17">
        <v>0</v>
      </c>
      <c r="T87" s="17">
        <v>0</v>
      </c>
      <c r="U87" s="65">
        <v>8</v>
      </c>
      <c r="V87" s="65">
        <v>8</v>
      </c>
      <c r="W87" s="65">
        <v>8</v>
      </c>
      <c r="X87" s="7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7" s="7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7" s="7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7" s="51">
        <v>0</v>
      </c>
      <c r="AB87" s="19">
        <v>0</v>
      </c>
      <c r="AC87" s="20">
        <f>IF(ISNUMBER([1]!Tabella2[[#This Row],[Amplitute AXIAL stress  (MPa)]]), (1+[1]!Tabella2[[#This Row],[Load ratio (AXIAL)]])*[1]!Tabella2[[#This Row],[Amplitute AXIAL stress  (MPa)]]/(1-[1]!Tabella2[[#This Row],[Load ratio (AXIAL)]]), "Null")</f>
        <v>198.550554026415</v>
      </c>
      <c r="AD87" s="19">
        <v>198.550554026415</v>
      </c>
      <c r="AE87" s="34" t="s">
        <v>60</v>
      </c>
      <c r="AF87" s="19">
        <v>0</v>
      </c>
      <c r="AG87" s="40">
        <v>0</v>
      </c>
      <c r="AH87" s="19">
        <f>IF(ISNUMBER(Tabella2[[#This Row],[Mean RADIAL stress  (MPa)]]), Tabella2[[#This Row],[Mean RADIAL stress  (MPa)]],"")</f>
        <v>0</v>
      </c>
      <c r="AI87" s="19">
        <f>IF(ISNUMBER(Tabella2[[#This Row],[Amplitute RADIAL stress  (MPa)]]), Tabella2[[#This Row],[Amplitute RADIAL stress  (MPa)]],"")</f>
        <v>0</v>
      </c>
      <c r="AJ87" s="19">
        <f>IF(ISNUMBER(Tabella2[[#This Row],[Mean AXIAL stress  (MPa)]]), IF(Tabella2[[#This Row],[derived from (AXIAL/BENDING) load]]="AXIAL",Tabella2[[#This Row],[Mean AXIAL stress  (MPa)]]*Tabella2[[#This Row],[Area (mm^2)]],"Null"), "")</f>
        <v>2495.0598475822749</v>
      </c>
      <c r="AK87" s="19">
        <f>IF(ISNUMBER(Tabella2[[#This Row],[Amplitute AXIAL stress  (MPa)]]),    IF(Tabella2[[#This Row],[derived from (AXIAL/BENDING) load]]="AXIAL",Tabella2[[#This Row],[Amplitute AXIAL stress  (MPa)]]*Tabella2[[#This Row],[Area (mm^2)]],"Null"), "")</f>
        <v>2495.0598475822749</v>
      </c>
      <c r="AL87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7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7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7" s="40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7" s="75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7" s="4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198.550554026415</v>
      </c>
    </row>
    <row r="88" spans="1:43" x14ac:dyDescent="0.25">
      <c r="O88" s="28"/>
      <c r="P88" s="28"/>
      <c r="Z88" s="29"/>
      <c r="AB88" s="63"/>
      <c r="AC88" s="63"/>
      <c r="AD88" s="63"/>
      <c r="AE88" s="71"/>
      <c r="AF88" s="63"/>
      <c r="AG88" s="24"/>
    </row>
    <row r="89" spans="1:43" s="67" customFormat="1" x14ac:dyDescent="0.25">
      <c r="E89" s="72"/>
      <c r="O89" s="68"/>
      <c r="P89" s="68"/>
      <c r="U89" s="68"/>
      <c r="V89" s="68"/>
      <c r="W89" s="68"/>
      <c r="Z89" s="63"/>
      <c r="AA89" s="63"/>
      <c r="AB89" s="63"/>
      <c r="AC89" s="63"/>
      <c r="AD89" s="63"/>
      <c r="AE89" s="71"/>
      <c r="AF89" s="63"/>
      <c r="AG89" s="68"/>
      <c r="AH89" s="63"/>
      <c r="AI89" s="63"/>
      <c r="AJ89" s="63"/>
      <c r="AK89" s="63"/>
      <c r="AL89" s="63"/>
      <c r="AM89" s="63"/>
      <c r="AN89" s="63"/>
      <c r="AO89" s="63"/>
      <c r="AQ89" s="72"/>
    </row>
    <row r="90" spans="1:43" s="67" customFormat="1" x14ac:dyDescent="0.25">
      <c r="E90" s="72"/>
      <c r="O90" s="68"/>
      <c r="P90" s="68"/>
      <c r="U90" s="68"/>
      <c r="V90" s="68"/>
      <c r="W90" s="68"/>
      <c r="Z90" s="63"/>
      <c r="AA90" s="63"/>
      <c r="AB90" s="63"/>
      <c r="AC90" s="63"/>
      <c r="AD90" s="63"/>
      <c r="AE90" s="71"/>
      <c r="AF90" s="63"/>
      <c r="AG90" s="68"/>
      <c r="AH90" s="63"/>
      <c r="AI90" s="63"/>
      <c r="AJ90" s="63"/>
      <c r="AK90" s="63"/>
      <c r="AL90" s="63"/>
      <c r="AM90" s="63"/>
      <c r="AN90" s="63"/>
      <c r="AO90" s="63"/>
      <c r="AQ90" s="72"/>
    </row>
    <row r="91" spans="1:43" s="67" customFormat="1" x14ac:dyDescent="0.25">
      <c r="E91" s="72"/>
      <c r="O91" s="68"/>
      <c r="P91" s="68"/>
      <c r="U91" s="68"/>
      <c r="V91" s="68"/>
      <c r="W91" s="68"/>
      <c r="Z91" s="63"/>
      <c r="AA91" s="63"/>
      <c r="AB91" s="63"/>
      <c r="AC91" s="63"/>
      <c r="AD91" s="63"/>
      <c r="AE91" s="71"/>
      <c r="AF91" s="63"/>
      <c r="AG91" s="68"/>
      <c r="AH91" s="63"/>
      <c r="AI91" s="63"/>
      <c r="AJ91" s="63"/>
      <c r="AK91" s="63"/>
      <c r="AL91" s="63"/>
      <c r="AM91" s="63"/>
      <c r="AN91" s="63"/>
      <c r="AO91" s="63"/>
      <c r="AQ91" s="72"/>
    </row>
    <row r="92" spans="1:43" s="67" customFormat="1" x14ac:dyDescent="0.25">
      <c r="E92" s="72"/>
      <c r="O92" s="68"/>
      <c r="P92" s="68"/>
      <c r="U92" s="68"/>
      <c r="V92" s="68"/>
      <c r="W92" s="68"/>
      <c r="Z92" s="63"/>
      <c r="AA92" s="63"/>
      <c r="AB92" s="63"/>
      <c r="AC92" s="63"/>
      <c r="AD92" s="63"/>
      <c r="AE92" s="71"/>
      <c r="AF92" s="63"/>
      <c r="AG92" s="68"/>
      <c r="AH92" s="63"/>
      <c r="AI92" s="63"/>
      <c r="AJ92" s="63"/>
      <c r="AK92" s="63"/>
      <c r="AL92" s="63"/>
      <c r="AM92" s="63"/>
      <c r="AN92" s="63"/>
      <c r="AO92" s="63"/>
      <c r="AQ92" s="72"/>
    </row>
    <row r="93" spans="1:43" s="67" customFormat="1" x14ac:dyDescent="0.25">
      <c r="E93" s="72"/>
      <c r="O93" s="68"/>
      <c r="P93" s="68"/>
      <c r="U93" s="68"/>
      <c r="V93" s="68"/>
      <c r="W93" s="68"/>
      <c r="Z93" s="63"/>
      <c r="AA93" s="63"/>
      <c r="AB93" s="63"/>
      <c r="AC93" s="63"/>
      <c r="AD93" s="63"/>
      <c r="AE93" s="71"/>
      <c r="AF93" s="63"/>
      <c r="AG93" s="68"/>
      <c r="AH93" s="63"/>
      <c r="AI93" s="63"/>
      <c r="AJ93" s="63"/>
      <c r="AK93" s="63"/>
      <c r="AL93" s="63"/>
      <c r="AM93" s="63"/>
      <c r="AN93" s="63"/>
      <c r="AO93" s="63"/>
      <c r="AQ93" s="72"/>
    </row>
    <row r="94" spans="1:43" s="67" customFormat="1" x14ac:dyDescent="0.25">
      <c r="E94" s="72"/>
      <c r="O94" s="68"/>
      <c r="P94" s="68"/>
      <c r="U94" s="68"/>
      <c r="V94" s="68"/>
      <c r="W94" s="68"/>
      <c r="Z94" s="63"/>
      <c r="AA94" s="63"/>
      <c r="AB94" s="63"/>
      <c r="AC94" s="63"/>
      <c r="AD94" s="63"/>
      <c r="AE94" s="71"/>
      <c r="AF94" s="63"/>
      <c r="AG94" s="68"/>
      <c r="AH94" s="63"/>
      <c r="AI94" s="63"/>
      <c r="AJ94" s="63"/>
      <c r="AK94" s="63"/>
      <c r="AL94" s="63"/>
      <c r="AM94" s="63"/>
      <c r="AN94" s="63"/>
      <c r="AO94" s="63"/>
      <c r="AQ94" s="72"/>
    </row>
    <row r="95" spans="1:43" s="67" customFormat="1" x14ac:dyDescent="0.25">
      <c r="E95" s="72"/>
      <c r="O95" s="68"/>
      <c r="P95" s="68"/>
      <c r="U95" s="68"/>
      <c r="V95" s="68"/>
      <c r="W95" s="68"/>
      <c r="Z95" s="63"/>
      <c r="AA95" s="63"/>
      <c r="AB95" s="63"/>
      <c r="AC95" s="63"/>
      <c r="AD95" s="63"/>
      <c r="AE95" s="71"/>
      <c r="AF95" s="63"/>
      <c r="AG95" s="68"/>
      <c r="AH95" s="63"/>
      <c r="AI95" s="63"/>
      <c r="AJ95" s="63"/>
      <c r="AK95" s="63"/>
      <c r="AL95" s="63"/>
      <c r="AM95" s="63"/>
      <c r="AN95" s="63"/>
      <c r="AO95" s="63"/>
      <c r="AQ95" s="72"/>
    </row>
    <row r="96" spans="1:43" s="67" customFormat="1" ht="17.45" customHeight="1" x14ac:dyDescent="0.25">
      <c r="E96" s="72"/>
      <c r="O96" s="68"/>
      <c r="P96" s="68"/>
      <c r="U96" s="68"/>
      <c r="V96" s="68"/>
      <c r="W96" s="68"/>
      <c r="Z96" s="63"/>
      <c r="AA96" s="63"/>
      <c r="AB96" s="63"/>
      <c r="AC96" s="63"/>
      <c r="AD96" s="63"/>
      <c r="AE96" s="71"/>
      <c r="AF96" s="63"/>
      <c r="AG96" s="68"/>
      <c r="AH96" s="63"/>
      <c r="AI96" s="63"/>
      <c r="AJ96" s="63"/>
      <c r="AK96" s="63"/>
      <c r="AL96" s="63"/>
      <c r="AM96" s="63"/>
      <c r="AN96" s="63"/>
      <c r="AO96" s="63"/>
      <c r="AQ96" s="72"/>
    </row>
    <row r="97" spans="5:43" s="67" customFormat="1" x14ac:dyDescent="0.25">
      <c r="E97" s="72"/>
      <c r="O97" s="68"/>
      <c r="P97" s="68"/>
      <c r="U97" s="68"/>
      <c r="V97" s="68"/>
      <c r="W97" s="68"/>
      <c r="Z97" s="63"/>
      <c r="AA97" s="63"/>
      <c r="AB97" s="63"/>
      <c r="AC97" s="63"/>
      <c r="AD97" s="63"/>
      <c r="AE97" s="71"/>
      <c r="AF97" s="63"/>
      <c r="AG97" s="68"/>
      <c r="AH97" s="63"/>
      <c r="AI97" s="63"/>
      <c r="AJ97" s="63"/>
      <c r="AK97" s="63"/>
      <c r="AL97" s="63"/>
      <c r="AM97" s="63"/>
      <c r="AN97" s="63"/>
      <c r="AO97" s="63"/>
      <c r="AQ97" s="72"/>
    </row>
    <row r="98" spans="5:43" s="67" customFormat="1" x14ac:dyDescent="0.25">
      <c r="E98" s="72"/>
      <c r="O98" s="68"/>
      <c r="P98" s="68"/>
      <c r="U98" s="68"/>
      <c r="V98" s="68"/>
      <c r="W98" s="68"/>
      <c r="Z98" s="63"/>
      <c r="AA98" s="63"/>
      <c r="AB98" s="63"/>
      <c r="AC98" s="63"/>
      <c r="AD98" s="63"/>
      <c r="AE98" s="71"/>
      <c r="AF98" s="63"/>
      <c r="AG98" s="68"/>
      <c r="AH98" s="63"/>
      <c r="AI98" s="63"/>
      <c r="AJ98" s="63"/>
      <c r="AK98" s="63"/>
      <c r="AL98" s="63"/>
      <c r="AM98" s="63"/>
      <c r="AN98" s="63"/>
      <c r="AO98" s="63"/>
      <c r="AQ98" s="72"/>
    </row>
    <row r="99" spans="5:43" s="67" customFormat="1" x14ac:dyDescent="0.25">
      <c r="E99" s="72"/>
      <c r="O99" s="68"/>
      <c r="P99" s="68"/>
      <c r="U99" s="68"/>
      <c r="V99" s="68"/>
      <c r="W99" s="68"/>
      <c r="Z99" s="63"/>
      <c r="AA99" s="63"/>
      <c r="AB99" s="63"/>
      <c r="AC99" s="63"/>
      <c r="AD99" s="63"/>
      <c r="AE99" s="71"/>
      <c r="AF99" s="63"/>
      <c r="AG99" s="68"/>
      <c r="AH99" s="63"/>
      <c r="AI99" s="63"/>
      <c r="AJ99" s="63"/>
      <c r="AK99" s="63"/>
      <c r="AL99" s="63"/>
      <c r="AM99" s="63"/>
      <c r="AN99" s="63"/>
      <c r="AO99" s="63"/>
      <c r="AQ99" s="72"/>
    </row>
    <row r="100" spans="5:43" s="67" customFormat="1" x14ac:dyDescent="0.25">
      <c r="E100" s="72"/>
      <c r="O100" s="68"/>
      <c r="P100" s="68"/>
      <c r="U100" s="68"/>
      <c r="V100" s="68"/>
      <c r="W100" s="68"/>
      <c r="Z100" s="63"/>
      <c r="AA100" s="63"/>
      <c r="AB100" s="76"/>
      <c r="AC100" s="76"/>
      <c r="AD100" s="63"/>
      <c r="AE100" s="71"/>
      <c r="AF100" s="63"/>
      <c r="AG100" s="68"/>
      <c r="AH100" s="63"/>
      <c r="AI100" s="63"/>
      <c r="AJ100" s="63"/>
      <c r="AK100" s="63"/>
      <c r="AL100" s="63"/>
      <c r="AM100" s="63"/>
      <c r="AN100" s="63"/>
      <c r="AO100" s="63"/>
      <c r="AQ100" s="72"/>
    </row>
    <row r="101" spans="5:43" s="67" customFormat="1" x14ac:dyDescent="0.25">
      <c r="E101" s="72"/>
      <c r="O101" s="68"/>
      <c r="P101" s="68"/>
      <c r="U101" s="68"/>
      <c r="V101" s="68"/>
      <c r="W101" s="68"/>
      <c r="Z101" s="63"/>
      <c r="AA101" s="63"/>
      <c r="AB101" s="76"/>
      <c r="AC101" s="76"/>
      <c r="AD101" s="63"/>
      <c r="AE101" s="71"/>
      <c r="AF101" s="63"/>
      <c r="AG101" s="68"/>
      <c r="AH101" s="63"/>
      <c r="AI101" s="63"/>
      <c r="AJ101" s="63"/>
      <c r="AK101" s="63"/>
      <c r="AL101" s="63"/>
      <c r="AM101" s="63"/>
      <c r="AN101" s="63"/>
      <c r="AO101" s="63"/>
      <c r="AQ101" s="72"/>
    </row>
    <row r="102" spans="5:43" s="67" customFormat="1" x14ac:dyDescent="0.25">
      <c r="E102" s="72"/>
      <c r="O102" s="68"/>
      <c r="P102" s="68"/>
      <c r="U102" s="68"/>
      <c r="V102" s="68"/>
      <c r="W102" s="68"/>
      <c r="Z102" s="63"/>
      <c r="AA102" s="63"/>
      <c r="AB102" s="76"/>
      <c r="AC102" s="76"/>
      <c r="AD102" s="63"/>
      <c r="AE102" s="71"/>
      <c r="AF102" s="63"/>
      <c r="AG102" s="68"/>
      <c r="AH102" s="63"/>
      <c r="AI102" s="63"/>
      <c r="AJ102" s="63"/>
      <c r="AK102" s="63"/>
      <c r="AL102" s="63"/>
      <c r="AM102" s="63"/>
      <c r="AN102" s="63"/>
      <c r="AO102" s="63"/>
      <c r="AQ102" s="72"/>
    </row>
    <row r="103" spans="5:43" s="67" customFormat="1" x14ac:dyDescent="0.25">
      <c r="E103" s="72"/>
      <c r="O103" s="68"/>
      <c r="P103" s="68"/>
      <c r="U103" s="68"/>
      <c r="V103" s="68"/>
      <c r="W103" s="68"/>
      <c r="Z103" s="63"/>
      <c r="AA103" s="63"/>
      <c r="AB103" s="76"/>
      <c r="AC103" s="76"/>
      <c r="AD103" s="63"/>
      <c r="AE103" s="71"/>
      <c r="AF103" s="63"/>
      <c r="AG103" s="68"/>
      <c r="AH103" s="63"/>
      <c r="AI103" s="63"/>
      <c r="AJ103" s="63"/>
      <c r="AK103" s="63"/>
      <c r="AL103" s="63"/>
      <c r="AM103" s="63"/>
      <c r="AN103" s="63"/>
      <c r="AO103" s="63"/>
      <c r="AQ103" s="72"/>
    </row>
    <row r="104" spans="5:43" s="67" customFormat="1" x14ac:dyDescent="0.25">
      <c r="E104" s="72"/>
      <c r="O104" s="68"/>
      <c r="P104" s="68"/>
      <c r="U104" s="68"/>
      <c r="V104" s="68"/>
      <c r="W104" s="68"/>
      <c r="Z104" s="63"/>
      <c r="AA104" s="63"/>
      <c r="AB104" s="63"/>
      <c r="AC104" s="63"/>
      <c r="AD104" s="63"/>
      <c r="AE104" s="71"/>
      <c r="AF104" s="63"/>
      <c r="AG104" s="68"/>
      <c r="AH104" s="63"/>
      <c r="AI104" s="63"/>
      <c r="AJ104" s="63"/>
      <c r="AK104" s="63"/>
      <c r="AL104" s="63"/>
      <c r="AM104" s="63"/>
      <c r="AN104" s="63"/>
      <c r="AO104" s="63"/>
      <c r="AQ104" s="72"/>
    </row>
    <row r="105" spans="5:43" s="67" customFormat="1" x14ac:dyDescent="0.25">
      <c r="E105" s="72"/>
      <c r="O105" s="68"/>
      <c r="P105" s="68"/>
      <c r="U105" s="68"/>
      <c r="V105" s="68"/>
      <c r="W105" s="68"/>
      <c r="Z105" s="63"/>
      <c r="AA105" s="63"/>
      <c r="AB105" s="63"/>
      <c r="AC105" s="63"/>
      <c r="AD105" s="63"/>
      <c r="AE105" s="71"/>
      <c r="AF105" s="63"/>
      <c r="AG105" s="68"/>
      <c r="AH105" s="63"/>
      <c r="AI105" s="63"/>
      <c r="AJ105" s="63"/>
      <c r="AK105" s="63"/>
      <c r="AL105" s="63"/>
      <c r="AM105" s="63"/>
      <c r="AN105" s="63"/>
      <c r="AO105" s="63"/>
      <c r="AQ105" s="72"/>
    </row>
    <row r="106" spans="5:43" s="67" customFormat="1" x14ac:dyDescent="0.25">
      <c r="E106" s="72"/>
      <c r="O106" s="68"/>
      <c r="P106" s="68"/>
      <c r="U106" s="68"/>
      <c r="V106" s="68"/>
      <c r="W106" s="68"/>
      <c r="Z106" s="63"/>
      <c r="AA106" s="63"/>
      <c r="AB106" s="63"/>
      <c r="AC106" s="63"/>
      <c r="AD106" s="63"/>
      <c r="AE106" s="71"/>
      <c r="AF106" s="63"/>
      <c r="AG106" s="68"/>
      <c r="AH106" s="63"/>
      <c r="AI106" s="63"/>
      <c r="AJ106" s="63"/>
      <c r="AK106" s="63"/>
      <c r="AL106" s="63"/>
      <c r="AM106" s="63"/>
      <c r="AN106" s="63"/>
      <c r="AO106" s="63"/>
      <c r="AQ106" s="72"/>
    </row>
    <row r="107" spans="5:43" s="67" customFormat="1" x14ac:dyDescent="0.25">
      <c r="E107" s="72"/>
      <c r="O107" s="68"/>
      <c r="P107" s="68"/>
      <c r="U107" s="68"/>
      <c r="V107" s="68"/>
      <c r="W107" s="68"/>
      <c r="Z107" s="63"/>
      <c r="AA107" s="63"/>
      <c r="AB107" s="63"/>
      <c r="AC107" s="63"/>
      <c r="AD107" s="63"/>
      <c r="AE107" s="71"/>
      <c r="AF107" s="63"/>
      <c r="AG107" s="68"/>
      <c r="AH107" s="63"/>
      <c r="AI107" s="63"/>
      <c r="AJ107" s="63"/>
      <c r="AK107" s="63"/>
      <c r="AL107" s="63"/>
      <c r="AM107" s="63"/>
      <c r="AN107" s="63"/>
      <c r="AO107" s="63"/>
      <c r="AQ107" s="72"/>
    </row>
    <row r="108" spans="5:43" s="67" customFormat="1" x14ac:dyDescent="0.25">
      <c r="E108" s="72"/>
      <c r="O108" s="68"/>
      <c r="P108" s="68"/>
      <c r="U108" s="68"/>
      <c r="V108" s="68"/>
      <c r="W108" s="68"/>
      <c r="Z108" s="63"/>
      <c r="AA108" s="63"/>
      <c r="AB108" s="63"/>
      <c r="AC108" s="63"/>
      <c r="AD108" s="63"/>
      <c r="AE108" s="71"/>
      <c r="AF108" s="63"/>
      <c r="AG108" s="68"/>
      <c r="AH108" s="63"/>
      <c r="AI108" s="63"/>
      <c r="AJ108" s="63"/>
      <c r="AK108" s="63"/>
      <c r="AL108" s="63"/>
      <c r="AM108" s="63"/>
      <c r="AN108" s="63"/>
      <c r="AO108" s="63"/>
      <c r="AQ108" s="72"/>
    </row>
    <row r="109" spans="5:43" s="67" customFormat="1" x14ac:dyDescent="0.25">
      <c r="E109" s="72"/>
      <c r="O109" s="68"/>
      <c r="P109" s="68"/>
      <c r="U109" s="68"/>
      <c r="V109" s="68"/>
      <c r="W109" s="68"/>
      <c r="Z109" s="63"/>
      <c r="AA109" s="63"/>
      <c r="AB109" s="63"/>
      <c r="AC109" s="63"/>
      <c r="AD109" s="63"/>
      <c r="AE109" s="71"/>
      <c r="AF109" s="63"/>
      <c r="AG109" s="68"/>
      <c r="AH109" s="63"/>
      <c r="AI109" s="63"/>
      <c r="AJ109" s="63"/>
      <c r="AK109" s="63"/>
      <c r="AL109" s="63"/>
      <c r="AM109" s="63"/>
      <c r="AN109" s="63"/>
      <c r="AO109" s="63"/>
      <c r="AQ109" s="72"/>
    </row>
    <row r="110" spans="5:43" s="67" customFormat="1" x14ac:dyDescent="0.25">
      <c r="E110" s="72"/>
      <c r="O110" s="68"/>
      <c r="P110" s="68"/>
      <c r="U110" s="68"/>
      <c r="V110" s="68"/>
      <c r="W110" s="68"/>
      <c r="Z110" s="63"/>
      <c r="AA110" s="63"/>
      <c r="AB110" s="63"/>
      <c r="AC110" s="63"/>
      <c r="AD110" s="63"/>
      <c r="AE110" s="71"/>
      <c r="AF110" s="63"/>
      <c r="AG110" s="68"/>
      <c r="AH110" s="63"/>
      <c r="AI110" s="63"/>
      <c r="AJ110" s="63"/>
      <c r="AK110" s="63"/>
      <c r="AL110" s="63"/>
      <c r="AM110" s="63"/>
      <c r="AN110" s="63"/>
      <c r="AO110" s="63"/>
      <c r="AQ110" s="72"/>
    </row>
    <row r="111" spans="5:43" s="67" customFormat="1" x14ac:dyDescent="0.25">
      <c r="E111" s="72"/>
      <c r="O111" s="68"/>
      <c r="P111" s="68"/>
      <c r="U111" s="68"/>
      <c r="V111" s="68"/>
      <c r="W111" s="68"/>
      <c r="Z111" s="63"/>
      <c r="AA111" s="63"/>
      <c r="AB111" s="63"/>
      <c r="AC111" s="63"/>
      <c r="AD111" s="63"/>
      <c r="AE111" s="71"/>
      <c r="AF111" s="63"/>
      <c r="AG111" s="68"/>
      <c r="AH111" s="63"/>
      <c r="AI111" s="63"/>
      <c r="AJ111" s="63"/>
      <c r="AK111" s="63"/>
      <c r="AL111" s="63"/>
      <c r="AM111" s="63"/>
      <c r="AN111" s="63"/>
      <c r="AO111" s="63"/>
      <c r="AQ111" s="72"/>
    </row>
    <row r="112" spans="5:43" s="67" customFormat="1" x14ac:dyDescent="0.25">
      <c r="E112" s="72"/>
      <c r="O112" s="68"/>
      <c r="P112" s="68"/>
      <c r="U112" s="68"/>
      <c r="V112" s="68"/>
      <c r="W112" s="68"/>
      <c r="AA112" s="63"/>
      <c r="AB112" s="63"/>
      <c r="AC112" s="63"/>
      <c r="AD112" s="63"/>
      <c r="AE112" s="71"/>
      <c r="AF112" s="63"/>
      <c r="AG112" s="68"/>
      <c r="AH112" s="63"/>
      <c r="AI112" s="63"/>
      <c r="AJ112" s="63"/>
      <c r="AK112" s="63"/>
      <c r="AL112" s="63"/>
      <c r="AM112" s="63"/>
      <c r="AN112" s="63"/>
      <c r="AO112" s="63"/>
      <c r="AQ112" s="72"/>
    </row>
    <row r="113" spans="5:43" s="67" customFormat="1" x14ac:dyDescent="0.25">
      <c r="E113" s="72"/>
      <c r="O113" s="68"/>
      <c r="P113" s="68"/>
      <c r="U113" s="68"/>
      <c r="V113" s="68"/>
      <c r="W113" s="68"/>
      <c r="AA113" s="63"/>
      <c r="AB113" s="63"/>
      <c r="AC113" s="63"/>
      <c r="AD113" s="63"/>
      <c r="AE113" s="71"/>
      <c r="AF113" s="63"/>
      <c r="AG113" s="68"/>
      <c r="AH113" s="63"/>
      <c r="AI113" s="63"/>
      <c r="AJ113" s="63"/>
      <c r="AK113" s="63"/>
      <c r="AL113" s="63"/>
      <c r="AM113" s="63"/>
      <c r="AN113" s="63"/>
      <c r="AO113" s="63"/>
      <c r="AQ113" s="72"/>
    </row>
    <row r="114" spans="5:43" s="67" customFormat="1" x14ac:dyDescent="0.25">
      <c r="E114" s="72"/>
      <c r="O114" s="68"/>
      <c r="P114" s="68"/>
      <c r="U114" s="68"/>
      <c r="V114" s="68"/>
      <c r="W114" s="68"/>
      <c r="AA114" s="63"/>
      <c r="AB114" s="63"/>
      <c r="AC114" s="63"/>
      <c r="AD114" s="63"/>
      <c r="AE114" s="71"/>
      <c r="AF114" s="63"/>
      <c r="AG114" s="68"/>
      <c r="AH114" s="63"/>
      <c r="AI114" s="63"/>
      <c r="AJ114" s="63"/>
      <c r="AK114" s="63"/>
      <c r="AL114" s="63"/>
      <c r="AM114" s="63"/>
      <c r="AN114" s="63"/>
      <c r="AO114" s="63"/>
      <c r="AQ114" s="72"/>
    </row>
    <row r="115" spans="5:43" s="67" customFormat="1" x14ac:dyDescent="0.25">
      <c r="E115" s="72"/>
      <c r="O115" s="68"/>
      <c r="P115" s="68"/>
      <c r="U115" s="68"/>
      <c r="V115" s="68"/>
      <c r="W115" s="68"/>
      <c r="AA115" s="63"/>
      <c r="AB115" s="63"/>
      <c r="AC115" s="63"/>
      <c r="AD115" s="63"/>
      <c r="AE115" s="71"/>
      <c r="AF115" s="63"/>
      <c r="AG115" s="68"/>
      <c r="AH115" s="63"/>
      <c r="AI115" s="63"/>
      <c r="AJ115" s="63"/>
      <c r="AK115" s="63"/>
      <c r="AL115" s="63"/>
      <c r="AM115" s="63"/>
      <c r="AN115" s="63"/>
      <c r="AO115" s="63"/>
      <c r="AQ115" s="72"/>
    </row>
    <row r="116" spans="5:43" s="67" customFormat="1" x14ac:dyDescent="0.25">
      <c r="E116" s="72"/>
      <c r="O116" s="68"/>
      <c r="P116" s="68"/>
      <c r="U116" s="68"/>
      <c r="V116" s="68"/>
      <c r="W116" s="68"/>
      <c r="AA116" s="63"/>
      <c r="AB116" s="63"/>
      <c r="AC116" s="63"/>
      <c r="AD116" s="63"/>
      <c r="AE116" s="71"/>
      <c r="AF116" s="63"/>
      <c r="AG116" s="68"/>
      <c r="AH116" s="63"/>
      <c r="AI116" s="63"/>
      <c r="AJ116" s="63"/>
      <c r="AK116" s="63"/>
      <c r="AL116" s="63"/>
      <c r="AM116" s="63"/>
      <c r="AN116" s="63"/>
      <c r="AO116" s="63"/>
      <c r="AQ116" s="72"/>
    </row>
    <row r="117" spans="5:43" s="67" customFormat="1" x14ac:dyDescent="0.25">
      <c r="E117" s="72"/>
      <c r="O117" s="68"/>
      <c r="P117" s="68"/>
      <c r="U117" s="68"/>
      <c r="V117" s="68"/>
      <c r="W117" s="68"/>
      <c r="AA117" s="63"/>
      <c r="AB117" s="63"/>
      <c r="AC117" s="63"/>
      <c r="AD117" s="63"/>
      <c r="AE117" s="71"/>
      <c r="AF117" s="63"/>
      <c r="AG117" s="68"/>
      <c r="AH117" s="63"/>
      <c r="AI117" s="63"/>
      <c r="AJ117" s="63"/>
      <c r="AK117" s="63"/>
      <c r="AL117" s="63"/>
      <c r="AM117" s="63"/>
      <c r="AN117" s="63"/>
      <c r="AO117" s="63"/>
      <c r="AQ117" s="72"/>
    </row>
    <row r="118" spans="5:43" s="67" customFormat="1" x14ac:dyDescent="0.25">
      <c r="E118" s="72"/>
      <c r="O118" s="68"/>
      <c r="P118" s="68"/>
      <c r="U118" s="68"/>
      <c r="V118" s="68"/>
      <c r="W118" s="68"/>
      <c r="AA118" s="63"/>
      <c r="AB118" s="63"/>
      <c r="AC118" s="63"/>
      <c r="AD118" s="63"/>
      <c r="AE118" s="71"/>
      <c r="AF118" s="63"/>
      <c r="AG118" s="68"/>
      <c r="AH118" s="63"/>
      <c r="AI118" s="63"/>
      <c r="AJ118" s="63"/>
      <c r="AK118" s="63"/>
      <c r="AL118" s="63"/>
      <c r="AM118" s="63"/>
      <c r="AN118" s="63"/>
      <c r="AO118" s="63"/>
      <c r="AQ118" s="72"/>
    </row>
    <row r="119" spans="5:43" s="67" customFormat="1" x14ac:dyDescent="0.25">
      <c r="E119" s="72"/>
      <c r="O119" s="68"/>
      <c r="P119" s="68"/>
      <c r="U119" s="68"/>
      <c r="V119" s="68"/>
      <c r="W119" s="68"/>
      <c r="AA119" s="63"/>
      <c r="AB119" s="63"/>
      <c r="AC119" s="63"/>
      <c r="AD119" s="63"/>
      <c r="AE119" s="71"/>
      <c r="AF119" s="63"/>
      <c r="AG119" s="68"/>
      <c r="AH119" s="63"/>
      <c r="AI119" s="63"/>
      <c r="AJ119" s="63"/>
      <c r="AK119" s="63"/>
      <c r="AL119" s="63"/>
      <c r="AM119" s="63"/>
      <c r="AN119" s="63"/>
      <c r="AO119" s="63"/>
      <c r="AQ119" s="72"/>
    </row>
    <row r="120" spans="5:43" s="67" customFormat="1" x14ac:dyDescent="0.25">
      <c r="E120" s="72"/>
      <c r="O120" s="68"/>
      <c r="P120" s="68"/>
      <c r="U120" s="68"/>
      <c r="V120" s="68"/>
      <c r="W120" s="68"/>
      <c r="AA120" s="63"/>
      <c r="AB120" s="63"/>
      <c r="AC120" s="63"/>
      <c r="AD120" s="63"/>
      <c r="AE120" s="71"/>
      <c r="AF120" s="63"/>
      <c r="AG120" s="68"/>
      <c r="AH120" s="63"/>
      <c r="AI120" s="63"/>
      <c r="AJ120" s="63"/>
      <c r="AK120" s="63"/>
      <c r="AL120" s="63"/>
      <c r="AM120" s="63"/>
      <c r="AN120" s="63"/>
      <c r="AO120" s="63"/>
      <c r="AQ120" s="72"/>
    </row>
    <row r="121" spans="5:43" s="67" customFormat="1" x14ac:dyDescent="0.25">
      <c r="E121" s="72"/>
      <c r="O121" s="68"/>
      <c r="P121" s="68"/>
      <c r="U121" s="68"/>
      <c r="V121" s="68"/>
      <c r="W121" s="68"/>
      <c r="AA121" s="63"/>
      <c r="AB121" s="63"/>
      <c r="AC121" s="63"/>
      <c r="AD121" s="63"/>
      <c r="AE121" s="71"/>
      <c r="AF121" s="63"/>
      <c r="AG121" s="68"/>
      <c r="AH121" s="63"/>
      <c r="AI121" s="63"/>
      <c r="AJ121" s="63"/>
      <c r="AK121" s="63"/>
      <c r="AL121" s="63"/>
      <c r="AM121" s="63"/>
      <c r="AN121" s="63"/>
      <c r="AO121" s="63"/>
      <c r="AQ121" s="72"/>
    </row>
    <row r="122" spans="5:43" s="67" customFormat="1" x14ac:dyDescent="0.25">
      <c r="E122" s="72"/>
      <c r="O122" s="68"/>
      <c r="P122" s="68"/>
      <c r="U122" s="68"/>
      <c r="V122" s="68"/>
      <c r="W122" s="68"/>
      <c r="AA122" s="63"/>
      <c r="AB122" s="63"/>
      <c r="AC122" s="63"/>
      <c r="AD122" s="63"/>
      <c r="AE122" s="71"/>
      <c r="AF122" s="63"/>
      <c r="AG122" s="68"/>
      <c r="AH122" s="63"/>
      <c r="AI122" s="63"/>
      <c r="AJ122" s="63"/>
      <c r="AK122" s="63"/>
      <c r="AL122" s="63"/>
      <c r="AM122" s="63"/>
      <c r="AN122" s="63"/>
      <c r="AO122" s="63"/>
      <c r="AQ122" s="72"/>
    </row>
    <row r="123" spans="5:43" s="67" customFormat="1" x14ac:dyDescent="0.25">
      <c r="E123" s="72"/>
      <c r="O123" s="68"/>
      <c r="P123" s="68"/>
      <c r="U123" s="68"/>
      <c r="V123" s="68"/>
      <c r="W123" s="68"/>
      <c r="AA123" s="63"/>
      <c r="AB123" s="63"/>
      <c r="AC123" s="63"/>
      <c r="AD123" s="63"/>
      <c r="AE123" s="71"/>
      <c r="AF123" s="63"/>
      <c r="AG123" s="68"/>
      <c r="AH123" s="63"/>
      <c r="AI123" s="63"/>
      <c r="AJ123" s="63"/>
      <c r="AK123" s="63"/>
      <c r="AL123" s="63"/>
      <c r="AM123" s="63"/>
      <c r="AN123" s="63"/>
      <c r="AO123" s="63"/>
      <c r="AQ123" s="72"/>
    </row>
    <row r="124" spans="5:43" s="67" customFormat="1" x14ac:dyDescent="0.25">
      <c r="E124" s="72"/>
      <c r="O124" s="68"/>
      <c r="P124" s="68"/>
      <c r="U124" s="68"/>
      <c r="V124" s="68"/>
      <c r="W124" s="68"/>
      <c r="AA124" s="63"/>
      <c r="AB124" s="63"/>
      <c r="AC124" s="63"/>
      <c r="AD124" s="63"/>
      <c r="AE124" s="71"/>
      <c r="AF124" s="63"/>
      <c r="AG124" s="68"/>
      <c r="AH124" s="63"/>
      <c r="AI124" s="63"/>
      <c r="AJ124" s="63"/>
      <c r="AK124" s="63"/>
      <c r="AL124" s="63"/>
      <c r="AM124" s="63"/>
      <c r="AN124" s="63"/>
      <c r="AO124" s="63"/>
      <c r="AQ124" s="72"/>
    </row>
    <row r="125" spans="5:43" s="67" customFormat="1" x14ac:dyDescent="0.25">
      <c r="E125" s="72"/>
      <c r="O125" s="68"/>
      <c r="P125" s="68"/>
      <c r="U125" s="68"/>
      <c r="V125" s="68"/>
      <c r="W125" s="68"/>
      <c r="AA125" s="63"/>
      <c r="AB125" s="63"/>
      <c r="AC125" s="63"/>
      <c r="AD125" s="63"/>
      <c r="AE125" s="71"/>
      <c r="AF125" s="63"/>
      <c r="AG125" s="68"/>
      <c r="AH125" s="63"/>
      <c r="AI125" s="63"/>
      <c r="AJ125" s="63"/>
      <c r="AK125" s="63"/>
      <c r="AL125" s="63"/>
      <c r="AM125" s="63"/>
      <c r="AN125" s="63"/>
      <c r="AO125" s="63"/>
      <c r="AQ125" s="72"/>
    </row>
    <row r="126" spans="5:43" s="67" customFormat="1" x14ac:dyDescent="0.25">
      <c r="E126" s="72"/>
      <c r="O126" s="68"/>
      <c r="P126" s="68"/>
      <c r="U126" s="68"/>
      <c r="V126" s="68"/>
      <c r="W126" s="68"/>
      <c r="AA126" s="63"/>
      <c r="AB126" s="63"/>
      <c r="AC126" s="63"/>
      <c r="AD126" s="63"/>
      <c r="AE126" s="71"/>
      <c r="AF126" s="63"/>
      <c r="AG126" s="68"/>
      <c r="AH126" s="63"/>
      <c r="AI126" s="63"/>
      <c r="AJ126" s="63"/>
      <c r="AK126" s="63"/>
      <c r="AL126" s="63"/>
      <c r="AM126" s="63"/>
      <c r="AN126" s="63"/>
      <c r="AO126" s="63"/>
      <c r="AQ126" s="72"/>
    </row>
    <row r="127" spans="5:43" s="67" customFormat="1" x14ac:dyDescent="0.25">
      <c r="E127" s="72"/>
      <c r="O127" s="68"/>
      <c r="P127" s="68"/>
      <c r="U127" s="68"/>
      <c r="V127" s="68"/>
      <c r="W127" s="68"/>
      <c r="AA127" s="63"/>
      <c r="AB127" s="63"/>
      <c r="AC127" s="63"/>
      <c r="AD127" s="63"/>
      <c r="AE127" s="71"/>
      <c r="AF127" s="63"/>
      <c r="AG127" s="68"/>
      <c r="AH127" s="63"/>
      <c r="AI127" s="63"/>
      <c r="AJ127" s="63"/>
      <c r="AK127" s="63"/>
      <c r="AL127" s="63"/>
      <c r="AM127" s="63"/>
      <c r="AN127" s="63"/>
      <c r="AO127" s="63"/>
      <c r="AQ127" s="72"/>
    </row>
    <row r="128" spans="5:43" s="67" customFormat="1" x14ac:dyDescent="0.25">
      <c r="E128" s="72"/>
      <c r="O128" s="68"/>
      <c r="P128" s="68"/>
      <c r="U128" s="68"/>
      <c r="V128" s="68"/>
      <c r="W128" s="68"/>
      <c r="AA128" s="63"/>
      <c r="AB128" s="63"/>
      <c r="AC128" s="63"/>
      <c r="AD128" s="63"/>
      <c r="AE128" s="71"/>
      <c r="AF128" s="63"/>
      <c r="AG128" s="68"/>
      <c r="AH128" s="63"/>
      <c r="AI128" s="63"/>
      <c r="AJ128" s="63"/>
      <c r="AK128" s="63"/>
      <c r="AL128" s="63"/>
      <c r="AM128" s="63"/>
      <c r="AN128" s="63"/>
      <c r="AO128" s="63"/>
      <c r="AQ128" s="72"/>
    </row>
    <row r="129" spans="5:43" s="67" customFormat="1" x14ac:dyDescent="0.25">
      <c r="E129" s="72"/>
      <c r="O129" s="68"/>
      <c r="P129" s="68"/>
      <c r="U129" s="68"/>
      <c r="V129" s="68"/>
      <c r="W129" s="68"/>
      <c r="AA129" s="63"/>
      <c r="AB129" s="63"/>
      <c r="AC129" s="63"/>
      <c r="AD129" s="63"/>
      <c r="AE129" s="71"/>
      <c r="AF129" s="63"/>
      <c r="AG129" s="68"/>
      <c r="AH129" s="63"/>
      <c r="AI129" s="63"/>
      <c r="AJ129" s="63"/>
      <c r="AK129" s="63"/>
      <c r="AL129" s="63"/>
      <c r="AM129" s="63"/>
      <c r="AN129" s="63"/>
      <c r="AO129" s="63"/>
      <c r="AQ129" s="72"/>
    </row>
    <row r="130" spans="5:43" s="67" customFormat="1" x14ac:dyDescent="0.25">
      <c r="E130" s="72"/>
      <c r="O130" s="68"/>
      <c r="P130" s="68"/>
      <c r="U130" s="68"/>
      <c r="V130" s="68"/>
      <c r="W130" s="68"/>
      <c r="AA130" s="63"/>
      <c r="AB130" s="63"/>
      <c r="AC130" s="63"/>
      <c r="AD130" s="63"/>
      <c r="AE130" s="71"/>
      <c r="AF130" s="63"/>
      <c r="AG130" s="68"/>
      <c r="AH130" s="63"/>
      <c r="AI130" s="63"/>
      <c r="AJ130" s="63"/>
      <c r="AK130" s="63"/>
      <c r="AL130" s="63"/>
      <c r="AM130" s="63"/>
      <c r="AN130" s="63"/>
      <c r="AO130" s="63"/>
      <c r="AQ130" s="72"/>
    </row>
    <row r="131" spans="5:43" s="67" customFormat="1" x14ac:dyDescent="0.25">
      <c r="E131" s="72"/>
      <c r="O131" s="68"/>
      <c r="P131" s="68"/>
      <c r="U131" s="68"/>
      <c r="V131" s="68"/>
      <c r="W131" s="68"/>
      <c r="AA131" s="63"/>
      <c r="AB131" s="63"/>
      <c r="AC131" s="63"/>
      <c r="AD131" s="63"/>
      <c r="AE131" s="71"/>
      <c r="AF131" s="63"/>
      <c r="AG131" s="68"/>
      <c r="AH131" s="63"/>
      <c r="AI131" s="63"/>
      <c r="AJ131" s="63"/>
      <c r="AK131" s="63"/>
      <c r="AL131" s="63"/>
      <c r="AM131" s="63"/>
      <c r="AN131" s="63"/>
      <c r="AO131" s="63"/>
      <c r="AQ131" s="72"/>
    </row>
    <row r="132" spans="5:43" s="67" customFormat="1" x14ac:dyDescent="0.25">
      <c r="E132" s="72"/>
      <c r="O132" s="68"/>
      <c r="P132" s="68"/>
      <c r="U132" s="68"/>
      <c r="V132" s="68"/>
      <c r="W132" s="68"/>
      <c r="AA132" s="63"/>
      <c r="AB132" s="63"/>
      <c r="AC132" s="63"/>
      <c r="AD132" s="63"/>
      <c r="AE132" s="71"/>
      <c r="AF132" s="63"/>
      <c r="AG132" s="68"/>
      <c r="AH132" s="63"/>
      <c r="AI132" s="63"/>
      <c r="AJ132" s="63"/>
      <c r="AK132" s="63"/>
      <c r="AL132" s="63"/>
      <c r="AM132" s="63"/>
      <c r="AN132" s="63"/>
      <c r="AO132" s="63"/>
      <c r="AQ132" s="72"/>
    </row>
    <row r="133" spans="5:43" s="67" customFormat="1" x14ac:dyDescent="0.25">
      <c r="E133" s="72"/>
      <c r="O133" s="68"/>
      <c r="P133" s="68"/>
      <c r="U133" s="68"/>
      <c r="V133" s="68"/>
      <c r="W133" s="68"/>
      <c r="AA133" s="63"/>
      <c r="AB133" s="63"/>
      <c r="AC133" s="63"/>
      <c r="AD133" s="63"/>
      <c r="AE133" s="71"/>
      <c r="AF133" s="63"/>
      <c r="AG133" s="68"/>
      <c r="AH133" s="63"/>
      <c r="AI133" s="63"/>
      <c r="AJ133" s="63"/>
      <c r="AK133" s="63"/>
      <c r="AL133" s="63"/>
      <c r="AM133" s="63"/>
      <c r="AN133" s="63"/>
      <c r="AO133" s="63"/>
      <c r="AQ133" s="72"/>
    </row>
    <row r="134" spans="5:43" s="67" customFormat="1" x14ac:dyDescent="0.25">
      <c r="E134" s="72"/>
      <c r="O134" s="68"/>
      <c r="P134" s="68"/>
      <c r="U134" s="68"/>
      <c r="V134" s="68"/>
      <c r="W134" s="68"/>
      <c r="AA134" s="63"/>
      <c r="AB134" s="63"/>
      <c r="AC134" s="63"/>
      <c r="AD134" s="63"/>
      <c r="AE134" s="71"/>
      <c r="AF134" s="63"/>
      <c r="AG134" s="68"/>
      <c r="AH134" s="63"/>
      <c r="AI134" s="63"/>
      <c r="AJ134" s="63"/>
      <c r="AK134" s="63"/>
      <c r="AL134" s="63"/>
      <c r="AM134" s="63"/>
      <c r="AN134" s="63"/>
      <c r="AO134" s="63"/>
      <c r="AQ134" s="72"/>
    </row>
    <row r="135" spans="5:43" s="67" customFormat="1" x14ac:dyDescent="0.25">
      <c r="E135" s="72"/>
      <c r="O135" s="68"/>
      <c r="P135" s="68"/>
      <c r="U135" s="68"/>
      <c r="V135" s="68"/>
      <c r="W135" s="68"/>
      <c r="AA135" s="63"/>
      <c r="AB135" s="63"/>
      <c r="AC135" s="63"/>
      <c r="AD135" s="63"/>
      <c r="AE135" s="71"/>
      <c r="AF135" s="63"/>
      <c r="AG135" s="68"/>
      <c r="AH135" s="63"/>
      <c r="AI135" s="63"/>
      <c r="AJ135" s="63"/>
      <c r="AK135" s="63"/>
      <c r="AL135" s="63"/>
      <c r="AM135" s="63"/>
      <c r="AN135" s="63"/>
      <c r="AO135" s="63"/>
      <c r="AQ135" s="72"/>
    </row>
    <row r="136" spans="5:43" s="67" customFormat="1" x14ac:dyDescent="0.25">
      <c r="E136" s="72"/>
      <c r="O136" s="68"/>
      <c r="P136" s="68"/>
      <c r="U136" s="68"/>
      <c r="V136" s="68"/>
      <c r="W136" s="68"/>
      <c r="AA136" s="63"/>
      <c r="AB136" s="63"/>
      <c r="AC136" s="63"/>
      <c r="AD136" s="63"/>
      <c r="AE136" s="71"/>
      <c r="AF136" s="63"/>
      <c r="AG136" s="68"/>
      <c r="AH136" s="63"/>
      <c r="AI136" s="63"/>
      <c r="AJ136" s="63"/>
      <c r="AK136" s="63"/>
      <c r="AL136" s="63"/>
      <c r="AM136" s="63"/>
      <c r="AN136" s="63"/>
      <c r="AO136" s="63"/>
      <c r="AQ136" s="72"/>
    </row>
    <row r="137" spans="5:43" s="67" customFormat="1" x14ac:dyDescent="0.25">
      <c r="E137" s="72"/>
      <c r="O137" s="68"/>
      <c r="P137" s="68"/>
      <c r="U137" s="68"/>
      <c r="V137" s="68"/>
      <c r="W137" s="68"/>
      <c r="AA137" s="63"/>
      <c r="AB137" s="63"/>
      <c r="AC137" s="63"/>
      <c r="AD137" s="63"/>
      <c r="AE137" s="71"/>
      <c r="AF137" s="63"/>
      <c r="AG137" s="68"/>
      <c r="AH137" s="63"/>
      <c r="AI137" s="63"/>
      <c r="AJ137" s="63"/>
      <c r="AK137" s="63"/>
      <c r="AL137" s="63"/>
      <c r="AM137" s="63"/>
      <c r="AN137" s="63"/>
      <c r="AO137" s="63"/>
      <c r="AQ137" s="72"/>
    </row>
    <row r="138" spans="5:43" s="67" customFormat="1" x14ac:dyDescent="0.25">
      <c r="E138" s="72"/>
      <c r="O138" s="68"/>
      <c r="P138" s="68"/>
      <c r="U138" s="68"/>
      <c r="V138" s="68"/>
      <c r="W138" s="68"/>
      <c r="AA138" s="63"/>
      <c r="AB138" s="63"/>
      <c r="AC138" s="63"/>
      <c r="AD138" s="63"/>
      <c r="AE138" s="71"/>
      <c r="AF138" s="63"/>
      <c r="AG138" s="68"/>
      <c r="AH138" s="63"/>
      <c r="AI138" s="63"/>
      <c r="AJ138" s="63"/>
      <c r="AK138" s="63"/>
      <c r="AL138" s="63"/>
      <c r="AM138" s="63"/>
      <c r="AN138" s="63"/>
      <c r="AO138" s="63"/>
      <c r="AQ138" s="72"/>
    </row>
    <row r="139" spans="5:43" s="67" customFormat="1" x14ac:dyDescent="0.25">
      <c r="E139" s="72"/>
      <c r="O139" s="68"/>
      <c r="P139" s="68"/>
      <c r="U139" s="68"/>
      <c r="V139" s="68"/>
      <c r="W139" s="68"/>
      <c r="AA139" s="63"/>
      <c r="AB139" s="63"/>
      <c r="AC139" s="63"/>
      <c r="AD139" s="63"/>
      <c r="AE139" s="71"/>
      <c r="AF139" s="63"/>
      <c r="AG139" s="68"/>
      <c r="AH139" s="63"/>
      <c r="AI139" s="63"/>
      <c r="AJ139" s="63"/>
      <c r="AK139" s="63"/>
      <c r="AL139" s="63"/>
      <c r="AM139" s="63"/>
      <c r="AN139" s="63"/>
      <c r="AO139" s="63"/>
      <c r="AQ139" s="72"/>
    </row>
    <row r="140" spans="5:43" s="67" customFormat="1" x14ac:dyDescent="0.25">
      <c r="E140" s="72"/>
      <c r="O140" s="68"/>
      <c r="P140" s="68"/>
      <c r="U140" s="68"/>
      <c r="V140" s="68"/>
      <c r="W140" s="68"/>
      <c r="AA140" s="63"/>
      <c r="AB140" s="63"/>
      <c r="AC140" s="63"/>
      <c r="AD140" s="63"/>
      <c r="AE140" s="71"/>
      <c r="AF140" s="63"/>
      <c r="AG140" s="68"/>
      <c r="AH140" s="63"/>
      <c r="AI140" s="63"/>
      <c r="AJ140" s="63"/>
      <c r="AK140" s="63"/>
      <c r="AL140" s="63"/>
      <c r="AM140" s="63"/>
      <c r="AN140" s="63"/>
      <c r="AO140" s="63"/>
      <c r="AQ140" s="72"/>
    </row>
    <row r="141" spans="5:43" s="67" customFormat="1" x14ac:dyDescent="0.25">
      <c r="E141" s="72"/>
      <c r="O141" s="68"/>
      <c r="P141" s="68"/>
      <c r="U141" s="68"/>
      <c r="V141" s="68"/>
      <c r="W141" s="68"/>
      <c r="AA141" s="63"/>
      <c r="AB141" s="63"/>
      <c r="AC141" s="63"/>
      <c r="AD141" s="63"/>
      <c r="AE141" s="71"/>
      <c r="AF141" s="63"/>
      <c r="AG141" s="68"/>
      <c r="AH141" s="63"/>
      <c r="AI141" s="63"/>
      <c r="AJ141" s="63"/>
      <c r="AK141" s="63"/>
      <c r="AL141" s="63"/>
      <c r="AM141" s="63"/>
      <c r="AN141" s="63"/>
      <c r="AO141" s="63"/>
      <c r="AQ141" s="72"/>
    </row>
    <row r="142" spans="5:43" s="67" customFormat="1" x14ac:dyDescent="0.25">
      <c r="E142" s="72"/>
      <c r="O142" s="68"/>
      <c r="P142" s="68"/>
      <c r="U142" s="68"/>
      <c r="V142" s="68"/>
      <c r="W142" s="68"/>
      <c r="AA142" s="63"/>
      <c r="AB142" s="63"/>
      <c r="AC142" s="63"/>
      <c r="AD142" s="63"/>
      <c r="AE142" s="71"/>
      <c r="AF142" s="63"/>
      <c r="AG142" s="68"/>
      <c r="AH142" s="63"/>
      <c r="AI142" s="63"/>
      <c r="AJ142" s="63"/>
      <c r="AK142" s="63"/>
      <c r="AL142" s="63"/>
      <c r="AM142" s="63"/>
      <c r="AN142" s="63"/>
      <c r="AO142" s="63"/>
      <c r="AQ142" s="72"/>
    </row>
    <row r="143" spans="5:43" s="67" customFormat="1" x14ac:dyDescent="0.25">
      <c r="E143" s="72"/>
      <c r="O143" s="68"/>
      <c r="P143" s="68"/>
      <c r="U143" s="68"/>
      <c r="V143" s="68"/>
      <c r="W143" s="68"/>
      <c r="AA143" s="63"/>
      <c r="AB143" s="63"/>
      <c r="AC143" s="63"/>
      <c r="AD143" s="63"/>
      <c r="AE143" s="71"/>
      <c r="AF143" s="63"/>
      <c r="AG143" s="68"/>
      <c r="AH143" s="63"/>
      <c r="AI143" s="63"/>
      <c r="AJ143" s="63"/>
      <c r="AK143" s="63"/>
      <c r="AL143" s="63"/>
      <c r="AM143" s="63"/>
      <c r="AN143" s="63"/>
      <c r="AO143" s="63"/>
      <c r="AQ143" s="72"/>
    </row>
    <row r="144" spans="5:43" s="67" customFormat="1" x14ac:dyDescent="0.25">
      <c r="E144" s="72"/>
      <c r="O144" s="68"/>
      <c r="P144" s="68"/>
      <c r="U144" s="68"/>
      <c r="V144" s="68"/>
      <c r="W144" s="68"/>
      <c r="AA144" s="63"/>
      <c r="AB144" s="63"/>
      <c r="AC144" s="63"/>
      <c r="AD144" s="63"/>
      <c r="AE144" s="71"/>
      <c r="AF144" s="63"/>
      <c r="AG144" s="68"/>
      <c r="AH144" s="63"/>
      <c r="AI144" s="63"/>
      <c r="AJ144" s="63"/>
      <c r="AK144" s="63"/>
      <c r="AL144" s="63"/>
      <c r="AM144" s="63"/>
      <c r="AN144" s="63"/>
      <c r="AO144" s="63"/>
      <c r="AQ144" s="72"/>
    </row>
    <row r="145" spans="5:43" s="67" customFormat="1" x14ac:dyDescent="0.25">
      <c r="E145" s="72"/>
      <c r="O145" s="68"/>
      <c r="P145" s="68"/>
      <c r="U145" s="68"/>
      <c r="V145" s="68"/>
      <c r="W145" s="68"/>
      <c r="AA145" s="63"/>
      <c r="AB145" s="63"/>
      <c r="AC145" s="63"/>
      <c r="AD145" s="63"/>
      <c r="AE145" s="71"/>
      <c r="AF145" s="63"/>
      <c r="AG145" s="68"/>
      <c r="AH145" s="63"/>
      <c r="AI145" s="63"/>
      <c r="AJ145" s="63"/>
      <c r="AK145" s="63"/>
      <c r="AL145" s="63"/>
      <c r="AM145" s="63"/>
      <c r="AN145" s="63"/>
      <c r="AO145" s="63"/>
      <c r="AQ145" s="72"/>
    </row>
    <row r="146" spans="5:43" s="67" customFormat="1" x14ac:dyDescent="0.25">
      <c r="E146" s="72"/>
      <c r="O146" s="68"/>
      <c r="P146" s="68"/>
      <c r="U146" s="68"/>
      <c r="V146" s="68"/>
      <c r="W146" s="68"/>
      <c r="AA146" s="63"/>
      <c r="AB146" s="63"/>
      <c r="AC146" s="63"/>
      <c r="AD146" s="63"/>
      <c r="AE146" s="71"/>
      <c r="AF146" s="63"/>
      <c r="AG146" s="68"/>
      <c r="AH146" s="63"/>
      <c r="AI146" s="63"/>
      <c r="AJ146" s="63"/>
      <c r="AK146" s="63"/>
      <c r="AL146" s="63"/>
      <c r="AM146" s="63"/>
      <c r="AN146" s="63"/>
      <c r="AO146" s="63"/>
      <c r="AQ146" s="72"/>
    </row>
    <row r="147" spans="5:43" s="67" customFormat="1" x14ac:dyDescent="0.25">
      <c r="E147" s="72"/>
      <c r="O147" s="68"/>
      <c r="P147" s="68"/>
      <c r="U147" s="68"/>
      <c r="V147" s="68"/>
      <c r="W147" s="68"/>
      <c r="AA147" s="63"/>
      <c r="AB147" s="63"/>
      <c r="AC147" s="63"/>
      <c r="AD147" s="63"/>
      <c r="AE147" s="71"/>
      <c r="AF147" s="63"/>
      <c r="AG147" s="68"/>
      <c r="AH147" s="63"/>
      <c r="AI147" s="63"/>
      <c r="AJ147" s="63"/>
      <c r="AK147" s="63"/>
      <c r="AL147" s="63"/>
      <c r="AM147" s="63"/>
      <c r="AN147" s="63"/>
      <c r="AO147" s="63"/>
      <c r="AQ147" s="72"/>
    </row>
    <row r="148" spans="5:43" s="67" customFormat="1" x14ac:dyDescent="0.25">
      <c r="E148" s="72"/>
      <c r="O148" s="68"/>
      <c r="P148" s="68"/>
      <c r="U148" s="68"/>
      <c r="V148" s="68"/>
      <c r="W148" s="68"/>
      <c r="AA148" s="63"/>
      <c r="AB148" s="63"/>
      <c r="AC148" s="63"/>
      <c r="AD148" s="63"/>
      <c r="AE148" s="71"/>
      <c r="AF148" s="63"/>
      <c r="AG148" s="68"/>
      <c r="AH148" s="63"/>
      <c r="AI148" s="63"/>
      <c r="AJ148" s="63"/>
      <c r="AK148" s="63"/>
      <c r="AL148" s="63"/>
      <c r="AM148" s="63"/>
      <c r="AN148" s="63"/>
      <c r="AO148" s="63"/>
      <c r="AQ148" s="72"/>
    </row>
    <row r="149" spans="5:43" s="67" customFormat="1" ht="13.15" customHeight="1" x14ac:dyDescent="0.25">
      <c r="E149" s="72"/>
      <c r="O149" s="68"/>
      <c r="P149" s="68"/>
      <c r="U149" s="68"/>
      <c r="V149" s="68"/>
      <c r="W149" s="68"/>
      <c r="AA149" s="63"/>
      <c r="AB149" s="63"/>
      <c r="AC149" s="63"/>
      <c r="AD149" s="63"/>
      <c r="AE149" s="71"/>
      <c r="AF149" s="63"/>
      <c r="AG149" s="68"/>
      <c r="AH149" s="63"/>
      <c r="AI149" s="63"/>
      <c r="AJ149" s="63"/>
      <c r="AK149" s="63"/>
      <c r="AL149" s="63"/>
      <c r="AM149" s="63"/>
      <c r="AN149" s="63"/>
      <c r="AO149" s="63"/>
      <c r="AQ149" s="72"/>
    </row>
    <row r="150" spans="5:43" s="67" customFormat="1" x14ac:dyDescent="0.25">
      <c r="E150" s="72"/>
      <c r="O150" s="68"/>
      <c r="P150" s="68"/>
      <c r="U150" s="68"/>
      <c r="V150" s="68"/>
      <c r="W150" s="68"/>
      <c r="AA150" s="63"/>
      <c r="AB150" s="63"/>
      <c r="AC150" s="63"/>
      <c r="AD150" s="63"/>
      <c r="AE150" s="71"/>
      <c r="AF150" s="63"/>
      <c r="AG150" s="68"/>
      <c r="AH150" s="63"/>
      <c r="AI150" s="63"/>
      <c r="AJ150" s="63"/>
      <c r="AK150" s="63"/>
      <c r="AL150" s="63"/>
      <c r="AM150" s="63"/>
      <c r="AN150" s="63"/>
      <c r="AO150" s="63"/>
      <c r="AQ150" s="72"/>
    </row>
    <row r="151" spans="5:43" s="67" customFormat="1" x14ac:dyDescent="0.25">
      <c r="E151" s="72"/>
      <c r="O151" s="68"/>
      <c r="P151" s="68"/>
      <c r="U151" s="68"/>
      <c r="V151" s="68"/>
      <c r="W151" s="68"/>
      <c r="AA151" s="63"/>
      <c r="AB151" s="63"/>
      <c r="AC151" s="63"/>
      <c r="AD151" s="63"/>
      <c r="AE151" s="71"/>
      <c r="AF151" s="63"/>
      <c r="AG151" s="68"/>
      <c r="AH151" s="63"/>
      <c r="AI151" s="63"/>
      <c r="AJ151" s="63"/>
      <c r="AK151" s="63"/>
      <c r="AL151" s="63"/>
      <c r="AM151" s="63"/>
      <c r="AN151" s="63"/>
      <c r="AO151" s="63"/>
      <c r="AQ151" s="72"/>
    </row>
    <row r="152" spans="5:43" s="67" customFormat="1" x14ac:dyDescent="0.25">
      <c r="E152" s="72"/>
      <c r="O152" s="68"/>
      <c r="P152" s="68"/>
      <c r="U152" s="68"/>
      <c r="V152" s="68"/>
      <c r="W152" s="68"/>
      <c r="AA152" s="63"/>
      <c r="AB152" s="63"/>
      <c r="AC152" s="63"/>
      <c r="AD152" s="63"/>
      <c r="AE152" s="71"/>
      <c r="AF152" s="63"/>
      <c r="AG152" s="68"/>
      <c r="AH152" s="63"/>
      <c r="AI152" s="63"/>
      <c r="AJ152" s="63"/>
      <c r="AK152" s="63"/>
      <c r="AL152" s="63"/>
      <c r="AM152" s="63"/>
      <c r="AN152" s="63"/>
      <c r="AO152" s="63"/>
      <c r="AQ152" s="72"/>
    </row>
    <row r="153" spans="5:43" s="67" customFormat="1" x14ac:dyDescent="0.25">
      <c r="E153" s="72"/>
      <c r="O153" s="68"/>
      <c r="P153" s="68"/>
      <c r="U153" s="68"/>
      <c r="V153" s="68"/>
      <c r="W153" s="68"/>
      <c r="AA153" s="63"/>
      <c r="AB153" s="63"/>
      <c r="AC153" s="63"/>
      <c r="AD153" s="63"/>
      <c r="AE153" s="71"/>
      <c r="AF153" s="63"/>
      <c r="AG153" s="68"/>
      <c r="AH153" s="63"/>
      <c r="AI153" s="63"/>
      <c r="AJ153" s="63"/>
      <c r="AK153" s="63"/>
      <c r="AL153" s="63"/>
      <c r="AM153" s="63"/>
      <c r="AN153" s="63"/>
      <c r="AO153" s="63"/>
      <c r="AQ153" s="72"/>
    </row>
    <row r="154" spans="5:43" s="67" customFormat="1" x14ac:dyDescent="0.25">
      <c r="E154" s="72"/>
      <c r="O154" s="68"/>
      <c r="P154" s="68"/>
      <c r="U154" s="68"/>
      <c r="V154" s="68"/>
      <c r="W154" s="68"/>
      <c r="AA154" s="63"/>
      <c r="AB154" s="63"/>
      <c r="AC154" s="63"/>
      <c r="AD154" s="63"/>
      <c r="AE154" s="71"/>
      <c r="AF154" s="63"/>
      <c r="AG154" s="68"/>
      <c r="AH154" s="63"/>
      <c r="AI154" s="63"/>
      <c r="AJ154" s="63"/>
      <c r="AK154" s="63"/>
      <c r="AL154" s="63"/>
      <c r="AM154" s="63"/>
      <c r="AN154" s="63"/>
      <c r="AO154" s="63"/>
      <c r="AQ154" s="72"/>
    </row>
    <row r="155" spans="5:43" s="67" customFormat="1" x14ac:dyDescent="0.25">
      <c r="E155" s="72"/>
      <c r="O155" s="68"/>
      <c r="P155" s="68"/>
      <c r="U155" s="68"/>
      <c r="V155" s="68"/>
      <c r="W155" s="68"/>
      <c r="AA155" s="63"/>
      <c r="AB155" s="63"/>
      <c r="AC155" s="63"/>
      <c r="AD155" s="63"/>
      <c r="AE155" s="71"/>
      <c r="AF155" s="63"/>
      <c r="AG155" s="68"/>
      <c r="AH155" s="63"/>
      <c r="AI155" s="63"/>
      <c r="AJ155" s="63"/>
      <c r="AK155" s="63"/>
      <c r="AL155" s="63"/>
      <c r="AM155" s="63"/>
      <c r="AN155" s="63"/>
      <c r="AO155" s="63"/>
      <c r="AQ155" s="72"/>
    </row>
    <row r="156" spans="5:43" s="67" customFormat="1" x14ac:dyDescent="0.25">
      <c r="E156" s="72"/>
      <c r="O156" s="68"/>
      <c r="P156" s="68"/>
      <c r="U156" s="68"/>
      <c r="V156" s="68"/>
      <c r="W156" s="68"/>
      <c r="AA156" s="63"/>
      <c r="AB156" s="63"/>
      <c r="AC156" s="63"/>
      <c r="AD156" s="63"/>
      <c r="AE156" s="71"/>
      <c r="AF156" s="63"/>
      <c r="AG156" s="68"/>
      <c r="AH156" s="63"/>
      <c r="AI156" s="63"/>
      <c r="AJ156" s="63"/>
      <c r="AK156" s="63"/>
      <c r="AL156" s="63"/>
      <c r="AM156" s="63"/>
      <c r="AN156" s="63"/>
      <c r="AO156" s="63"/>
      <c r="AQ156" s="72"/>
    </row>
    <row r="157" spans="5:43" s="67" customFormat="1" x14ac:dyDescent="0.25">
      <c r="E157" s="72"/>
      <c r="O157" s="68"/>
      <c r="P157" s="68"/>
      <c r="U157" s="68"/>
      <c r="V157" s="68"/>
      <c r="W157" s="68"/>
      <c r="AA157" s="63"/>
      <c r="AB157" s="63"/>
      <c r="AC157" s="63"/>
      <c r="AD157" s="63"/>
      <c r="AE157" s="71"/>
      <c r="AF157" s="63"/>
      <c r="AG157" s="68"/>
      <c r="AH157" s="63"/>
      <c r="AI157" s="63"/>
      <c r="AJ157" s="63"/>
      <c r="AK157" s="63"/>
      <c r="AL157" s="63"/>
      <c r="AM157" s="63"/>
      <c r="AN157" s="63"/>
      <c r="AO157" s="63"/>
      <c r="AQ157" s="72"/>
    </row>
    <row r="158" spans="5:43" s="67" customFormat="1" ht="13.9" customHeight="1" x14ac:dyDescent="0.25">
      <c r="E158" s="72"/>
      <c r="O158" s="68"/>
      <c r="P158" s="68"/>
      <c r="U158" s="68"/>
      <c r="V158" s="68"/>
      <c r="W158" s="68"/>
      <c r="AA158" s="63"/>
      <c r="AB158" s="63"/>
      <c r="AC158" s="63"/>
      <c r="AD158" s="63"/>
      <c r="AE158" s="71"/>
      <c r="AF158" s="63"/>
      <c r="AG158" s="68"/>
      <c r="AH158" s="63"/>
      <c r="AI158" s="63"/>
      <c r="AJ158" s="63"/>
      <c r="AK158" s="63"/>
      <c r="AL158" s="63"/>
      <c r="AM158" s="63"/>
      <c r="AN158" s="63"/>
      <c r="AO158" s="63"/>
      <c r="AQ158" s="72"/>
    </row>
    <row r="159" spans="5:43" s="67" customFormat="1" x14ac:dyDescent="0.25">
      <c r="E159" s="72"/>
      <c r="O159" s="68"/>
      <c r="P159" s="68"/>
      <c r="U159" s="68"/>
      <c r="V159" s="68"/>
      <c r="W159" s="68"/>
      <c r="AA159" s="63"/>
      <c r="AB159" s="63"/>
      <c r="AC159" s="63"/>
      <c r="AD159" s="63"/>
      <c r="AE159" s="71"/>
      <c r="AF159" s="63"/>
      <c r="AG159" s="68"/>
      <c r="AH159" s="63"/>
      <c r="AI159" s="63"/>
      <c r="AJ159" s="63"/>
      <c r="AK159" s="63"/>
      <c r="AL159" s="63"/>
      <c r="AM159" s="63"/>
      <c r="AN159" s="63"/>
      <c r="AO159" s="63"/>
      <c r="AQ159" s="72"/>
    </row>
    <row r="160" spans="5:43" s="67" customFormat="1" x14ac:dyDescent="0.25">
      <c r="E160" s="72"/>
      <c r="O160" s="68"/>
      <c r="P160" s="68"/>
      <c r="U160" s="68"/>
      <c r="V160" s="68"/>
      <c r="W160" s="68"/>
      <c r="AA160" s="63"/>
      <c r="AB160" s="63"/>
      <c r="AC160" s="63"/>
      <c r="AD160" s="63"/>
      <c r="AE160" s="71"/>
      <c r="AF160" s="63"/>
      <c r="AG160" s="68"/>
      <c r="AH160" s="63"/>
      <c r="AI160" s="63"/>
      <c r="AJ160" s="63"/>
      <c r="AK160" s="63"/>
      <c r="AL160" s="63"/>
      <c r="AM160" s="63"/>
      <c r="AN160" s="63"/>
      <c r="AO160" s="63"/>
      <c r="AQ160" s="72"/>
    </row>
    <row r="161" spans="5:43" s="67" customFormat="1" x14ac:dyDescent="0.25">
      <c r="E161" s="72"/>
      <c r="O161" s="68"/>
      <c r="P161" s="68"/>
      <c r="U161" s="68"/>
      <c r="V161" s="68"/>
      <c r="W161" s="68"/>
      <c r="AA161" s="63"/>
      <c r="AB161" s="63"/>
      <c r="AC161" s="63"/>
      <c r="AD161" s="63"/>
      <c r="AE161" s="71"/>
      <c r="AF161" s="63"/>
      <c r="AG161" s="68"/>
      <c r="AH161" s="63"/>
      <c r="AI161" s="63"/>
      <c r="AJ161" s="63"/>
      <c r="AK161" s="63"/>
      <c r="AL161" s="63"/>
      <c r="AM161" s="63"/>
      <c r="AN161" s="63"/>
      <c r="AO161" s="63"/>
      <c r="AQ161" s="72"/>
    </row>
    <row r="162" spans="5:43" s="67" customFormat="1" x14ac:dyDescent="0.25">
      <c r="E162" s="72"/>
      <c r="O162" s="68"/>
      <c r="P162" s="68"/>
      <c r="U162" s="68"/>
      <c r="V162" s="68"/>
      <c r="W162" s="68"/>
      <c r="AA162" s="63"/>
      <c r="AB162" s="63"/>
      <c r="AC162" s="63"/>
      <c r="AD162" s="63"/>
      <c r="AE162" s="71"/>
      <c r="AF162" s="63"/>
      <c r="AG162" s="68"/>
      <c r="AH162" s="63"/>
      <c r="AI162" s="63"/>
      <c r="AJ162" s="63"/>
      <c r="AK162" s="63"/>
      <c r="AL162" s="63"/>
      <c r="AM162" s="63"/>
      <c r="AN162" s="63"/>
      <c r="AO162" s="63"/>
      <c r="AQ162" s="72"/>
    </row>
    <row r="163" spans="5:43" s="67" customFormat="1" x14ac:dyDescent="0.25">
      <c r="E163" s="72"/>
      <c r="O163" s="68"/>
      <c r="P163" s="68"/>
      <c r="U163" s="68"/>
      <c r="V163" s="68"/>
      <c r="W163" s="68"/>
      <c r="AA163" s="63"/>
      <c r="AB163" s="63"/>
      <c r="AC163" s="63"/>
      <c r="AD163" s="63"/>
      <c r="AE163" s="71"/>
      <c r="AF163" s="63"/>
      <c r="AG163" s="68"/>
      <c r="AH163" s="63"/>
      <c r="AI163" s="63"/>
      <c r="AJ163" s="63"/>
      <c r="AK163" s="63"/>
      <c r="AL163" s="63"/>
      <c r="AM163" s="63"/>
      <c r="AN163" s="63"/>
      <c r="AO163" s="63"/>
      <c r="AQ163" s="72"/>
    </row>
    <row r="164" spans="5:43" s="67" customFormat="1" x14ac:dyDescent="0.25">
      <c r="E164" s="72"/>
      <c r="O164" s="68"/>
      <c r="P164" s="68"/>
      <c r="U164" s="68"/>
      <c r="V164" s="68"/>
      <c r="W164" s="68"/>
      <c r="AA164" s="63"/>
      <c r="AB164" s="63"/>
      <c r="AC164" s="63"/>
      <c r="AD164" s="63"/>
      <c r="AE164" s="71"/>
      <c r="AF164" s="63"/>
      <c r="AG164" s="68"/>
      <c r="AH164" s="63"/>
      <c r="AI164" s="63"/>
      <c r="AJ164" s="63"/>
      <c r="AK164" s="63"/>
      <c r="AL164" s="63"/>
      <c r="AM164" s="63"/>
      <c r="AN164" s="63"/>
      <c r="AO164" s="63"/>
      <c r="AQ164" s="72"/>
    </row>
    <row r="165" spans="5:43" s="67" customFormat="1" x14ac:dyDescent="0.25">
      <c r="E165" s="72"/>
      <c r="O165" s="68"/>
      <c r="P165" s="68"/>
      <c r="U165" s="68"/>
      <c r="V165" s="68"/>
      <c r="W165" s="68"/>
      <c r="AA165" s="63"/>
      <c r="AB165" s="63"/>
      <c r="AC165" s="63"/>
      <c r="AD165" s="63"/>
      <c r="AE165" s="71"/>
      <c r="AF165" s="63"/>
      <c r="AG165" s="68"/>
      <c r="AH165" s="63"/>
      <c r="AI165" s="63"/>
      <c r="AJ165" s="63"/>
      <c r="AK165" s="63"/>
      <c r="AL165" s="63"/>
      <c r="AM165" s="63"/>
      <c r="AN165" s="63"/>
      <c r="AO165" s="63"/>
      <c r="AQ165" s="72"/>
    </row>
    <row r="166" spans="5:43" s="67" customFormat="1" x14ac:dyDescent="0.25">
      <c r="E166" s="72"/>
      <c r="O166" s="68"/>
      <c r="P166" s="68"/>
      <c r="U166" s="68"/>
      <c r="V166" s="68"/>
      <c r="W166" s="68"/>
      <c r="AA166" s="63"/>
      <c r="AB166" s="63"/>
      <c r="AC166" s="63"/>
      <c r="AD166" s="63"/>
      <c r="AE166" s="71"/>
      <c r="AF166" s="63"/>
      <c r="AG166" s="68"/>
      <c r="AH166" s="63"/>
      <c r="AI166" s="63"/>
      <c r="AJ166" s="63"/>
      <c r="AK166" s="63"/>
      <c r="AL166" s="63"/>
      <c r="AM166" s="63"/>
      <c r="AN166" s="63"/>
      <c r="AO166" s="63"/>
      <c r="AQ166" s="72"/>
    </row>
    <row r="167" spans="5:43" s="67" customFormat="1" x14ac:dyDescent="0.25">
      <c r="E167" s="72"/>
      <c r="O167" s="68"/>
      <c r="P167" s="68"/>
      <c r="U167" s="68"/>
      <c r="V167" s="68"/>
      <c r="W167" s="68"/>
      <c r="AA167" s="63"/>
      <c r="AB167" s="63"/>
      <c r="AC167" s="63"/>
      <c r="AD167" s="63"/>
      <c r="AE167" s="71"/>
      <c r="AF167" s="63"/>
      <c r="AG167" s="68"/>
      <c r="AH167" s="63"/>
      <c r="AI167" s="63"/>
      <c r="AJ167" s="63"/>
      <c r="AK167" s="63"/>
      <c r="AL167" s="63"/>
      <c r="AM167" s="63"/>
      <c r="AN167" s="63"/>
      <c r="AO167" s="63"/>
      <c r="AQ167" s="72"/>
    </row>
    <row r="168" spans="5:43" s="67" customFormat="1" x14ac:dyDescent="0.25">
      <c r="E168" s="72"/>
      <c r="O168" s="68"/>
      <c r="P168" s="68"/>
      <c r="U168" s="68"/>
      <c r="V168" s="68"/>
      <c r="W168" s="68"/>
      <c r="AA168" s="63"/>
      <c r="AB168" s="63"/>
      <c r="AC168" s="63"/>
      <c r="AD168" s="63"/>
      <c r="AE168" s="71"/>
      <c r="AF168" s="63"/>
      <c r="AG168" s="68"/>
      <c r="AH168" s="63"/>
      <c r="AI168" s="63"/>
      <c r="AJ168" s="63"/>
      <c r="AK168" s="63"/>
      <c r="AL168" s="63"/>
      <c r="AM168" s="63"/>
      <c r="AN168" s="63"/>
      <c r="AO168" s="63"/>
      <c r="AQ168" s="72"/>
    </row>
    <row r="169" spans="5:43" s="67" customFormat="1" x14ac:dyDescent="0.25">
      <c r="E169" s="72"/>
      <c r="O169" s="68"/>
      <c r="P169" s="68"/>
      <c r="U169" s="68"/>
      <c r="V169" s="68"/>
      <c r="W169" s="68"/>
      <c r="AA169" s="63"/>
      <c r="AB169" s="63"/>
      <c r="AC169" s="63"/>
      <c r="AD169" s="63"/>
      <c r="AE169" s="71"/>
      <c r="AF169" s="63"/>
      <c r="AG169" s="68"/>
      <c r="AH169" s="63"/>
      <c r="AI169" s="63"/>
      <c r="AJ169" s="63"/>
      <c r="AK169" s="63"/>
      <c r="AL169" s="63"/>
      <c r="AM169" s="63"/>
      <c r="AN169" s="63"/>
      <c r="AO169" s="63"/>
      <c r="AQ169" s="72"/>
    </row>
    <row r="170" spans="5:43" s="67" customFormat="1" x14ac:dyDescent="0.25">
      <c r="E170" s="72"/>
      <c r="O170" s="68"/>
      <c r="P170" s="68"/>
      <c r="U170" s="68"/>
      <c r="V170" s="68"/>
      <c r="W170" s="68"/>
      <c r="AA170" s="63"/>
      <c r="AB170" s="63"/>
      <c r="AC170" s="63"/>
      <c r="AD170" s="63"/>
      <c r="AE170" s="71"/>
      <c r="AF170" s="63"/>
      <c r="AG170" s="68"/>
      <c r="AH170" s="63"/>
      <c r="AI170" s="63"/>
      <c r="AJ170" s="63"/>
      <c r="AK170" s="63"/>
      <c r="AL170" s="63"/>
      <c r="AM170" s="63"/>
      <c r="AN170" s="63"/>
      <c r="AO170" s="63"/>
      <c r="AQ170" s="72"/>
    </row>
    <row r="171" spans="5:43" s="67" customFormat="1" x14ac:dyDescent="0.25">
      <c r="E171" s="72"/>
      <c r="O171" s="68"/>
      <c r="P171" s="68"/>
      <c r="U171" s="68"/>
      <c r="V171" s="68"/>
      <c r="W171" s="68"/>
      <c r="AA171" s="63"/>
      <c r="AB171" s="63"/>
      <c r="AC171" s="63"/>
      <c r="AD171" s="63"/>
      <c r="AE171" s="71"/>
      <c r="AF171" s="63"/>
      <c r="AG171" s="68"/>
      <c r="AH171" s="63"/>
      <c r="AI171" s="63"/>
      <c r="AJ171" s="63"/>
      <c r="AK171" s="63"/>
      <c r="AL171" s="63"/>
      <c r="AM171" s="63"/>
      <c r="AN171" s="63"/>
      <c r="AO171" s="63"/>
      <c r="AQ171" s="72"/>
    </row>
    <row r="172" spans="5:43" s="67" customFormat="1" x14ac:dyDescent="0.25">
      <c r="E172" s="72"/>
      <c r="O172" s="68"/>
      <c r="P172" s="68"/>
      <c r="U172" s="68"/>
      <c r="V172" s="68"/>
      <c r="W172" s="68"/>
      <c r="AA172" s="63"/>
      <c r="AB172" s="63"/>
      <c r="AC172" s="63"/>
      <c r="AD172" s="63"/>
      <c r="AE172" s="71"/>
      <c r="AF172" s="63"/>
      <c r="AG172" s="68"/>
      <c r="AH172" s="63"/>
      <c r="AI172" s="63"/>
      <c r="AJ172" s="63"/>
      <c r="AK172" s="63"/>
      <c r="AL172" s="63"/>
      <c r="AM172" s="63"/>
      <c r="AN172" s="63"/>
      <c r="AO172" s="63"/>
      <c r="AQ172" s="72"/>
    </row>
    <row r="173" spans="5:43" s="67" customFormat="1" x14ac:dyDescent="0.25">
      <c r="E173" s="72"/>
      <c r="O173" s="68"/>
      <c r="P173" s="68"/>
      <c r="U173" s="68"/>
      <c r="V173" s="68"/>
      <c r="W173" s="68"/>
      <c r="AA173" s="63"/>
      <c r="AB173" s="63"/>
      <c r="AC173" s="63"/>
      <c r="AD173" s="63"/>
      <c r="AE173" s="71"/>
      <c r="AF173" s="63"/>
      <c r="AG173" s="68"/>
      <c r="AH173" s="63"/>
      <c r="AI173" s="63"/>
      <c r="AJ173" s="63"/>
      <c r="AK173" s="63"/>
      <c r="AL173" s="63"/>
      <c r="AM173" s="63"/>
      <c r="AN173" s="63"/>
      <c r="AO173" s="63"/>
      <c r="AQ173" s="72"/>
    </row>
    <row r="174" spans="5:43" s="67" customFormat="1" x14ac:dyDescent="0.25">
      <c r="E174" s="72"/>
      <c r="O174" s="68"/>
      <c r="P174" s="68"/>
      <c r="U174" s="68"/>
      <c r="V174" s="68"/>
      <c r="W174" s="68"/>
      <c r="AA174" s="63"/>
      <c r="AB174" s="63"/>
      <c r="AC174" s="63"/>
      <c r="AD174" s="63"/>
      <c r="AE174" s="71"/>
      <c r="AF174" s="63"/>
      <c r="AG174" s="68"/>
      <c r="AH174" s="63"/>
      <c r="AI174" s="63"/>
      <c r="AJ174" s="63"/>
      <c r="AK174" s="63"/>
      <c r="AL174" s="63"/>
      <c r="AM174" s="63"/>
      <c r="AN174" s="63"/>
      <c r="AO174" s="63"/>
      <c r="AQ174" s="72"/>
    </row>
    <row r="175" spans="5:43" s="67" customFormat="1" x14ac:dyDescent="0.25">
      <c r="E175" s="72"/>
      <c r="O175" s="68"/>
      <c r="P175" s="68"/>
      <c r="U175" s="68"/>
      <c r="V175" s="68"/>
      <c r="W175" s="68"/>
      <c r="AA175" s="63"/>
      <c r="AB175" s="63"/>
      <c r="AC175" s="63"/>
      <c r="AD175" s="63"/>
      <c r="AE175" s="71"/>
      <c r="AF175" s="63"/>
      <c r="AG175" s="68"/>
      <c r="AH175" s="63"/>
      <c r="AI175" s="63"/>
      <c r="AJ175" s="63"/>
      <c r="AK175" s="63"/>
      <c r="AL175" s="63"/>
      <c r="AM175" s="63"/>
      <c r="AN175" s="63"/>
      <c r="AO175" s="63"/>
      <c r="AQ175" s="72"/>
    </row>
    <row r="176" spans="5:43" s="67" customFormat="1" x14ac:dyDescent="0.25">
      <c r="E176" s="72"/>
      <c r="O176" s="68"/>
      <c r="P176" s="68"/>
      <c r="U176" s="68"/>
      <c r="V176" s="68"/>
      <c r="W176" s="68"/>
      <c r="AA176" s="63"/>
      <c r="AB176" s="63"/>
      <c r="AC176" s="63"/>
      <c r="AD176" s="63"/>
      <c r="AE176" s="71"/>
      <c r="AF176" s="63"/>
      <c r="AG176" s="68"/>
      <c r="AH176" s="63"/>
      <c r="AI176" s="63"/>
      <c r="AJ176" s="63"/>
      <c r="AK176" s="63"/>
      <c r="AL176" s="63"/>
      <c r="AM176" s="63"/>
      <c r="AN176" s="63"/>
      <c r="AO176" s="63"/>
      <c r="AQ176" s="72"/>
    </row>
    <row r="177" spans="5:43" s="67" customFormat="1" x14ac:dyDescent="0.25">
      <c r="E177" s="72"/>
      <c r="O177" s="68"/>
      <c r="P177" s="68"/>
      <c r="U177" s="68"/>
      <c r="V177" s="68"/>
      <c r="W177" s="68"/>
      <c r="AA177" s="63"/>
      <c r="AB177" s="63"/>
      <c r="AC177" s="63"/>
      <c r="AD177" s="63"/>
      <c r="AE177" s="71"/>
      <c r="AF177" s="63"/>
      <c r="AG177" s="68"/>
      <c r="AH177" s="63"/>
      <c r="AI177" s="63"/>
      <c r="AJ177" s="63"/>
      <c r="AK177" s="63"/>
      <c r="AL177" s="63"/>
      <c r="AM177" s="63"/>
      <c r="AN177" s="63"/>
      <c r="AO177" s="63"/>
      <c r="AQ177" s="72"/>
    </row>
    <row r="178" spans="5:43" s="67" customFormat="1" x14ac:dyDescent="0.25">
      <c r="E178" s="72"/>
      <c r="O178" s="68"/>
      <c r="P178" s="68"/>
      <c r="U178" s="68"/>
      <c r="V178" s="68"/>
      <c r="W178" s="68"/>
      <c r="AA178" s="63"/>
      <c r="AB178" s="63"/>
      <c r="AC178" s="63"/>
      <c r="AD178" s="63"/>
      <c r="AE178" s="71"/>
      <c r="AF178" s="63"/>
      <c r="AG178" s="68"/>
      <c r="AH178" s="63"/>
      <c r="AI178" s="63"/>
      <c r="AJ178" s="63"/>
      <c r="AK178" s="63"/>
      <c r="AL178" s="63"/>
      <c r="AM178" s="63"/>
      <c r="AN178" s="63"/>
      <c r="AO178" s="63"/>
      <c r="AQ178" s="72"/>
    </row>
    <row r="179" spans="5:43" s="67" customFormat="1" x14ac:dyDescent="0.25">
      <c r="E179" s="72"/>
      <c r="O179" s="68"/>
      <c r="P179" s="68"/>
      <c r="U179" s="68"/>
      <c r="V179" s="68"/>
      <c r="W179" s="68"/>
      <c r="AA179" s="63"/>
      <c r="AB179" s="63"/>
      <c r="AC179" s="63"/>
      <c r="AD179" s="63"/>
      <c r="AE179" s="71"/>
      <c r="AF179" s="63"/>
      <c r="AG179" s="68"/>
      <c r="AH179" s="63"/>
      <c r="AI179" s="63"/>
      <c r="AJ179" s="63"/>
      <c r="AK179" s="63"/>
      <c r="AL179" s="63"/>
      <c r="AM179" s="63"/>
      <c r="AN179" s="63"/>
      <c r="AO179" s="63"/>
      <c r="AQ179" s="72"/>
    </row>
    <row r="180" spans="5:43" s="67" customFormat="1" x14ac:dyDescent="0.25">
      <c r="E180" s="72"/>
      <c r="O180" s="68"/>
      <c r="P180" s="68"/>
      <c r="U180" s="68"/>
      <c r="V180" s="68"/>
      <c r="W180" s="68"/>
      <c r="AA180" s="63"/>
      <c r="AB180" s="63"/>
      <c r="AC180" s="63"/>
      <c r="AD180" s="63"/>
      <c r="AE180" s="71"/>
      <c r="AF180" s="63"/>
      <c r="AG180" s="68"/>
      <c r="AH180" s="63"/>
      <c r="AI180" s="63"/>
      <c r="AJ180" s="63"/>
      <c r="AK180" s="63"/>
      <c r="AL180" s="63"/>
      <c r="AM180" s="63"/>
      <c r="AN180" s="63"/>
      <c r="AO180" s="63"/>
      <c r="AQ180" s="72"/>
    </row>
    <row r="181" spans="5:43" s="67" customFormat="1" x14ac:dyDescent="0.25">
      <c r="E181" s="72"/>
      <c r="O181" s="68"/>
      <c r="P181" s="68"/>
      <c r="U181" s="68"/>
      <c r="V181" s="68"/>
      <c r="W181" s="68"/>
      <c r="AA181" s="63"/>
      <c r="AB181" s="63"/>
      <c r="AC181" s="63"/>
      <c r="AD181" s="63"/>
      <c r="AE181" s="71"/>
      <c r="AF181" s="63"/>
      <c r="AG181" s="68"/>
      <c r="AH181" s="63"/>
      <c r="AI181" s="63"/>
      <c r="AJ181" s="63"/>
      <c r="AK181" s="63"/>
      <c r="AL181" s="63"/>
      <c r="AM181" s="63"/>
      <c r="AN181" s="63"/>
      <c r="AO181" s="63"/>
      <c r="AQ181" s="72"/>
    </row>
    <row r="182" spans="5:43" s="67" customFormat="1" x14ac:dyDescent="0.25">
      <c r="E182" s="72"/>
      <c r="O182" s="68"/>
      <c r="P182" s="68"/>
      <c r="U182" s="68"/>
      <c r="V182" s="68"/>
      <c r="W182" s="68"/>
      <c r="AA182" s="63"/>
      <c r="AB182" s="63"/>
      <c r="AC182" s="63"/>
      <c r="AD182" s="63"/>
      <c r="AE182" s="71"/>
      <c r="AF182" s="63"/>
      <c r="AG182" s="68"/>
      <c r="AH182" s="63"/>
      <c r="AI182" s="63"/>
      <c r="AJ182" s="63"/>
      <c r="AK182" s="63"/>
      <c r="AL182" s="63"/>
      <c r="AM182" s="63"/>
      <c r="AN182" s="63"/>
      <c r="AO182" s="63"/>
      <c r="AQ182" s="72"/>
    </row>
    <row r="183" spans="5:43" s="67" customFormat="1" x14ac:dyDescent="0.25">
      <c r="E183" s="72"/>
      <c r="O183" s="68"/>
      <c r="P183" s="68"/>
      <c r="U183" s="68"/>
      <c r="V183" s="68"/>
      <c r="W183" s="68"/>
      <c r="AA183" s="63"/>
      <c r="AB183" s="63"/>
      <c r="AC183" s="63"/>
      <c r="AD183" s="63"/>
      <c r="AE183" s="71"/>
      <c r="AF183" s="63"/>
      <c r="AG183" s="68"/>
      <c r="AH183" s="63"/>
      <c r="AI183" s="63"/>
      <c r="AJ183" s="63"/>
      <c r="AK183" s="63"/>
      <c r="AL183" s="63"/>
      <c r="AM183" s="63"/>
      <c r="AN183" s="63"/>
      <c r="AO183" s="63"/>
      <c r="AQ183" s="72"/>
    </row>
    <row r="184" spans="5:43" s="67" customFormat="1" x14ac:dyDescent="0.25">
      <c r="E184" s="72"/>
      <c r="O184" s="68"/>
      <c r="P184" s="68"/>
      <c r="U184" s="68"/>
      <c r="V184" s="68"/>
      <c r="W184" s="68"/>
      <c r="AA184" s="63"/>
      <c r="AB184" s="63"/>
      <c r="AC184" s="63"/>
      <c r="AD184" s="63"/>
      <c r="AE184" s="71"/>
      <c r="AF184" s="63"/>
      <c r="AG184" s="68"/>
      <c r="AH184" s="63"/>
      <c r="AI184" s="63"/>
      <c r="AJ184" s="63"/>
      <c r="AK184" s="63"/>
      <c r="AL184" s="63"/>
      <c r="AM184" s="63"/>
      <c r="AN184" s="63"/>
      <c r="AO184" s="63"/>
      <c r="AQ184" s="72"/>
    </row>
    <row r="185" spans="5:43" s="67" customFormat="1" x14ac:dyDescent="0.25">
      <c r="E185" s="72"/>
      <c r="O185" s="68"/>
      <c r="P185" s="68"/>
      <c r="U185" s="68"/>
      <c r="V185" s="68"/>
      <c r="W185" s="68"/>
      <c r="AA185" s="63"/>
      <c r="AB185" s="63"/>
      <c r="AC185" s="63"/>
      <c r="AD185" s="63"/>
      <c r="AE185" s="71"/>
      <c r="AF185" s="63"/>
      <c r="AG185" s="68"/>
      <c r="AH185" s="63"/>
      <c r="AI185" s="63"/>
      <c r="AJ185" s="63"/>
      <c r="AK185" s="63"/>
      <c r="AL185" s="63"/>
      <c r="AM185" s="63"/>
      <c r="AN185" s="63"/>
      <c r="AO185" s="63"/>
      <c r="AQ185" s="72"/>
    </row>
    <row r="186" spans="5:43" s="67" customFormat="1" x14ac:dyDescent="0.25">
      <c r="E186" s="72"/>
      <c r="O186" s="68"/>
      <c r="P186" s="68"/>
      <c r="U186" s="68"/>
      <c r="V186" s="68"/>
      <c r="W186" s="68"/>
      <c r="AA186" s="63"/>
      <c r="AB186" s="63"/>
      <c r="AC186" s="63"/>
      <c r="AD186" s="63"/>
      <c r="AE186" s="71"/>
      <c r="AF186" s="63"/>
      <c r="AG186" s="68"/>
      <c r="AH186" s="63"/>
      <c r="AI186" s="63"/>
      <c r="AJ186" s="63"/>
      <c r="AK186" s="63"/>
      <c r="AL186" s="63"/>
      <c r="AM186" s="63"/>
      <c r="AN186" s="63"/>
      <c r="AO186" s="63"/>
      <c r="AQ186" s="72"/>
    </row>
    <row r="187" spans="5:43" s="67" customFormat="1" x14ac:dyDescent="0.25">
      <c r="E187" s="72"/>
      <c r="O187" s="68"/>
      <c r="P187" s="68"/>
      <c r="U187" s="68"/>
      <c r="V187" s="68"/>
      <c r="W187" s="68"/>
      <c r="AA187" s="63"/>
      <c r="AB187" s="63"/>
      <c r="AC187" s="63"/>
      <c r="AD187" s="63"/>
      <c r="AE187" s="71"/>
      <c r="AF187" s="63"/>
      <c r="AG187" s="68"/>
      <c r="AH187" s="63"/>
      <c r="AI187" s="63"/>
      <c r="AJ187" s="63"/>
      <c r="AK187" s="63"/>
      <c r="AL187" s="63"/>
      <c r="AM187" s="63"/>
      <c r="AN187" s="63"/>
      <c r="AO187" s="63"/>
      <c r="AQ187" s="72"/>
    </row>
    <row r="188" spans="5:43" s="67" customFormat="1" x14ac:dyDescent="0.25">
      <c r="E188" s="72"/>
      <c r="O188" s="68"/>
      <c r="P188" s="68"/>
      <c r="U188" s="68"/>
      <c r="V188" s="68"/>
      <c r="W188" s="68"/>
      <c r="AA188" s="63"/>
      <c r="AB188" s="63"/>
      <c r="AC188" s="63"/>
      <c r="AD188" s="63"/>
      <c r="AE188" s="71"/>
      <c r="AF188" s="63"/>
      <c r="AG188" s="68"/>
      <c r="AH188" s="63"/>
      <c r="AI188" s="63"/>
      <c r="AJ188" s="63"/>
      <c r="AK188" s="63"/>
      <c r="AL188" s="63"/>
      <c r="AM188" s="63"/>
      <c r="AN188" s="63"/>
      <c r="AO188" s="63"/>
      <c r="AQ188" s="72"/>
    </row>
    <row r="189" spans="5:43" s="67" customFormat="1" x14ac:dyDescent="0.25">
      <c r="E189" s="72"/>
      <c r="O189" s="68"/>
      <c r="P189" s="68"/>
      <c r="U189" s="68"/>
      <c r="V189" s="68"/>
      <c r="W189" s="68"/>
      <c r="AA189" s="63"/>
      <c r="AB189" s="63"/>
      <c r="AC189" s="63"/>
      <c r="AD189" s="63"/>
      <c r="AE189" s="71"/>
      <c r="AF189" s="63"/>
      <c r="AG189" s="68"/>
      <c r="AH189" s="63"/>
      <c r="AI189" s="63"/>
      <c r="AJ189" s="63"/>
      <c r="AK189" s="63"/>
      <c r="AL189" s="63"/>
      <c r="AM189" s="63"/>
      <c r="AN189" s="63"/>
      <c r="AO189" s="63"/>
      <c r="AQ189" s="72"/>
    </row>
    <row r="190" spans="5:43" s="67" customFormat="1" x14ac:dyDescent="0.25">
      <c r="E190" s="72"/>
      <c r="O190" s="68"/>
      <c r="P190" s="68"/>
      <c r="U190" s="68"/>
      <c r="V190" s="68"/>
      <c r="W190" s="68"/>
      <c r="AA190" s="63"/>
      <c r="AB190" s="63"/>
      <c r="AC190" s="63"/>
      <c r="AD190" s="63"/>
      <c r="AE190" s="71"/>
      <c r="AF190" s="63"/>
      <c r="AG190" s="68"/>
      <c r="AH190" s="63"/>
      <c r="AI190" s="63"/>
      <c r="AJ190" s="63"/>
      <c r="AK190" s="63"/>
      <c r="AL190" s="63"/>
      <c r="AM190" s="63"/>
      <c r="AN190" s="63"/>
      <c r="AO190" s="63"/>
      <c r="AQ190" s="72"/>
    </row>
    <row r="191" spans="5:43" s="67" customFormat="1" x14ac:dyDescent="0.25">
      <c r="E191" s="72"/>
      <c r="O191" s="68"/>
      <c r="P191" s="68"/>
      <c r="U191" s="68"/>
      <c r="V191" s="68"/>
      <c r="W191" s="68"/>
      <c r="AA191" s="63"/>
      <c r="AB191" s="63"/>
      <c r="AC191" s="63"/>
      <c r="AD191" s="63"/>
      <c r="AE191" s="71"/>
      <c r="AF191" s="63"/>
      <c r="AG191" s="68"/>
      <c r="AH191" s="63"/>
      <c r="AI191" s="63"/>
      <c r="AJ191" s="63"/>
      <c r="AK191" s="63"/>
      <c r="AL191" s="63"/>
      <c r="AM191" s="63"/>
      <c r="AN191" s="63"/>
      <c r="AO191" s="63"/>
      <c r="AQ191" s="72"/>
    </row>
    <row r="192" spans="5:43" s="67" customFormat="1" x14ac:dyDescent="0.25">
      <c r="E192" s="72"/>
      <c r="O192" s="68"/>
      <c r="P192" s="68"/>
      <c r="U192" s="68"/>
      <c r="V192" s="68"/>
      <c r="W192" s="68"/>
      <c r="AA192" s="63"/>
      <c r="AB192" s="63"/>
      <c r="AC192" s="63"/>
      <c r="AD192" s="63"/>
      <c r="AE192" s="71"/>
      <c r="AF192" s="63"/>
      <c r="AG192" s="68"/>
      <c r="AH192" s="63"/>
      <c r="AI192" s="63"/>
      <c r="AJ192" s="63"/>
      <c r="AK192" s="63"/>
      <c r="AL192" s="63"/>
      <c r="AM192" s="63"/>
      <c r="AN192" s="63"/>
      <c r="AO192" s="63"/>
      <c r="AQ192" s="72"/>
    </row>
    <row r="193" spans="5:43" s="67" customFormat="1" x14ac:dyDescent="0.25">
      <c r="E193" s="72"/>
      <c r="U193" s="68"/>
      <c r="V193" s="68"/>
      <c r="W193" s="68"/>
      <c r="AA193" s="63"/>
      <c r="AB193" s="63"/>
      <c r="AC193" s="63"/>
      <c r="AD193" s="63"/>
      <c r="AE193" s="71"/>
      <c r="AF193" s="63"/>
      <c r="AH193" s="63"/>
      <c r="AI193" s="63"/>
      <c r="AJ193" s="63"/>
      <c r="AK193" s="63"/>
      <c r="AL193" s="63"/>
      <c r="AM193" s="63"/>
      <c r="AN193" s="63"/>
      <c r="AO193" s="63"/>
      <c r="AQ193" s="72"/>
    </row>
    <row r="194" spans="5:43" s="67" customFormat="1" x14ac:dyDescent="0.25">
      <c r="E194" s="72"/>
      <c r="G194" s="21"/>
      <c r="U194" s="68"/>
      <c r="V194" s="68"/>
      <c r="W194" s="68"/>
      <c r="AA194" s="63"/>
      <c r="AB194" s="63"/>
      <c r="AC194" s="63"/>
      <c r="AD194" s="63"/>
      <c r="AE194" s="71"/>
      <c r="AF194" s="63"/>
      <c r="AH194" s="63"/>
      <c r="AI194" s="63"/>
      <c r="AJ194" s="63"/>
      <c r="AK194" s="63"/>
      <c r="AL194" s="63"/>
      <c r="AM194" s="63"/>
      <c r="AN194" s="63"/>
      <c r="AO194" s="63"/>
      <c r="AP194" s="21"/>
      <c r="AQ194" s="41"/>
    </row>
    <row r="195" spans="5:43" s="67" customFormat="1" x14ac:dyDescent="0.25">
      <c r="E195" s="72"/>
      <c r="G195" s="21"/>
      <c r="U195" s="68"/>
      <c r="V195" s="68"/>
      <c r="W195" s="68"/>
      <c r="AA195" s="63"/>
      <c r="AB195" s="63"/>
      <c r="AC195" s="63"/>
      <c r="AD195" s="63"/>
      <c r="AE195" s="71"/>
      <c r="AF195" s="63"/>
      <c r="AH195" s="63"/>
      <c r="AI195" s="63"/>
      <c r="AJ195" s="63"/>
      <c r="AK195" s="63"/>
      <c r="AL195" s="63"/>
      <c r="AM195" s="63"/>
      <c r="AN195" s="63"/>
      <c r="AO195" s="63"/>
      <c r="AP195" s="21"/>
      <c r="AQ195" s="41"/>
    </row>
    <row r="196" spans="5:43" s="67" customFormat="1" x14ac:dyDescent="0.25">
      <c r="E196" s="72"/>
      <c r="G196" s="21"/>
      <c r="U196" s="68"/>
      <c r="V196" s="68"/>
      <c r="W196" s="68"/>
      <c r="AA196" s="63"/>
      <c r="AB196" s="63"/>
      <c r="AC196" s="63"/>
      <c r="AD196" s="63"/>
      <c r="AE196" s="71"/>
      <c r="AF196" s="63"/>
      <c r="AH196" s="63"/>
      <c r="AI196" s="63"/>
      <c r="AJ196" s="63"/>
      <c r="AK196" s="63"/>
      <c r="AL196" s="63"/>
      <c r="AM196" s="63"/>
      <c r="AN196" s="63"/>
      <c r="AO196" s="63"/>
      <c r="AP196" s="21"/>
      <c r="AQ196" s="41"/>
    </row>
    <row r="197" spans="5:43" s="67" customFormat="1" x14ac:dyDescent="0.25">
      <c r="E197" s="72"/>
      <c r="G197" s="21"/>
      <c r="U197" s="68"/>
      <c r="V197" s="68"/>
      <c r="W197" s="68"/>
      <c r="AA197" s="63"/>
      <c r="AB197" s="63"/>
      <c r="AC197" s="63"/>
      <c r="AD197" s="63"/>
      <c r="AE197" s="71"/>
      <c r="AF197" s="63"/>
      <c r="AH197" s="63"/>
      <c r="AI197" s="63"/>
      <c r="AJ197" s="63"/>
      <c r="AK197" s="63"/>
      <c r="AL197" s="63"/>
      <c r="AM197" s="63"/>
      <c r="AN197" s="63"/>
      <c r="AO197" s="63"/>
      <c r="AP197" s="21"/>
      <c r="AQ197" s="41"/>
    </row>
    <row r="198" spans="5:43" s="67" customFormat="1" x14ac:dyDescent="0.25">
      <c r="E198" s="72"/>
      <c r="G198" s="21"/>
      <c r="U198" s="68"/>
      <c r="V198" s="68"/>
      <c r="W198" s="68"/>
      <c r="AA198" s="63"/>
      <c r="AB198" s="63"/>
      <c r="AC198" s="63"/>
      <c r="AD198" s="63"/>
      <c r="AE198" s="71"/>
      <c r="AF198" s="63"/>
      <c r="AH198" s="63"/>
      <c r="AI198" s="63"/>
      <c r="AJ198" s="63"/>
      <c r="AK198" s="63"/>
      <c r="AL198" s="63"/>
      <c r="AM198" s="63"/>
      <c r="AN198" s="63"/>
      <c r="AO198" s="63"/>
      <c r="AP198" s="21"/>
      <c r="AQ198" s="41"/>
    </row>
    <row r="199" spans="5:43" s="67" customFormat="1" x14ac:dyDescent="0.25">
      <c r="E199" s="72"/>
      <c r="G199" s="21"/>
      <c r="U199" s="68"/>
      <c r="V199" s="68"/>
      <c r="W199" s="68"/>
      <c r="AA199" s="63"/>
      <c r="AB199" s="63"/>
      <c r="AC199" s="63"/>
      <c r="AD199" s="63"/>
      <c r="AE199" s="71"/>
      <c r="AF199" s="63"/>
      <c r="AH199" s="63"/>
      <c r="AI199" s="63"/>
      <c r="AJ199" s="63"/>
      <c r="AK199" s="63"/>
      <c r="AL199" s="63"/>
      <c r="AM199" s="63"/>
      <c r="AN199" s="63"/>
      <c r="AO199" s="63"/>
      <c r="AP199" s="21"/>
      <c r="AQ199" s="41"/>
    </row>
    <row r="200" spans="5:43" s="67" customFormat="1" x14ac:dyDescent="0.25">
      <c r="E200" s="72"/>
      <c r="G200" s="21"/>
      <c r="U200" s="68"/>
      <c r="V200" s="68"/>
      <c r="W200" s="68"/>
      <c r="AA200" s="63"/>
      <c r="AB200" s="63"/>
      <c r="AC200" s="63"/>
      <c r="AD200" s="63"/>
      <c r="AE200" s="71"/>
      <c r="AF200" s="63"/>
      <c r="AH200" s="63"/>
      <c r="AI200" s="63"/>
      <c r="AJ200" s="63"/>
      <c r="AK200" s="63"/>
      <c r="AL200" s="63"/>
      <c r="AM200" s="63"/>
      <c r="AN200" s="63"/>
      <c r="AO200" s="63"/>
      <c r="AP200" s="21"/>
      <c r="AQ200" s="41"/>
    </row>
    <row r="201" spans="5:43" s="67" customFormat="1" x14ac:dyDescent="0.25">
      <c r="E201" s="72"/>
      <c r="G201" s="21"/>
      <c r="U201" s="68"/>
      <c r="V201" s="68"/>
      <c r="W201" s="68"/>
      <c r="AA201" s="63"/>
      <c r="AB201" s="63"/>
      <c r="AC201" s="63"/>
      <c r="AD201" s="63"/>
      <c r="AE201" s="71"/>
      <c r="AF201" s="63"/>
      <c r="AH201" s="63"/>
      <c r="AI201" s="63"/>
      <c r="AJ201" s="63"/>
      <c r="AK201" s="63"/>
      <c r="AL201" s="63"/>
      <c r="AM201" s="63"/>
      <c r="AN201" s="63"/>
      <c r="AO201" s="63"/>
      <c r="AP201" s="21"/>
      <c r="AQ201" s="41"/>
    </row>
    <row r="202" spans="5:43" s="67" customFormat="1" x14ac:dyDescent="0.25">
      <c r="E202" s="72"/>
      <c r="G202" s="21"/>
      <c r="U202" s="68"/>
      <c r="V202" s="68"/>
      <c r="W202" s="68"/>
      <c r="AA202" s="63"/>
      <c r="AB202" s="63"/>
      <c r="AC202" s="63"/>
      <c r="AD202" s="63"/>
      <c r="AE202" s="71"/>
      <c r="AF202" s="63"/>
      <c r="AH202" s="63"/>
      <c r="AI202" s="63"/>
      <c r="AJ202" s="63"/>
      <c r="AK202" s="63"/>
      <c r="AL202" s="63"/>
      <c r="AM202" s="63"/>
      <c r="AN202" s="63"/>
      <c r="AO202" s="63"/>
      <c r="AP202" s="21"/>
      <c r="AQ202" s="41"/>
    </row>
    <row r="203" spans="5:43" s="67" customFormat="1" x14ac:dyDescent="0.25">
      <c r="E203" s="72"/>
      <c r="G203" s="21"/>
      <c r="U203" s="68"/>
      <c r="V203" s="68"/>
      <c r="W203" s="68"/>
      <c r="AA203" s="63"/>
      <c r="AB203" s="63"/>
      <c r="AC203" s="63"/>
      <c r="AD203" s="63"/>
      <c r="AE203" s="71"/>
      <c r="AF203" s="63"/>
      <c r="AH203" s="63"/>
      <c r="AI203" s="63"/>
      <c r="AJ203" s="63"/>
      <c r="AK203" s="63"/>
      <c r="AL203" s="63"/>
      <c r="AM203" s="63"/>
      <c r="AN203" s="63"/>
      <c r="AO203" s="63"/>
      <c r="AP203" s="21"/>
      <c r="AQ203" s="41"/>
    </row>
    <row r="204" spans="5:43" s="67" customFormat="1" x14ac:dyDescent="0.25">
      <c r="E204" s="72"/>
      <c r="G204" s="21"/>
      <c r="U204" s="68"/>
      <c r="V204" s="68"/>
      <c r="W204" s="68"/>
      <c r="AA204" s="63"/>
      <c r="AB204" s="63"/>
      <c r="AC204" s="63"/>
      <c r="AD204" s="63"/>
      <c r="AE204" s="71"/>
      <c r="AF204" s="63"/>
      <c r="AH204" s="63"/>
      <c r="AI204" s="63"/>
      <c r="AJ204" s="63"/>
      <c r="AK204" s="63"/>
      <c r="AL204" s="63"/>
      <c r="AM204" s="63"/>
      <c r="AN204" s="63"/>
      <c r="AO204" s="63"/>
      <c r="AP204" s="21"/>
      <c r="AQ204" s="41"/>
    </row>
    <row r="205" spans="5:43" s="67" customFormat="1" x14ac:dyDescent="0.25">
      <c r="E205" s="72"/>
      <c r="G205" s="21"/>
      <c r="U205" s="68"/>
      <c r="V205" s="68"/>
      <c r="W205" s="68"/>
      <c r="AA205" s="63"/>
      <c r="AB205" s="63"/>
      <c r="AC205" s="63"/>
      <c r="AD205" s="63"/>
      <c r="AE205" s="71"/>
      <c r="AF205" s="63"/>
      <c r="AH205" s="63"/>
      <c r="AI205" s="63"/>
      <c r="AJ205" s="63"/>
      <c r="AK205" s="63"/>
      <c r="AL205" s="63"/>
      <c r="AM205" s="63"/>
      <c r="AN205" s="63"/>
      <c r="AO205" s="63"/>
      <c r="AP205" s="21"/>
      <c r="AQ205" s="41"/>
    </row>
    <row r="206" spans="5:43" s="67" customFormat="1" x14ac:dyDescent="0.25">
      <c r="E206" s="72"/>
      <c r="G206" s="21"/>
      <c r="U206" s="68"/>
      <c r="V206" s="68"/>
      <c r="W206" s="68"/>
      <c r="AA206" s="63"/>
      <c r="AB206" s="63"/>
      <c r="AC206" s="63"/>
      <c r="AD206" s="63"/>
      <c r="AE206" s="71"/>
      <c r="AF206" s="63"/>
      <c r="AH206" s="63"/>
      <c r="AI206" s="63"/>
      <c r="AJ206" s="63"/>
      <c r="AK206" s="63"/>
      <c r="AL206" s="63"/>
      <c r="AM206" s="63"/>
      <c r="AN206" s="63"/>
      <c r="AO206" s="63"/>
      <c r="AP206" s="21"/>
      <c r="AQ206" s="41"/>
    </row>
    <row r="207" spans="5:43" s="67" customFormat="1" x14ac:dyDescent="0.25">
      <c r="E207" s="72"/>
      <c r="G207" s="21"/>
      <c r="U207" s="68"/>
      <c r="V207" s="68"/>
      <c r="W207" s="68"/>
      <c r="AA207" s="63"/>
      <c r="AB207" s="63"/>
      <c r="AC207" s="63"/>
      <c r="AD207" s="63"/>
      <c r="AE207" s="71"/>
      <c r="AF207" s="63"/>
      <c r="AH207" s="63"/>
      <c r="AI207" s="63"/>
      <c r="AJ207" s="63"/>
      <c r="AK207" s="63"/>
      <c r="AL207" s="63"/>
      <c r="AM207" s="63"/>
      <c r="AN207" s="63"/>
      <c r="AO207" s="63"/>
      <c r="AP207" s="21"/>
      <c r="AQ207" s="41"/>
    </row>
    <row r="208" spans="5:43" s="67" customFormat="1" x14ac:dyDescent="0.25">
      <c r="E208" s="72"/>
      <c r="G208" s="21"/>
      <c r="U208" s="68"/>
      <c r="V208" s="68"/>
      <c r="W208" s="68"/>
      <c r="AA208" s="63"/>
      <c r="AB208" s="63"/>
      <c r="AC208" s="63"/>
      <c r="AD208" s="63"/>
      <c r="AE208" s="71"/>
      <c r="AF208" s="63"/>
      <c r="AH208" s="63"/>
      <c r="AI208" s="63"/>
      <c r="AJ208" s="63"/>
      <c r="AK208" s="63"/>
      <c r="AL208" s="63"/>
      <c r="AM208" s="63"/>
      <c r="AN208" s="63"/>
      <c r="AO208" s="63"/>
      <c r="AP208" s="21"/>
      <c r="AQ208" s="41"/>
    </row>
    <row r="209" spans="5:43" s="67" customFormat="1" x14ac:dyDescent="0.25">
      <c r="E209" s="72"/>
      <c r="G209" s="21"/>
      <c r="U209" s="68"/>
      <c r="V209" s="68"/>
      <c r="W209" s="68"/>
      <c r="AA209" s="63"/>
      <c r="AB209" s="63"/>
      <c r="AC209" s="63"/>
      <c r="AD209" s="63"/>
      <c r="AE209" s="71"/>
      <c r="AF209" s="63"/>
      <c r="AH209" s="63"/>
      <c r="AI209" s="63"/>
      <c r="AJ209" s="63"/>
      <c r="AK209" s="63"/>
      <c r="AL209" s="63"/>
      <c r="AM209" s="63"/>
      <c r="AN209" s="63"/>
      <c r="AO209" s="63"/>
      <c r="AP209" s="21"/>
      <c r="AQ209" s="41"/>
    </row>
    <row r="210" spans="5:43" s="67" customFormat="1" x14ac:dyDescent="0.25">
      <c r="E210" s="72"/>
      <c r="G210" s="21"/>
      <c r="U210" s="68"/>
      <c r="V210" s="68"/>
      <c r="W210" s="68"/>
      <c r="AA210" s="63"/>
      <c r="AB210" s="63"/>
      <c r="AC210" s="63"/>
      <c r="AD210" s="63"/>
      <c r="AE210" s="71"/>
      <c r="AF210" s="63"/>
      <c r="AH210" s="63"/>
      <c r="AI210" s="63"/>
      <c r="AJ210" s="63"/>
      <c r="AK210" s="63"/>
      <c r="AL210" s="63"/>
      <c r="AM210" s="63"/>
      <c r="AN210" s="63"/>
      <c r="AO210" s="63"/>
      <c r="AP210" s="21"/>
      <c r="AQ210" s="41"/>
    </row>
    <row r="211" spans="5:43" s="67" customFormat="1" x14ac:dyDescent="0.25">
      <c r="E211" s="72"/>
      <c r="G211" s="21"/>
      <c r="U211" s="68"/>
      <c r="V211" s="68"/>
      <c r="W211" s="68"/>
      <c r="AA211" s="63"/>
      <c r="AB211" s="63"/>
      <c r="AC211" s="63"/>
      <c r="AD211" s="63"/>
      <c r="AE211" s="71"/>
      <c r="AF211" s="63"/>
      <c r="AH211" s="63"/>
      <c r="AI211" s="63"/>
      <c r="AJ211" s="63"/>
      <c r="AK211" s="63"/>
      <c r="AL211" s="63"/>
      <c r="AM211" s="63"/>
      <c r="AN211" s="63"/>
      <c r="AO211" s="63"/>
      <c r="AP211" s="21"/>
      <c r="AQ211" s="41"/>
    </row>
    <row r="212" spans="5:43" s="67" customFormat="1" x14ac:dyDescent="0.25">
      <c r="E212" s="72"/>
      <c r="G212" s="21"/>
      <c r="U212" s="68"/>
      <c r="V212" s="68"/>
      <c r="W212" s="68"/>
      <c r="AA212" s="63"/>
      <c r="AB212" s="63"/>
      <c r="AC212" s="63"/>
      <c r="AD212" s="63"/>
      <c r="AE212" s="71"/>
      <c r="AF212" s="63"/>
      <c r="AH212" s="63"/>
      <c r="AI212" s="63"/>
      <c r="AJ212" s="63"/>
      <c r="AK212" s="63"/>
      <c r="AL212" s="63"/>
      <c r="AM212" s="63"/>
      <c r="AN212" s="63"/>
      <c r="AO212" s="63"/>
      <c r="AP212" s="21"/>
      <c r="AQ212" s="41"/>
    </row>
    <row r="213" spans="5:43" s="67" customFormat="1" x14ac:dyDescent="0.25">
      <c r="E213" s="72"/>
      <c r="G213" s="21"/>
      <c r="U213" s="68"/>
      <c r="V213" s="68"/>
      <c r="W213" s="68"/>
      <c r="AA213" s="63"/>
      <c r="AB213" s="63"/>
      <c r="AC213" s="63"/>
      <c r="AD213" s="63"/>
      <c r="AE213" s="71"/>
      <c r="AF213" s="63"/>
      <c r="AH213" s="63"/>
      <c r="AI213" s="63"/>
      <c r="AJ213" s="63"/>
      <c r="AK213" s="63"/>
      <c r="AL213" s="63"/>
      <c r="AM213" s="63"/>
      <c r="AN213" s="63"/>
      <c r="AO213" s="63"/>
      <c r="AP213" s="21"/>
      <c r="AQ213" s="41"/>
    </row>
    <row r="214" spans="5:43" s="67" customFormat="1" x14ac:dyDescent="0.25">
      <c r="E214" s="72"/>
      <c r="G214" s="21"/>
      <c r="U214" s="68"/>
      <c r="V214" s="68"/>
      <c r="W214" s="68"/>
      <c r="AA214" s="63"/>
      <c r="AB214" s="63"/>
      <c r="AC214" s="63"/>
      <c r="AD214" s="63"/>
      <c r="AE214" s="71"/>
      <c r="AF214" s="63"/>
      <c r="AH214" s="63"/>
      <c r="AI214" s="63"/>
      <c r="AJ214" s="63"/>
      <c r="AK214" s="63"/>
      <c r="AL214" s="63"/>
      <c r="AM214" s="63"/>
      <c r="AN214" s="63"/>
      <c r="AO214" s="63"/>
      <c r="AP214" s="21"/>
      <c r="AQ214" s="41"/>
    </row>
    <row r="215" spans="5:43" s="67" customFormat="1" x14ac:dyDescent="0.25">
      <c r="E215" s="72"/>
      <c r="G215" s="21"/>
      <c r="U215" s="68"/>
      <c r="V215" s="68"/>
      <c r="W215" s="68"/>
      <c r="AA215" s="63"/>
      <c r="AB215" s="63"/>
      <c r="AC215" s="63"/>
      <c r="AD215" s="63"/>
      <c r="AE215" s="71"/>
      <c r="AF215" s="63"/>
      <c r="AH215" s="63"/>
      <c r="AI215" s="63"/>
      <c r="AJ215" s="63"/>
      <c r="AK215" s="63"/>
      <c r="AL215" s="63"/>
      <c r="AM215" s="63"/>
      <c r="AN215" s="63"/>
      <c r="AO215" s="63"/>
      <c r="AP215" s="21"/>
      <c r="AQ215" s="41"/>
    </row>
    <row r="216" spans="5:43" s="67" customFormat="1" x14ac:dyDescent="0.25">
      <c r="E216" s="72"/>
      <c r="G216" s="21"/>
      <c r="U216" s="68"/>
      <c r="V216" s="68"/>
      <c r="W216" s="68"/>
      <c r="AA216" s="63"/>
      <c r="AB216" s="63"/>
      <c r="AC216" s="63"/>
      <c r="AD216" s="63"/>
      <c r="AE216" s="71"/>
      <c r="AF216" s="63"/>
      <c r="AH216" s="63"/>
      <c r="AI216" s="63"/>
      <c r="AJ216" s="63"/>
      <c r="AK216" s="63"/>
      <c r="AL216" s="63"/>
      <c r="AM216" s="63"/>
      <c r="AN216" s="63"/>
      <c r="AO216" s="63"/>
      <c r="AP216" s="21"/>
      <c r="AQ216" s="41"/>
    </row>
    <row r="217" spans="5:43" s="67" customFormat="1" x14ac:dyDescent="0.25">
      <c r="E217" s="72"/>
      <c r="G217" s="21"/>
      <c r="U217" s="68"/>
      <c r="V217" s="68"/>
      <c r="W217" s="68"/>
      <c r="AA217" s="63"/>
      <c r="AB217" s="63"/>
      <c r="AC217" s="63"/>
      <c r="AD217" s="63"/>
      <c r="AE217" s="71"/>
      <c r="AF217" s="63"/>
      <c r="AH217" s="63"/>
      <c r="AI217" s="63"/>
      <c r="AJ217" s="63"/>
      <c r="AK217" s="63"/>
      <c r="AL217" s="63"/>
      <c r="AM217" s="63"/>
      <c r="AN217" s="63"/>
      <c r="AO217" s="63"/>
      <c r="AP217" s="21"/>
      <c r="AQ217" s="41"/>
    </row>
    <row r="218" spans="5:43" s="67" customFormat="1" x14ac:dyDescent="0.25">
      <c r="E218" s="72"/>
      <c r="G218" s="21"/>
      <c r="U218" s="68"/>
      <c r="V218" s="68"/>
      <c r="W218" s="68"/>
      <c r="AA218" s="63"/>
      <c r="AB218" s="63"/>
      <c r="AC218" s="63"/>
      <c r="AD218" s="63"/>
      <c r="AE218" s="71"/>
      <c r="AF218" s="63"/>
      <c r="AH218" s="63"/>
      <c r="AI218" s="63"/>
      <c r="AJ218" s="63"/>
      <c r="AK218" s="63"/>
      <c r="AL218" s="63"/>
      <c r="AM218" s="63"/>
      <c r="AN218" s="63"/>
      <c r="AO218" s="63"/>
      <c r="AP218" s="21"/>
      <c r="AQ218" s="41"/>
    </row>
    <row r="219" spans="5:43" s="67" customFormat="1" x14ac:dyDescent="0.25">
      <c r="E219" s="72"/>
      <c r="G219" s="21"/>
      <c r="U219" s="68"/>
      <c r="V219" s="68"/>
      <c r="W219" s="68"/>
      <c r="AA219" s="63"/>
      <c r="AB219" s="63"/>
      <c r="AC219" s="63"/>
      <c r="AD219" s="63"/>
      <c r="AE219" s="71"/>
      <c r="AF219" s="63"/>
      <c r="AH219" s="63"/>
      <c r="AI219" s="63"/>
      <c r="AJ219" s="63"/>
      <c r="AK219" s="63"/>
      <c r="AL219" s="63"/>
      <c r="AM219" s="63"/>
      <c r="AN219" s="63"/>
      <c r="AO219" s="63"/>
      <c r="AP219" s="21"/>
      <c r="AQ219" s="41"/>
    </row>
    <row r="220" spans="5:43" s="67" customFormat="1" x14ac:dyDescent="0.25">
      <c r="E220" s="72"/>
      <c r="G220" s="21"/>
      <c r="U220" s="68"/>
      <c r="V220" s="68"/>
      <c r="W220" s="68"/>
      <c r="AA220" s="63"/>
      <c r="AB220" s="63"/>
      <c r="AC220" s="63"/>
      <c r="AD220" s="63"/>
      <c r="AE220" s="71"/>
      <c r="AF220" s="63"/>
      <c r="AH220" s="63"/>
      <c r="AI220" s="63"/>
      <c r="AJ220" s="63"/>
      <c r="AK220" s="63"/>
      <c r="AL220" s="63"/>
      <c r="AM220" s="63"/>
      <c r="AN220" s="63"/>
      <c r="AO220" s="63"/>
      <c r="AP220" s="21"/>
      <c r="AQ220" s="41"/>
    </row>
    <row r="221" spans="5:43" s="67" customFormat="1" x14ac:dyDescent="0.25">
      <c r="E221" s="72"/>
      <c r="G221" s="21"/>
      <c r="U221" s="68"/>
      <c r="V221" s="68"/>
      <c r="W221" s="68"/>
      <c r="AA221" s="63"/>
      <c r="AB221" s="63"/>
      <c r="AC221" s="63"/>
      <c r="AD221" s="63"/>
      <c r="AE221" s="71"/>
      <c r="AF221" s="63"/>
      <c r="AH221" s="63"/>
      <c r="AI221" s="63"/>
      <c r="AJ221" s="63"/>
      <c r="AK221" s="63"/>
      <c r="AL221" s="63"/>
      <c r="AM221" s="63"/>
      <c r="AN221" s="63"/>
      <c r="AO221" s="63"/>
      <c r="AP221" s="21"/>
      <c r="AQ221" s="41"/>
    </row>
    <row r="222" spans="5:43" s="67" customFormat="1" x14ac:dyDescent="0.25">
      <c r="E222" s="72"/>
      <c r="G222" s="21"/>
      <c r="U222" s="68"/>
      <c r="V222" s="68"/>
      <c r="W222" s="68"/>
      <c r="AA222" s="63"/>
      <c r="AB222" s="63"/>
      <c r="AC222" s="63"/>
      <c r="AD222" s="63"/>
      <c r="AE222" s="71"/>
      <c r="AF222" s="63"/>
      <c r="AH222" s="63"/>
      <c r="AI222" s="63"/>
      <c r="AJ222" s="63"/>
      <c r="AK222" s="63"/>
      <c r="AL222" s="63"/>
      <c r="AM222" s="63"/>
      <c r="AN222" s="63"/>
      <c r="AO222" s="63"/>
      <c r="AP222" s="21"/>
      <c r="AQ222" s="41"/>
    </row>
    <row r="223" spans="5:43" s="67" customFormat="1" x14ac:dyDescent="0.25">
      <c r="E223" s="72"/>
      <c r="G223" s="21"/>
      <c r="U223" s="68"/>
      <c r="V223" s="68"/>
      <c r="W223" s="68"/>
      <c r="AA223" s="63"/>
      <c r="AB223" s="63"/>
      <c r="AC223" s="63"/>
      <c r="AD223" s="63"/>
      <c r="AE223" s="71"/>
      <c r="AF223" s="63"/>
      <c r="AH223" s="63"/>
      <c r="AI223" s="63"/>
      <c r="AJ223" s="63"/>
      <c r="AK223" s="63"/>
      <c r="AL223" s="63"/>
      <c r="AM223" s="63"/>
      <c r="AN223" s="63"/>
      <c r="AO223" s="63"/>
      <c r="AP223" s="21"/>
      <c r="AQ223" s="41"/>
    </row>
    <row r="224" spans="5:43" s="67" customFormat="1" x14ac:dyDescent="0.25">
      <c r="E224" s="72"/>
      <c r="G224" s="21"/>
      <c r="U224" s="68"/>
      <c r="V224" s="68"/>
      <c r="W224" s="68"/>
      <c r="AA224" s="63"/>
      <c r="AB224" s="63"/>
      <c r="AC224" s="63"/>
      <c r="AD224" s="63"/>
      <c r="AE224" s="71"/>
      <c r="AF224" s="63"/>
      <c r="AH224" s="63"/>
      <c r="AI224" s="63"/>
      <c r="AJ224" s="63"/>
      <c r="AK224" s="63"/>
      <c r="AL224" s="63"/>
      <c r="AM224" s="63"/>
      <c r="AN224" s="63"/>
      <c r="AO224" s="63"/>
      <c r="AP224" s="21"/>
      <c r="AQ224" s="41"/>
    </row>
    <row r="225" spans="5:43" s="67" customFormat="1" x14ac:dyDescent="0.25">
      <c r="E225" s="72"/>
      <c r="G225" s="21"/>
      <c r="U225" s="68"/>
      <c r="V225" s="68"/>
      <c r="W225" s="68"/>
      <c r="AA225" s="63"/>
      <c r="AB225" s="63"/>
      <c r="AC225" s="63"/>
      <c r="AD225" s="63"/>
      <c r="AE225" s="71"/>
      <c r="AF225" s="63"/>
      <c r="AH225" s="63"/>
      <c r="AI225" s="63"/>
      <c r="AJ225" s="63"/>
      <c r="AK225" s="63"/>
      <c r="AL225" s="63"/>
      <c r="AM225" s="63"/>
      <c r="AN225" s="63"/>
      <c r="AO225" s="63"/>
      <c r="AP225" s="21"/>
      <c r="AQ225" s="41"/>
    </row>
    <row r="226" spans="5:43" s="67" customFormat="1" x14ac:dyDescent="0.25">
      <c r="E226" s="72"/>
      <c r="G226" s="21"/>
      <c r="U226" s="68"/>
      <c r="V226" s="68"/>
      <c r="W226" s="68"/>
      <c r="AA226" s="63"/>
      <c r="AB226" s="63"/>
      <c r="AC226" s="63"/>
      <c r="AD226" s="63"/>
      <c r="AE226" s="71"/>
      <c r="AF226" s="63"/>
      <c r="AH226" s="63"/>
      <c r="AI226" s="63"/>
      <c r="AJ226" s="63"/>
      <c r="AK226" s="63"/>
      <c r="AL226" s="63"/>
      <c r="AM226" s="63"/>
      <c r="AN226" s="63"/>
      <c r="AO226" s="63"/>
      <c r="AP226" s="21"/>
      <c r="AQ226" s="41"/>
    </row>
    <row r="227" spans="5:43" s="67" customFormat="1" x14ac:dyDescent="0.25">
      <c r="E227" s="72"/>
      <c r="G227" s="21"/>
      <c r="U227" s="68"/>
      <c r="V227" s="68"/>
      <c r="W227" s="68"/>
      <c r="AA227" s="63"/>
      <c r="AB227" s="63"/>
      <c r="AC227" s="63"/>
      <c r="AD227" s="63"/>
      <c r="AE227" s="71"/>
      <c r="AF227" s="63"/>
      <c r="AH227" s="63"/>
      <c r="AI227" s="63"/>
      <c r="AJ227" s="63"/>
      <c r="AK227" s="63"/>
      <c r="AL227" s="63"/>
      <c r="AM227" s="63"/>
      <c r="AN227" s="63"/>
      <c r="AO227" s="63"/>
      <c r="AP227" s="21"/>
      <c r="AQ227" s="41"/>
    </row>
    <row r="228" spans="5:43" s="67" customFormat="1" x14ac:dyDescent="0.25">
      <c r="E228" s="72"/>
      <c r="G228" s="21"/>
      <c r="U228" s="68"/>
      <c r="V228" s="68"/>
      <c r="W228" s="68"/>
      <c r="AA228" s="63"/>
      <c r="AB228" s="63"/>
      <c r="AC228" s="63"/>
      <c r="AD228" s="63"/>
      <c r="AE228" s="71"/>
      <c r="AF228" s="63"/>
      <c r="AH228" s="63"/>
      <c r="AI228" s="63"/>
      <c r="AJ228" s="63"/>
      <c r="AK228" s="63"/>
      <c r="AL228" s="63"/>
      <c r="AM228" s="63"/>
      <c r="AN228" s="63"/>
      <c r="AO228" s="63"/>
      <c r="AP228" s="21"/>
      <c r="AQ228" s="41"/>
    </row>
    <row r="229" spans="5:43" s="67" customFormat="1" x14ac:dyDescent="0.25">
      <c r="E229" s="72"/>
      <c r="G229" s="21"/>
      <c r="U229" s="68"/>
      <c r="V229" s="68"/>
      <c r="W229" s="68"/>
      <c r="AA229" s="63"/>
      <c r="AB229" s="63"/>
      <c r="AC229" s="63"/>
      <c r="AD229" s="63"/>
      <c r="AE229" s="71"/>
      <c r="AF229" s="63"/>
      <c r="AH229" s="63"/>
      <c r="AI229" s="63"/>
      <c r="AJ229" s="63"/>
      <c r="AK229" s="63"/>
      <c r="AL229" s="63"/>
      <c r="AM229" s="63"/>
      <c r="AN229" s="63"/>
      <c r="AO229" s="63"/>
      <c r="AP229" s="21"/>
      <c r="AQ229" s="41"/>
    </row>
    <row r="230" spans="5:43" s="67" customFormat="1" x14ac:dyDescent="0.25">
      <c r="E230" s="72"/>
      <c r="G230" s="21"/>
      <c r="U230" s="68"/>
      <c r="V230" s="68"/>
      <c r="W230" s="68"/>
      <c r="AA230" s="63"/>
      <c r="AB230" s="63"/>
      <c r="AC230" s="63"/>
      <c r="AD230" s="63"/>
      <c r="AE230" s="71"/>
      <c r="AF230" s="63"/>
      <c r="AH230" s="63"/>
      <c r="AI230" s="63"/>
      <c r="AJ230" s="63"/>
      <c r="AK230" s="63"/>
      <c r="AL230" s="63"/>
      <c r="AM230" s="63"/>
      <c r="AN230" s="63"/>
      <c r="AO230" s="63"/>
      <c r="AP230" s="21"/>
      <c r="AQ230" s="41"/>
    </row>
    <row r="231" spans="5:43" s="67" customFormat="1" x14ac:dyDescent="0.25">
      <c r="E231" s="72"/>
      <c r="G231" s="21"/>
      <c r="U231" s="68"/>
      <c r="V231" s="68"/>
      <c r="W231" s="68"/>
      <c r="AA231" s="63"/>
      <c r="AB231" s="63"/>
      <c r="AC231" s="63"/>
      <c r="AD231" s="63"/>
      <c r="AE231" s="71"/>
      <c r="AF231" s="63"/>
      <c r="AH231" s="63"/>
      <c r="AI231" s="63"/>
      <c r="AJ231" s="63"/>
      <c r="AK231" s="63"/>
      <c r="AL231" s="63"/>
      <c r="AM231" s="63"/>
      <c r="AN231" s="63"/>
      <c r="AO231" s="63"/>
      <c r="AP231" s="21"/>
      <c r="AQ231" s="41"/>
    </row>
    <row r="232" spans="5:43" s="67" customFormat="1" x14ac:dyDescent="0.25">
      <c r="E232" s="72"/>
      <c r="G232" s="21"/>
      <c r="U232" s="68"/>
      <c r="V232" s="68"/>
      <c r="W232" s="68"/>
      <c r="AA232" s="63"/>
      <c r="AB232" s="63"/>
      <c r="AC232" s="63"/>
      <c r="AD232" s="63"/>
      <c r="AE232" s="71"/>
      <c r="AF232" s="63"/>
      <c r="AH232" s="63"/>
      <c r="AI232" s="63"/>
      <c r="AJ232" s="63"/>
      <c r="AK232" s="63"/>
      <c r="AL232" s="63"/>
      <c r="AM232" s="63"/>
      <c r="AN232" s="63"/>
      <c r="AO232" s="63"/>
      <c r="AP232" s="21"/>
      <c r="AQ232" s="41"/>
    </row>
    <row r="233" spans="5:43" s="67" customFormat="1" x14ac:dyDescent="0.25">
      <c r="E233" s="72"/>
      <c r="G233" s="21"/>
      <c r="U233" s="68"/>
      <c r="V233" s="68"/>
      <c r="W233" s="68"/>
      <c r="AA233" s="63"/>
      <c r="AB233" s="63"/>
      <c r="AC233" s="63"/>
      <c r="AD233" s="63"/>
      <c r="AE233" s="71"/>
      <c r="AF233" s="63"/>
      <c r="AH233" s="63"/>
      <c r="AI233" s="63"/>
      <c r="AJ233" s="63"/>
      <c r="AK233" s="63"/>
      <c r="AL233" s="63"/>
      <c r="AM233" s="63"/>
      <c r="AN233" s="63"/>
      <c r="AO233" s="63"/>
      <c r="AP233" s="21"/>
      <c r="AQ233" s="41"/>
    </row>
    <row r="234" spans="5:43" s="67" customFormat="1" x14ac:dyDescent="0.25">
      <c r="E234" s="72"/>
      <c r="G234" s="21"/>
      <c r="U234" s="68"/>
      <c r="V234" s="68"/>
      <c r="W234" s="68"/>
      <c r="AA234" s="63"/>
      <c r="AB234" s="63"/>
      <c r="AC234" s="63"/>
      <c r="AD234" s="63"/>
      <c r="AE234" s="71"/>
      <c r="AF234" s="63"/>
      <c r="AH234" s="63"/>
      <c r="AI234" s="63"/>
      <c r="AJ234" s="63"/>
      <c r="AK234" s="63"/>
      <c r="AL234" s="63"/>
      <c r="AM234" s="63"/>
      <c r="AN234" s="63"/>
      <c r="AO234" s="63"/>
      <c r="AP234" s="21"/>
      <c r="AQ234" s="41"/>
    </row>
    <row r="235" spans="5:43" s="67" customFormat="1" x14ac:dyDescent="0.25">
      <c r="E235" s="72"/>
      <c r="G235" s="21"/>
      <c r="U235" s="68"/>
      <c r="V235" s="68"/>
      <c r="W235" s="68"/>
      <c r="AA235" s="63"/>
      <c r="AB235" s="63"/>
      <c r="AC235" s="63"/>
      <c r="AD235" s="63"/>
      <c r="AE235" s="71"/>
      <c r="AF235" s="63"/>
      <c r="AH235" s="63"/>
      <c r="AI235" s="63"/>
      <c r="AJ235" s="63"/>
      <c r="AK235" s="63"/>
      <c r="AL235" s="63"/>
      <c r="AM235" s="63"/>
      <c r="AN235" s="63"/>
      <c r="AO235" s="63"/>
      <c r="AP235" s="21"/>
      <c r="AQ235" s="41"/>
    </row>
    <row r="236" spans="5:43" s="67" customFormat="1" x14ac:dyDescent="0.25">
      <c r="E236" s="72"/>
      <c r="G236" s="21"/>
      <c r="U236" s="68"/>
      <c r="V236" s="68"/>
      <c r="W236" s="68"/>
      <c r="AA236" s="63"/>
      <c r="AB236" s="63"/>
      <c r="AC236" s="63"/>
      <c r="AD236" s="63"/>
      <c r="AE236" s="71"/>
      <c r="AF236" s="63"/>
      <c r="AH236" s="63"/>
      <c r="AI236" s="63"/>
      <c r="AJ236" s="63"/>
      <c r="AK236" s="63"/>
      <c r="AL236" s="63"/>
      <c r="AM236" s="63"/>
      <c r="AN236" s="63"/>
      <c r="AO236" s="63"/>
      <c r="AP236" s="21"/>
      <c r="AQ236" s="41"/>
    </row>
    <row r="237" spans="5:43" s="67" customFormat="1" x14ac:dyDescent="0.25">
      <c r="E237" s="72"/>
      <c r="G237" s="21"/>
      <c r="U237" s="68"/>
      <c r="V237" s="68"/>
      <c r="W237" s="68"/>
      <c r="AA237" s="63"/>
      <c r="AB237" s="63"/>
      <c r="AC237" s="63"/>
      <c r="AD237" s="63"/>
      <c r="AE237" s="71"/>
      <c r="AF237" s="63"/>
      <c r="AH237" s="63"/>
      <c r="AI237" s="63"/>
      <c r="AJ237" s="63"/>
      <c r="AK237" s="63"/>
      <c r="AL237" s="63"/>
      <c r="AM237" s="63"/>
      <c r="AN237" s="63"/>
      <c r="AO237" s="63"/>
      <c r="AP237" s="21"/>
      <c r="AQ237" s="41"/>
    </row>
    <row r="238" spans="5:43" s="67" customFormat="1" x14ac:dyDescent="0.25">
      <c r="E238" s="72"/>
      <c r="G238" s="21"/>
      <c r="U238" s="68"/>
      <c r="V238" s="68"/>
      <c r="W238" s="68"/>
      <c r="AA238" s="63"/>
      <c r="AB238" s="63"/>
      <c r="AC238" s="63"/>
      <c r="AD238" s="63"/>
      <c r="AE238" s="71"/>
      <c r="AF238" s="63"/>
      <c r="AH238" s="63"/>
      <c r="AI238" s="63"/>
      <c r="AJ238" s="63"/>
      <c r="AK238" s="63"/>
      <c r="AL238" s="63"/>
      <c r="AM238" s="63"/>
      <c r="AN238" s="63"/>
      <c r="AO238" s="63"/>
      <c r="AP238" s="21"/>
      <c r="AQ238" s="41"/>
    </row>
    <row r="239" spans="5:43" s="67" customFormat="1" x14ac:dyDescent="0.25">
      <c r="E239" s="72"/>
      <c r="G239" s="21"/>
      <c r="U239" s="68"/>
      <c r="V239" s="68"/>
      <c r="W239" s="68"/>
      <c r="AA239" s="63"/>
      <c r="AB239" s="63"/>
      <c r="AC239" s="63"/>
      <c r="AD239" s="63"/>
      <c r="AE239" s="71"/>
      <c r="AF239" s="63"/>
      <c r="AH239" s="63"/>
      <c r="AI239" s="63"/>
      <c r="AJ239" s="63"/>
      <c r="AK239" s="63"/>
      <c r="AL239" s="63"/>
      <c r="AM239" s="63"/>
      <c r="AN239" s="63"/>
      <c r="AO239" s="63"/>
      <c r="AP239" s="21"/>
      <c r="AQ239" s="41"/>
    </row>
    <row r="240" spans="5:43" s="67" customFormat="1" x14ac:dyDescent="0.25">
      <c r="E240" s="72"/>
      <c r="G240" s="21"/>
      <c r="U240" s="68"/>
      <c r="V240" s="68"/>
      <c r="W240" s="68"/>
      <c r="AA240" s="63"/>
      <c r="AB240" s="63"/>
      <c r="AC240" s="63"/>
      <c r="AD240" s="63"/>
      <c r="AE240" s="71"/>
      <c r="AF240" s="63"/>
      <c r="AH240" s="63"/>
      <c r="AI240" s="63"/>
      <c r="AJ240" s="63"/>
      <c r="AK240" s="63"/>
      <c r="AL240" s="63"/>
      <c r="AM240" s="63"/>
      <c r="AN240" s="63"/>
      <c r="AO240" s="63"/>
      <c r="AP240" s="21"/>
      <c r="AQ240" s="41"/>
    </row>
    <row r="241" spans="5:43" s="67" customFormat="1" x14ac:dyDescent="0.25">
      <c r="E241" s="72"/>
      <c r="G241" s="21"/>
      <c r="U241" s="68"/>
      <c r="V241" s="68"/>
      <c r="W241" s="68"/>
      <c r="AA241" s="63"/>
      <c r="AB241" s="63"/>
      <c r="AC241" s="63"/>
      <c r="AD241" s="63"/>
      <c r="AE241" s="71"/>
      <c r="AF241" s="63"/>
      <c r="AH241" s="63"/>
      <c r="AI241" s="63"/>
      <c r="AJ241" s="63"/>
      <c r="AK241" s="63"/>
      <c r="AL241" s="63"/>
      <c r="AM241" s="63"/>
      <c r="AN241" s="63"/>
      <c r="AO241" s="63"/>
      <c r="AP241" s="21"/>
      <c r="AQ241" s="41"/>
    </row>
    <row r="242" spans="5:43" s="67" customFormat="1" x14ac:dyDescent="0.25">
      <c r="E242" s="72"/>
      <c r="G242" s="21"/>
      <c r="U242" s="68"/>
      <c r="V242" s="68"/>
      <c r="W242" s="68"/>
      <c r="AA242" s="63"/>
      <c r="AB242" s="63"/>
      <c r="AC242" s="63"/>
      <c r="AD242" s="63"/>
      <c r="AE242" s="71"/>
      <c r="AF242" s="63"/>
      <c r="AH242" s="63"/>
      <c r="AI242" s="63"/>
      <c r="AJ242" s="63"/>
      <c r="AK242" s="63"/>
      <c r="AL242" s="63"/>
      <c r="AM242" s="63"/>
      <c r="AN242" s="63"/>
      <c r="AO242" s="63"/>
      <c r="AP242" s="21"/>
      <c r="AQ242" s="41"/>
    </row>
    <row r="243" spans="5:43" s="67" customFormat="1" x14ac:dyDescent="0.25">
      <c r="E243" s="72"/>
      <c r="G243" s="21"/>
      <c r="U243" s="68"/>
      <c r="V243" s="68"/>
      <c r="W243" s="68"/>
      <c r="AA243" s="63"/>
      <c r="AB243" s="63"/>
      <c r="AC243" s="63"/>
      <c r="AD243" s="63"/>
      <c r="AE243" s="71"/>
      <c r="AF243" s="63"/>
      <c r="AH243" s="63"/>
      <c r="AI243" s="63"/>
      <c r="AJ243" s="63"/>
      <c r="AK243" s="63"/>
      <c r="AL243" s="63"/>
      <c r="AM243" s="63"/>
      <c r="AN243" s="63"/>
      <c r="AO243" s="63"/>
      <c r="AP243" s="21"/>
      <c r="AQ243" s="41"/>
    </row>
    <row r="244" spans="5:43" s="67" customFormat="1" x14ac:dyDescent="0.25">
      <c r="E244" s="72"/>
      <c r="G244" s="21"/>
      <c r="U244" s="68"/>
      <c r="V244" s="68"/>
      <c r="W244" s="68"/>
      <c r="AA244" s="63"/>
      <c r="AB244" s="63"/>
      <c r="AC244" s="63"/>
      <c r="AD244" s="63"/>
      <c r="AE244" s="71"/>
      <c r="AF244" s="63"/>
      <c r="AH244" s="63"/>
      <c r="AI244" s="63"/>
      <c r="AJ244" s="63"/>
      <c r="AK244" s="63"/>
      <c r="AL244" s="63"/>
      <c r="AM244" s="63"/>
      <c r="AN244" s="63"/>
      <c r="AO244" s="63"/>
      <c r="AP244" s="21"/>
      <c r="AQ244" s="41"/>
    </row>
    <row r="245" spans="5:43" s="67" customFormat="1" x14ac:dyDescent="0.25">
      <c r="E245" s="72"/>
      <c r="G245" s="21"/>
      <c r="U245" s="68"/>
      <c r="V245" s="68"/>
      <c r="W245" s="68"/>
      <c r="AA245" s="63"/>
      <c r="AB245" s="63"/>
      <c r="AC245" s="63"/>
      <c r="AD245" s="63"/>
      <c r="AE245" s="71"/>
      <c r="AF245" s="63"/>
      <c r="AH245" s="63"/>
      <c r="AI245" s="63"/>
      <c r="AJ245" s="63"/>
      <c r="AK245" s="63"/>
      <c r="AL245" s="63"/>
      <c r="AM245" s="63"/>
      <c r="AN245" s="63"/>
      <c r="AO245" s="63"/>
      <c r="AP245" s="21"/>
      <c r="AQ245" s="41"/>
    </row>
    <row r="246" spans="5:43" s="67" customFormat="1" x14ac:dyDescent="0.25">
      <c r="E246" s="72"/>
      <c r="G246" s="21"/>
      <c r="U246" s="68"/>
      <c r="V246" s="68"/>
      <c r="W246" s="68"/>
      <c r="AA246" s="63"/>
      <c r="AB246" s="63"/>
      <c r="AC246" s="63"/>
      <c r="AD246" s="63"/>
      <c r="AE246" s="71"/>
      <c r="AF246" s="63"/>
      <c r="AH246" s="63"/>
      <c r="AI246" s="63"/>
      <c r="AJ246" s="63"/>
      <c r="AK246" s="63"/>
      <c r="AL246" s="63"/>
      <c r="AM246" s="63"/>
      <c r="AN246" s="63"/>
      <c r="AO246" s="63"/>
      <c r="AP246" s="21"/>
      <c r="AQ246" s="41"/>
    </row>
    <row r="247" spans="5:43" s="67" customFormat="1" x14ac:dyDescent="0.25">
      <c r="E247" s="72"/>
      <c r="G247" s="21"/>
      <c r="U247" s="68"/>
      <c r="V247" s="68"/>
      <c r="W247" s="68"/>
      <c r="AA247" s="63"/>
      <c r="AB247" s="63"/>
      <c r="AC247" s="63"/>
      <c r="AD247" s="63"/>
      <c r="AE247" s="71"/>
      <c r="AF247" s="63"/>
      <c r="AH247" s="63"/>
      <c r="AI247" s="63"/>
      <c r="AJ247" s="63"/>
      <c r="AK247" s="63"/>
      <c r="AL247" s="63"/>
      <c r="AM247" s="63"/>
      <c r="AN247" s="63"/>
      <c r="AO247" s="63"/>
      <c r="AP247" s="21"/>
      <c r="AQ247" s="41"/>
    </row>
    <row r="248" spans="5:43" s="67" customFormat="1" x14ac:dyDescent="0.25">
      <c r="E248" s="72"/>
      <c r="G248" s="21"/>
      <c r="U248" s="68"/>
      <c r="V248" s="68"/>
      <c r="W248" s="68"/>
      <c r="AA248" s="63"/>
      <c r="AB248" s="63"/>
      <c r="AC248" s="63"/>
      <c r="AD248" s="63"/>
      <c r="AE248" s="71"/>
      <c r="AF248" s="63"/>
      <c r="AH248" s="63"/>
      <c r="AI248" s="63"/>
      <c r="AJ248" s="63"/>
      <c r="AK248" s="63"/>
      <c r="AL248" s="63"/>
      <c r="AM248" s="63"/>
      <c r="AN248" s="63"/>
      <c r="AO248" s="63"/>
      <c r="AP248" s="21"/>
      <c r="AQ248" s="41"/>
    </row>
    <row r="249" spans="5:43" s="67" customFormat="1" x14ac:dyDescent="0.25">
      <c r="E249" s="72"/>
      <c r="G249" s="21"/>
      <c r="U249" s="68"/>
      <c r="V249" s="68"/>
      <c r="W249" s="68"/>
      <c r="AA249" s="63"/>
      <c r="AB249" s="63"/>
      <c r="AC249" s="63"/>
      <c r="AD249" s="63"/>
      <c r="AE249" s="71"/>
      <c r="AF249" s="63"/>
      <c r="AH249" s="63"/>
      <c r="AI249" s="63"/>
      <c r="AJ249" s="63"/>
      <c r="AK249" s="63"/>
      <c r="AL249" s="63"/>
      <c r="AM249" s="63"/>
      <c r="AN249" s="63"/>
      <c r="AO249" s="63"/>
      <c r="AP249" s="21"/>
      <c r="AQ249" s="41"/>
    </row>
    <row r="250" spans="5:43" s="67" customFormat="1" x14ac:dyDescent="0.25">
      <c r="E250" s="72"/>
      <c r="G250" s="21"/>
      <c r="U250" s="68"/>
      <c r="V250" s="68"/>
      <c r="W250" s="68"/>
      <c r="AA250" s="63"/>
      <c r="AB250" s="63"/>
      <c r="AC250" s="63"/>
      <c r="AD250" s="63"/>
      <c r="AE250" s="71"/>
      <c r="AF250" s="63"/>
      <c r="AH250" s="63"/>
      <c r="AI250" s="63"/>
      <c r="AJ250" s="63"/>
      <c r="AK250" s="63"/>
      <c r="AL250" s="63"/>
      <c r="AM250" s="63"/>
      <c r="AN250" s="63"/>
      <c r="AO250" s="63"/>
      <c r="AP250" s="21"/>
      <c r="AQ250" s="41"/>
    </row>
    <row r="251" spans="5:43" s="67" customFormat="1" x14ac:dyDescent="0.25">
      <c r="E251" s="72"/>
      <c r="G251" s="21"/>
      <c r="U251" s="68"/>
      <c r="V251" s="68"/>
      <c r="W251" s="68"/>
      <c r="AA251" s="63"/>
      <c r="AB251" s="63"/>
      <c r="AC251" s="63"/>
      <c r="AD251" s="63"/>
      <c r="AE251" s="71"/>
      <c r="AF251" s="63"/>
      <c r="AH251" s="63"/>
      <c r="AI251" s="63"/>
      <c r="AJ251" s="63"/>
      <c r="AK251" s="63"/>
      <c r="AL251" s="63"/>
      <c r="AM251" s="63"/>
      <c r="AN251" s="63"/>
      <c r="AO251" s="63"/>
      <c r="AP251" s="21"/>
      <c r="AQ251" s="41"/>
    </row>
    <row r="252" spans="5:43" s="67" customFormat="1" x14ac:dyDescent="0.25">
      <c r="E252" s="72"/>
      <c r="G252" s="21"/>
      <c r="U252" s="68"/>
      <c r="V252" s="68"/>
      <c r="W252" s="68"/>
      <c r="AA252" s="63"/>
      <c r="AB252" s="63"/>
      <c r="AC252" s="63"/>
      <c r="AD252" s="63"/>
      <c r="AE252" s="71"/>
      <c r="AF252" s="63"/>
      <c r="AH252" s="63"/>
      <c r="AI252" s="63"/>
      <c r="AJ252" s="63"/>
      <c r="AK252" s="63"/>
      <c r="AL252" s="63"/>
      <c r="AM252" s="63"/>
      <c r="AN252" s="63"/>
      <c r="AO252" s="63"/>
      <c r="AP252" s="21"/>
      <c r="AQ252" s="41"/>
    </row>
    <row r="253" spans="5:43" s="67" customFormat="1" x14ac:dyDescent="0.25">
      <c r="E253" s="72"/>
      <c r="G253" s="21"/>
      <c r="U253" s="68"/>
      <c r="V253" s="68"/>
      <c r="W253" s="68"/>
      <c r="AA253" s="63"/>
      <c r="AB253" s="63"/>
      <c r="AC253" s="63"/>
      <c r="AD253" s="63"/>
      <c r="AE253" s="71"/>
      <c r="AF253" s="63"/>
      <c r="AH253" s="63"/>
      <c r="AI253" s="63"/>
      <c r="AJ253" s="63"/>
      <c r="AK253" s="63"/>
      <c r="AL253" s="63"/>
      <c r="AM253" s="63"/>
      <c r="AN253" s="63"/>
      <c r="AO253" s="63"/>
      <c r="AP253" s="21"/>
      <c r="AQ253" s="41"/>
    </row>
    <row r="254" spans="5:43" s="67" customFormat="1" x14ac:dyDescent="0.25">
      <c r="E254" s="72"/>
      <c r="G254" s="21"/>
      <c r="U254" s="68"/>
      <c r="V254" s="68"/>
      <c r="W254" s="68"/>
      <c r="AA254" s="63"/>
      <c r="AB254" s="63"/>
      <c r="AC254" s="63"/>
      <c r="AD254" s="63"/>
      <c r="AE254" s="71"/>
      <c r="AF254" s="63"/>
      <c r="AH254" s="63"/>
      <c r="AI254" s="63"/>
      <c r="AJ254" s="63"/>
      <c r="AK254" s="63"/>
      <c r="AL254" s="63"/>
      <c r="AM254" s="63"/>
      <c r="AN254" s="63"/>
      <c r="AO254" s="63"/>
      <c r="AP254" s="21"/>
      <c r="AQ254" s="41"/>
    </row>
    <row r="255" spans="5:43" s="67" customFormat="1" x14ac:dyDescent="0.25">
      <c r="E255" s="72"/>
      <c r="G255" s="21"/>
      <c r="U255" s="68"/>
      <c r="V255" s="68"/>
      <c r="W255" s="68"/>
      <c r="AA255" s="63"/>
      <c r="AB255" s="63"/>
      <c r="AC255" s="63"/>
      <c r="AD255" s="63"/>
      <c r="AE255" s="71"/>
      <c r="AF255" s="63"/>
      <c r="AH255" s="63"/>
      <c r="AI255" s="63"/>
      <c r="AJ255" s="63"/>
      <c r="AK255" s="63"/>
      <c r="AL255" s="63"/>
      <c r="AM255" s="63"/>
      <c r="AN255" s="63"/>
      <c r="AO255" s="63"/>
      <c r="AP255" s="21"/>
      <c r="AQ255" s="41"/>
    </row>
    <row r="256" spans="5:43" s="67" customFormat="1" x14ac:dyDescent="0.25">
      <c r="E256" s="72"/>
      <c r="G256" s="21"/>
      <c r="U256" s="68"/>
      <c r="V256" s="68"/>
      <c r="W256" s="68"/>
      <c r="AA256" s="63"/>
      <c r="AB256" s="63"/>
      <c r="AC256" s="63"/>
      <c r="AD256" s="63"/>
      <c r="AE256" s="71"/>
      <c r="AF256" s="63"/>
      <c r="AH256" s="63"/>
      <c r="AI256" s="63"/>
      <c r="AJ256" s="63"/>
      <c r="AK256" s="63"/>
      <c r="AL256" s="63"/>
      <c r="AM256" s="63"/>
      <c r="AN256" s="63"/>
      <c r="AO256" s="63"/>
      <c r="AP256" s="21"/>
      <c r="AQ256" s="41"/>
    </row>
    <row r="257" spans="5:43" s="67" customFormat="1" x14ac:dyDescent="0.25">
      <c r="E257" s="72"/>
      <c r="G257" s="21"/>
      <c r="U257" s="68"/>
      <c r="V257" s="68"/>
      <c r="W257" s="68"/>
      <c r="AA257" s="63"/>
      <c r="AB257" s="63"/>
      <c r="AC257" s="63"/>
      <c r="AD257" s="63"/>
      <c r="AE257" s="71"/>
      <c r="AF257" s="63"/>
      <c r="AH257" s="63"/>
      <c r="AI257" s="63"/>
      <c r="AJ257" s="63"/>
      <c r="AK257" s="63"/>
      <c r="AL257" s="63"/>
      <c r="AM257" s="63"/>
      <c r="AN257" s="63"/>
      <c r="AO257" s="63"/>
      <c r="AP257" s="21"/>
      <c r="AQ257" s="41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2026-09-28T13:35:34Z</dcterms:modified>
</cp:coreProperties>
</file>